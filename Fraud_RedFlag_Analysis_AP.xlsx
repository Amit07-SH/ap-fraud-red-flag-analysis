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08CFC99-D98C-447C-BFAF-C857B2A15D3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shboard" sheetId="1" r:id="rId1"/>
    <sheet name="Findings" sheetId="2" r:id="rId2"/>
    <sheet name="Data" sheetId="3" r:id="rId3"/>
    <sheet name="Assumptions" sheetId="4" r:id="rId4"/>
    <sheet name="Vendor_Risk" sheetId="5" r:id="rId5"/>
    <sheet name="Approver_Analysis" sheetId="6" r:id="rId6"/>
    <sheet name="Benford" sheetId="7" r:id="rId7"/>
    <sheet name="Exceptions" sheetId="8" r:id="rId8"/>
  </sheets>
  <definedNames>
    <definedName name="_xlnm._FilterDatabase" localSheetId="2" hidden="1">Data!$A$1:$T$1534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1" l="1"/>
  <c r="G34" i="8"/>
  <c r="F34" i="8"/>
  <c r="E34" i="8"/>
  <c r="D34" i="8"/>
  <c r="C34" i="8"/>
  <c r="G33" i="8"/>
  <c r="F33" i="8"/>
  <c r="E33" i="8"/>
  <c r="D33" i="8"/>
  <c r="C33" i="8"/>
  <c r="G32" i="8"/>
  <c r="F32" i="8"/>
  <c r="E32" i="8"/>
  <c r="D32" i="8"/>
  <c r="C32" i="8"/>
  <c r="G31" i="8"/>
  <c r="F31" i="8"/>
  <c r="E31" i="8"/>
  <c r="D31" i="8"/>
  <c r="C31" i="8"/>
  <c r="G30" i="8"/>
  <c r="F30" i="8"/>
  <c r="E30" i="8"/>
  <c r="D30" i="8"/>
  <c r="C30" i="8"/>
  <c r="G29" i="8"/>
  <c r="F29" i="8"/>
  <c r="E29" i="8"/>
  <c r="D29" i="8"/>
  <c r="C29" i="8"/>
  <c r="G28" i="8"/>
  <c r="F28" i="8"/>
  <c r="E28" i="8"/>
  <c r="D28" i="8"/>
  <c r="C28" i="8"/>
  <c r="G27" i="8"/>
  <c r="F27" i="8"/>
  <c r="E27" i="8"/>
  <c r="D27" i="8"/>
  <c r="C27" i="8"/>
  <c r="G26" i="8"/>
  <c r="F26" i="8"/>
  <c r="E26" i="8"/>
  <c r="D26" i="8"/>
  <c r="C26" i="8"/>
  <c r="G25" i="8"/>
  <c r="F25" i="8"/>
  <c r="E25" i="8"/>
  <c r="D25" i="8"/>
  <c r="C25" i="8"/>
  <c r="G24" i="8"/>
  <c r="F24" i="8"/>
  <c r="E24" i="8"/>
  <c r="D24" i="8"/>
  <c r="C24" i="8"/>
  <c r="G23" i="8"/>
  <c r="F23" i="8"/>
  <c r="E23" i="8"/>
  <c r="D23" i="8"/>
  <c r="C23" i="8"/>
  <c r="G22" i="8"/>
  <c r="F22" i="8"/>
  <c r="E22" i="8"/>
  <c r="D22" i="8"/>
  <c r="C22" i="8"/>
  <c r="G21" i="8"/>
  <c r="F21" i="8"/>
  <c r="E21" i="8"/>
  <c r="D21" i="8"/>
  <c r="C21" i="8"/>
  <c r="G20" i="8"/>
  <c r="F20" i="8"/>
  <c r="E20" i="8"/>
  <c r="D20" i="8"/>
  <c r="C20" i="8"/>
  <c r="G19" i="8"/>
  <c r="F19" i="8"/>
  <c r="E19" i="8"/>
  <c r="D19" i="8"/>
  <c r="C19" i="8"/>
  <c r="G18" i="8"/>
  <c r="F18" i="8"/>
  <c r="E18" i="8"/>
  <c r="D18" i="8"/>
  <c r="C18" i="8"/>
  <c r="G17" i="8"/>
  <c r="F17" i="8"/>
  <c r="E17" i="8"/>
  <c r="D17" i="8"/>
  <c r="C17" i="8"/>
  <c r="G16" i="8"/>
  <c r="F16" i="8"/>
  <c r="E16" i="8"/>
  <c r="D16" i="8"/>
  <c r="C16" i="8"/>
  <c r="G15" i="8"/>
  <c r="F15" i="8"/>
  <c r="E15" i="8"/>
  <c r="D15" i="8"/>
  <c r="C15" i="8"/>
  <c r="G14" i="8"/>
  <c r="F14" i="8"/>
  <c r="E14" i="8"/>
  <c r="D14" i="8"/>
  <c r="C14" i="8"/>
  <c r="G13" i="8"/>
  <c r="F13" i="8"/>
  <c r="E13" i="8"/>
  <c r="D13" i="8"/>
  <c r="C13" i="8"/>
  <c r="G12" i="8"/>
  <c r="F12" i="8"/>
  <c r="E12" i="8"/>
  <c r="D12" i="8"/>
  <c r="C12" i="8"/>
  <c r="G11" i="8"/>
  <c r="F11" i="8"/>
  <c r="E11" i="8"/>
  <c r="D11" i="8"/>
  <c r="C11" i="8"/>
  <c r="G10" i="8"/>
  <c r="F10" i="8"/>
  <c r="E10" i="8"/>
  <c r="D10" i="8"/>
  <c r="C10" i="8"/>
  <c r="G9" i="8"/>
  <c r="F9" i="8"/>
  <c r="E9" i="8"/>
  <c r="D9" i="8"/>
  <c r="C9" i="8"/>
  <c r="G8" i="8"/>
  <c r="F8" i="8"/>
  <c r="E8" i="8"/>
  <c r="D8" i="8"/>
  <c r="C8" i="8"/>
  <c r="G7" i="8"/>
  <c r="F7" i="8"/>
  <c r="E7" i="8"/>
  <c r="D7" i="8"/>
  <c r="C7" i="8"/>
  <c r="G6" i="8"/>
  <c r="F6" i="8"/>
  <c r="E6" i="8"/>
  <c r="D6" i="8"/>
  <c r="C6" i="8"/>
  <c r="G5" i="8"/>
  <c r="F5" i="8"/>
  <c r="E5" i="8"/>
  <c r="D5" i="8"/>
  <c r="C5" i="8"/>
  <c r="B13" i="7"/>
  <c r="B12" i="7"/>
  <c r="B11" i="7"/>
  <c r="B10" i="7"/>
  <c r="B9" i="7"/>
  <c r="B8" i="7"/>
  <c r="B7" i="7"/>
  <c r="B6" i="7"/>
  <c r="B5" i="7"/>
  <c r="C10" i="6"/>
  <c r="B10" i="6"/>
  <c r="C9" i="6"/>
  <c r="B9" i="6"/>
  <c r="C8" i="6"/>
  <c r="B8" i="6"/>
  <c r="C7" i="6"/>
  <c r="B7" i="6"/>
  <c r="C6" i="6"/>
  <c r="B6" i="6"/>
  <c r="C5" i="6"/>
  <c r="B5" i="6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Q1534" i="3"/>
  <c r="P1534" i="3"/>
  <c r="O1534" i="3"/>
  <c r="N1534" i="3"/>
  <c r="L1534" i="3"/>
  <c r="K1534" i="3"/>
  <c r="Q1533" i="3"/>
  <c r="P1533" i="3"/>
  <c r="O1533" i="3"/>
  <c r="N1533" i="3"/>
  <c r="L1533" i="3"/>
  <c r="K1533" i="3"/>
  <c r="Q1532" i="3"/>
  <c r="P1532" i="3"/>
  <c r="O1532" i="3"/>
  <c r="N1532" i="3"/>
  <c r="L1532" i="3"/>
  <c r="K1532" i="3"/>
  <c r="Q1531" i="3"/>
  <c r="P1531" i="3"/>
  <c r="O1531" i="3"/>
  <c r="N1531" i="3"/>
  <c r="L1531" i="3"/>
  <c r="K1531" i="3"/>
  <c r="Q1530" i="3"/>
  <c r="P1530" i="3"/>
  <c r="O1530" i="3"/>
  <c r="N1530" i="3"/>
  <c r="L1530" i="3"/>
  <c r="K1530" i="3"/>
  <c r="Q1529" i="3"/>
  <c r="P1529" i="3"/>
  <c r="O1529" i="3"/>
  <c r="N1529" i="3"/>
  <c r="L1529" i="3"/>
  <c r="K1529" i="3"/>
  <c r="Q1528" i="3"/>
  <c r="P1528" i="3"/>
  <c r="O1528" i="3"/>
  <c r="N1528" i="3"/>
  <c r="L1528" i="3"/>
  <c r="K1528" i="3"/>
  <c r="Q1527" i="3"/>
  <c r="P1527" i="3"/>
  <c r="O1527" i="3"/>
  <c r="N1527" i="3"/>
  <c r="L1527" i="3"/>
  <c r="K1527" i="3"/>
  <c r="Q1526" i="3"/>
  <c r="P1526" i="3"/>
  <c r="O1526" i="3"/>
  <c r="N1526" i="3"/>
  <c r="L1526" i="3"/>
  <c r="K1526" i="3"/>
  <c r="Q1525" i="3"/>
  <c r="P1525" i="3"/>
  <c r="O1525" i="3"/>
  <c r="N1525" i="3"/>
  <c r="L1525" i="3"/>
  <c r="K1525" i="3"/>
  <c r="Q1524" i="3"/>
  <c r="P1524" i="3"/>
  <c r="O1524" i="3"/>
  <c r="N1524" i="3"/>
  <c r="L1524" i="3"/>
  <c r="K1524" i="3"/>
  <c r="Q1523" i="3"/>
  <c r="P1523" i="3"/>
  <c r="O1523" i="3"/>
  <c r="N1523" i="3"/>
  <c r="L1523" i="3"/>
  <c r="K1523" i="3"/>
  <c r="Q1522" i="3"/>
  <c r="P1522" i="3"/>
  <c r="O1522" i="3"/>
  <c r="N1522" i="3"/>
  <c r="L1522" i="3"/>
  <c r="K1522" i="3"/>
  <c r="Q1521" i="3"/>
  <c r="P1521" i="3"/>
  <c r="O1521" i="3"/>
  <c r="N1521" i="3"/>
  <c r="L1521" i="3"/>
  <c r="K1521" i="3"/>
  <c r="Q1520" i="3"/>
  <c r="P1520" i="3"/>
  <c r="O1520" i="3"/>
  <c r="N1520" i="3"/>
  <c r="L1520" i="3"/>
  <c r="K1520" i="3"/>
  <c r="Q1519" i="3"/>
  <c r="P1519" i="3"/>
  <c r="O1519" i="3"/>
  <c r="N1519" i="3"/>
  <c r="L1519" i="3"/>
  <c r="K1519" i="3"/>
  <c r="Q1518" i="3"/>
  <c r="P1518" i="3"/>
  <c r="O1518" i="3"/>
  <c r="N1518" i="3"/>
  <c r="L1518" i="3"/>
  <c r="K1518" i="3"/>
  <c r="Q1517" i="3"/>
  <c r="P1517" i="3"/>
  <c r="O1517" i="3"/>
  <c r="N1517" i="3"/>
  <c r="L1517" i="3"/>
  <c r="K1517" i="3"/>
  <c r="Q1516" i="3"/>
  <c r="P1516" i="3"/>
  <c r="O1516" i="3"/>
  <c r="N1516" i="3"/>
  <c r="L1516" i="3"/>
  <c r="K1516" i="3"/>
  <c r="Q1515" i="3"/>
  <c r="P1515" i="3"/>
  <c r="O1515" i="3"/>
  <c r="N1515" i="3"/>
  <c r="L1515" i="3"/>
  <c r="K1515" i="3"/>
  <c r="Q1514" i="3"/>
  <c r="P1514" i="3"/>
  <c r="O1514" i="3"/>
  <c r="N1514" i="3"/>
  <c r="L1514" i="3"/>
  <c r="K1514" i="3"/>
  <c r="Q1513" i="3"/>
  <c r="P1513" i="3"/>
  <c r="O1513" i="3"/>
  <c r="N1513" i="3"/>
  <c r="L1513" i="3"/>
  <c r="K1513" i="3"/>
  <c r="Q1512" i="3"/>
  <c r="P1512" i="3"/>
  <c r="O1512" i="3"/>
  <c r="N1512" i="3"/>
  <c r="L1512" i="3"/>
  <c r="K1512" i="3"/>
  <c r="Q1511" i="3"/>
  <c r="P1511" i="3"/>
  <c r="O1511" i="3"/>
  <c r="N1511" i="3"/>
  <c r="L1511" i="3"/>
  <c r="K1511" i="3"/>
  <c r="Q1510" i="3"/>
  <c r="P1510" i="3"/>
  <c r="O1510" i="3"/>
  <c r="N1510" i="3"/>
  <c r="L1510" i="3"/>
  <c r="K1510" i="3"/>
  <c r="Q1509" i="3"/>
  <c r="P1509" i="3"/>
  <c r="O1509" i="3"/>
  <c r="N1509" i="3"/>
  <c r="L1509" i="3"/>
  <c r="K1509" i="3"/>
  <c r="Q1508" i="3"/>
  <c r="P1508" i="3"/>
  <c r="O1508" i="3"/>
  <c r="N1508" i="3"/>
  <c r="L1508" i="3"/>
  <c r="K1508" i="3"/>
  <c r="Q1507" i="3"/>
  <c r="P1507" i="3"/>
  <c r="O1507" i="3"/>
  <c r="N1507" i="3"/>
  <c r="L1507" i="3"/>
  <c r="K1507" i="3"/>
  <c r="Q1506" i="3"/>
  <c r="P1506" i="3"/>
  <c r="O1506" i="3"/>
  <c r="N1506" i="3"/>
  <c r="L1506" i="3"/>
  <c r="K1506" i="3"/>
  <c r="Q1505" i="3"/>
  <c r="P1505" i="3"/>
  <c r="O1505" i="3"/>
  <c r="N1505" i="3"/>
  <c r="L1505" i="3"/>
  <c r="K1505" i="3"/>
  <c r="Q1504" i="3"/>
  <c r="P1504" i="3"/>
  <c r="O1504" i="3"/>
  <c r="N1504" i="3"/>
  <c r="L1504" i="3"/>
  <c r="K1504" i="3"/>
  <c r="Q1503" i="3"/>
  <c r="P1503" i="3"/>
  <c r="O1503" i="3"/>
  <c r="N1503" i="3"/>
  <c r="L1503" i="3"/>
  <c r="K1503" i="3"/>
  <c r="Q1502" i="3"/>
  <c r="P1502" i="3"/>
  <c r="O1502" i="3"/>
  <c r="N1502" i="3"/>
  <c r="L1502" i="3"/>
  <c r="K1502" i="3"/>
  <c r="Q1501" i="3"/>
  <c r="P1501" i="3"/>
  <c r="O1501" i="3"/>
  <c r="N1501" i="3"/>
  <c r="L1501" i="3"/>
  <c r="K1501" i="3"/>
  <c r="Q1500" i="3"/>
  <c r="P1500" i="3"/>
  <c r="O1500" i="3"/>
  <c r="N1500" i="3"/>
  <c r="L1500" i="3"/>
  <c r="K1500" i="3"/>
  <c r="Q1499" i="3"/>
  <c r="P1499" i="3"/>
  <c r="O1499" i="3"/>
  <c r="N1499" i="3"/>
  <c r="L1499" i="3"/>
  <c r="K1499" i="3"/>
  <c r="Q1498" i="3"/>
  <c r="P1498" i="3"/>
  <c r="O1498" i="3"/>
  <c r="N1498" i="3"/>
  <c r="L1498" i="3"/>
  <c r="K1498" i="3"/>
  <c r="Q1497" i="3"/>
  <c r="P1497" i="3"/>
  <c r="O1497" i="3"/>
  <c r="N1497" i="3"/>
  <c r="L1497" i="3"/>
  <c r="K1497" i="3"/>
  <c r="Q1496" i="3"/>
  <c r="P1496" i="3"/>
  <c r="O1496" i="3"/>
  <c r="N1496" i="3"/>
  <c r="L1496" i="3"/>
  <c r="K1496" i="3"/>
  <c r="Q1495" i="3"/>
  <c r="P1495" i="3"/>
  <c r="O1495" i="3"/>
  <c r="N1495" i="3"/>
  <c r="L1495" i="3"/>
  <c r="K1495" i="3"/>
  <c r="Q1494" i="3"/>
  <c r="P1494" i="3"/>
  <c r="O1494" i="3"/>
  <c r="N1494" i="3"/>
  <c r="L1494" i="3"/>
  <c r="K1494" i="3"/>
  <c r="Q1493" i="3"/>
  <c r="P1493" i="3"/>
  <c r="O1493" i="3"/>
  <c r="N1493" i="3"/>
  <c r="L1493" i="3"/>
  <c r="K1493" i="3"/>
  <c r="Q1492" i="3"/>
  <c r="P1492" i="3"/>
  <c r="O1492" i="3"/>
  <c r="N1492" i="3"/>
  <c r="L1492" i="3"/>
  <c r="K1492" i="3"/>
  <c r="Q1491" i="3"/>
  <c r="P1491" i="3"/>
  <c r="O1491" i="3"/>
  <c r="N1491" i="3"/>
  <c r="L1491" i="3"/>
  <c r="K1491" i="3"/>
  <c r="Q1490" i="3"/>
  <c r="P1490" i="3"/>
  <c r="O1490" i="3"/>
  <c r="N1490" i="3"/>
  <c r="L1490" i="3"/>
  <c r="K1490" i="3"/>
  <c r="Q1489" i="3"/>
  <c r="P1489" i="3"/>
  <c r="O1489" i="3"/>
  <c r="N1489" i="3"/>
  <c r="L1489" i="3"/>
  <c r="K1489" i="3"/>
  <c r="Q1488" i="3"/>
  <c r="P1488" i="3"/>
  <c r="O1488" i="3"/>
  <c r="N1488" i="3"/>
  <c r="L1488" i="3"/>
  <c r="K1488" i="3"/>
  <c r="Q1487" i="3"/>
  <c r="P1487" i="3"/>
  <c r="O1487" i="3"/>
  <c r="N1487" i="3"/>
  <c r="L1487" i="3"/>
  <c r="K1487" i="3"/>
  <c r="Q1486" i="3"/>
  <c r="P1486" i="3"/>
  <c r="O1486" i="3"/>
  <c r="N1486" i="3"/>
  <c r="L1486" i="3"/>
  <c r="K1486" i="3"/>
  <c r="Q1485" i="3"/>
  <c r="P1485" i="3"/>
  <c r="O1485" i="3"/>
  <c r="N1485" i="3"/>
  <c r="L1485" i="3"/>
  <c r="K1485" i="3"/>
  <c r="Q1484" i="3"/>
  <c r="P1484" i="3"/>
  <c r="O1484" i="3"/>
  <c r="N1484" i="3"/>
  <c r="L1484" i="3"/>
  <c r="K1484" i="3"/>
  <c r="Q1483" i="3"/>
  <c r="P1483" i="3"/>
  <c r="O1483" i="3"/>
  <c r="N1483" i="3"/>
  <c r="L1483" i="3"/>
  <c r="K1483" i="3"/>
  <c r="Q1482" i="3"/>
  <c r="P1482" i="3"/>
  <c r="O1482" i="3"/>
  <c r="N1482" i="3"/>
  <c r="L1482" i="3"/>
  <c r="K1482" i="3"/>
  <c r="Q1481" i="3"/>
  <c r="P1481" i="3"/>
  <c r="O1481" i="3"/>
  <c r="N1481" i="3"/>
  <c r="L1481" i="3"/>
  <c r="K1481" i="3"/>
  <c r="Q1480" i="3"/>
  <c r="P1480" i="3"/>
  <c r="O1480" i="3"/>
  <c r="N1480" i="3"/>
  <c r="L1480" i="3"/>
  <c r="K1480" i="3"/>
  <c r="Q1479" i="3"/>
  <c r="P1479" i="3"/>
  <c r="O1479" i="3"/>
  <c r="N1479" i="3"/>
  <c r="L1479" i="3"/>
  <c r="K1479" i="3"/>
  <c r="Q1478" i="3"/>
  <c r="P1478" i="3"/>
  <c r="O1478" i="3"/>
  <c r="N1478" i="3"/>
  <c r="L1478" i="3"/>
  <c r="K1478" i="3"/>
  <c r="Q1477" i="3"/>
  <c r="P1477" i="3"/>
  <c r="O1477" i="3"/>
  <c r="N1477" i="3"/>
  <c r="L1477" i="3"/>
  <c r="K1477" i="3"/>
  <c r="Q1476" i="3"/>
  <c r="P1476" i="3"/>
  <c r="O1476" i="3"/>
  <c r="N1476" i="3"/>
  <c r="L1476" i="3"/>
  <c r="K1476" i="3"/>
  <c r="Q1475" i="3"/>
  <c r="P1475" i="3"/>
  <c r="O1475" i="3"/>
  <c r="N1475" i="3"/>
  <c r="L1475" i="3"/>
  <c r="K1475" i="3"/>
  <c r="Q1474" i="3"/>
  <c r="P1474" i="3"/>
  <c r="O1474" i="3"/>
  <c r="N1474" i="3"/>
  <c r="L1474" i="3"/>
  <c r="K1474" i="3"/>
  <c r="Q1473" i="3"/>
  <c r="P1473" i="3"/>
  <c r="O1473" i="3"/>
  <c r="N1473" i="3"/>
  <c r="L1473" i="3"/>
  <c r="K1473" i="3"/>
  <c r="Q1472" i="3"/>
  <c r="P1472" i="3"/>
  <c r="O1472" i="3"/>
  <c r="N1472" i="3"/>
  <c r="L1472" i="3"/>
  <c r="K1472" i="3"/>
  <c r="Q1471" i="3"/>
  <c r="P1471" i="3"/>
  <c r="O1471" i="3"/>
  <c r="N1471" i="3"/>
  <c r="L1471" i="3"/>
  <c r="K1471" i="3"/>
  <c r="Q1470" i="3"/>
  <c r="P1470" i="3"/>
  <c r="O1470" i="3"/>
  <c r="N1470" i="3"/>
  <c r="L1470" i="3"/>
  <c r="K1470" i="3"/>
  <c r="Q1469" i="3"/>
  <c r="P1469" i="3"/>
  <c r="O1469" i="3"/>
  <c r="N1469" i="3"/>
  <c r="L1469" i="3"/>
  <c r="K1469" i="3"/>
  <c r="Q1468" i="3"/>
  <c r="P1468" i="3"/>
  <c r="O1468" i="3"/>
  <c r="N1468" i="3"/>
  <c r="L1468" i="3"/>
  <c r="K1468" i="3"/>
  <c r="Q1467" i="3"/>
  <c r="P1467" i="3"/>
  <c r="O1467" i="3"/>
  <c r="N1467" i="3"/>
  <c r="L1467" i="3"/>
  <c r="K1467" i="3"/>
  <c r="Q1466" i="3"/>
  <c r="P1466" i="3"/>
  <c r="O1466" i="3"/>
  <c r="N1466" i="3"/>
  <c r="L1466" i="3"/>
  <c r="K1466" i="3"/>
  <c r="Q1465" i="3"/>
  <c r="P1465" i="3"/>
  <c r="O1465" i="3"/>
  <c r="N1465" i="3"/>
  <c r="L1465" i="3"/>
  <c r="K1465" i="3"/>
  <c r="Q1464" i="3"/>
  <c r="P1464" i="3"/>
  <c r="O1464" i="3"/>
  <c r="N1464" i="3"/>
  <c r="L1464" i="3"/>
  <c r="K1464" i="3"/>
  <c r="Q1463" i="3"/>
  <c r="P1463" i="3"/>
  <c r="O1463" i="3"/>
  <c r="N1463" i="3"/>
  <c r="L1463" i="3"/>
  <c r="K1463" i="3"/>
  <c r="Q1462" i="3"/>
  <c r="P1462" i="3"/>
  <c r="O1462" i="3"/>
  <c r="N1462" i="3"/>
  <c r="L1462" i="3"/>
  <c r="K1462" i="3"/>
  <c r="Q1461" i="3"/>
  <c r="P1461" i="3"/>
  <c r="O1461" i="3"/>
  <c r="N1461" i="3"/>
  <c r="L1461" i="3"/>
  <c r="K1461" i="3"/>
  <c r="Q1460" i="3"/>
  <c r="P1460" i="3"/>
  <c r="O1460" i="3"/>
  <c r="N1460" i="3"/>
  <c r="L1460" i="3"/>
  <c r="K1460" i="3"/>
  <c r="Q1459" i="3"/>
  <c r="P1459" i="3"/>
  <c r="O1459" i="3"/>
  <c r="N1459" i="3"/>
  <c r="L1459" i="3"/>
  <c r="K1459" i="3"/>
  <c r="Q1458" i="3"/>
  <c r="P1458" i="3"/>
  <c r="O1458" i="3"/>
  <c r="N1458" i="3"/>
  <c r="L1458" i="3"/>
  <c r="K1458" i="3"/>
  <c r="Q1457" i="3"/>
  <c r="P1457" i="3"/>
  <c r="O1457" i="3"/>
  <c r="N1457" i="3"/>
  <c r="L1457" i="3"/>
  <c r="K1457" i="3"/>
  <c r="Q1456" i="3"/>
  <c r="P1456" i="3"/>
  <c r="O1456" i="3"/>
  <c r="N1456" i="3"/>
  <c r="L1456" i="3"/>
  <c r="K1456" i="3"/>
  <c r="Q1455" i="3"/>
  <c r="P1455" i="3"/>
  <c r="O1455" i="3"/>
  <c r="N1455" i="3"/>
  <c r="L1455" i="3"/>
  <c r="K1455" i="3"/>
  <c r="Q1454" i="3"/>
  <c r="P1454" i="3"/>
  <c r="O1454" i="3"/>
  <c r="N1454" i="3"/>
  <c r="L1454" i="3"/>
  <c r="K1454" i="3"/>
  <c r="Q1453" i="3"/>
  <c r="P1453" i="3"/>
  <c r="O1453" i="3"/>
  <c r="N1453" i="3"/>
  <c r="L1453" i="3"/>
  <c r="K1453" i="3"/>
  <c r="Q1452" i="3"/>
  <c r="P1452" i="3"/>
  <c r="O1452" i="3"/>
  <c r="N1452" i="3"/>
  <c r="L1452" i="3"/>
  <c r="K1452" i="3"/>
  <c r="Q1451" i="3"/>
  <c r="P1451" i="3"/>
  <c r="O1451" i="3"/>
  <c r="N1451" i="3"/>
  <c r="L1451" i="3"/>
  <c r="K1451" i="3"/>
  <c r="Q1450" i="3"/>
  <c r="P1450" i="3"/>
  <c r="O1450" i="3"/>
  <c r="N1450" i="3"/>
  <c r="L1450" i="3"/>
  <c r="K1450" i="3"/>
  <c r="Q1449" i="3"/>
  <c r="P1449" i="3"/>
  <c r="O1449" i="3"/>
  <c r="N1449" i="3"/>
  <c r="L1449" i="3"/>
  <c r="K1449" i="3"/>
  <c r="Q1448" i="3"/>
  <c r="P1448" i="3"/>
  <c r="O1448" i="3"/>
  <c r="N1448" i="3"/>
  <c r="L1448" i="3"/>
  <c r="K1448" i="3"/>
  <c r="Q1447" i="3"/>
  <c r="P1447" i="3"/>
  <c r="O1447" i="3"/>
  <c r="N1447" i="3"/>
  <c r="L1447" i="3"/>
  <c r="K1447" i="3"/>
  <c r="Q1446" i="3"/>
  <c r="P1446" i="3"/>
  <c r="O1446" i="3"/>
  <c r="N1446" i="3"/>
  <c r="L1446" i="3"/>
  <c r="K1446" i="3"/>
  <c r="Q1445" i="3"/>
  <c r="P1445" i="3"/>
  <c r="O1445" i="3"/>
  <c r="N1445" i="3"/>
  <c r="L1445" i="3"/>
  <c r="K1445" i="3"/>
  <c r="Q1444" i="3"/>
  <c r="P1444" i="3"/>
  <c r="O1444" i="3"/>
  <c r="N1444" i="3"/>
  <c r="L1444" i="3"/>
  <c r="K1444" i="3"/>
  <c r="Q1443" i="3"/>
  <c r="P1443" i="3"/>
  <c r="O1443" i="3"/>
  <c r="N1443" i="3"/>
  <c r="L1443" i="3"/>
  <c r="K1443" i="3"/>
  <c r="Q1442" i="3"/>
  <c r="P1442" i="3"/>
  <c r="O1442" i="3"/>
  <c r="N1442" i="3"/>
  <c r="L1442" i="3"/>
  <c r="K1442" i="3"/>
  <c r="Q1441" i="3"/>
  <c r="P1441" i="3"/>
  <c r="O1441" i="3"/>
  <c r="N1441" i="3"/>
  <c r="L1441" i="3"/>
  <c r="K1441" i="3"/>
  <c r="Q1440" i="3"/>
  <c r="P1440" i="3"/>
  <c r="O1440" i="3"/>
  <c r="N1440" i="3"/>
  <c r="L1440" i="3"/>
  <c r="K1440" i="3"/>
  <c r="Q1439" i="3"/>
  <c r="P1439" i="3"/>
  <c r="O1439" i="3"/>
  <c r="N1439" i="3"/>
  <c r="L1439" i="3"/>
  <c r="K1439" i="3"/>
  <c r="Q1438" i="3"/>
  <c r="P1438" i="3"/>
  <c r="O1438" i="3"/>
  <c r="N1438" i="3"/>
  <c r="L1438" i="3"/>
  <c r="K1438" i="3"/>
  <c r="Q1437" i="3"/>
  <c r="P1437" i="3"/>
  <c r="O1437" i="3"/>
  <c r="N1437" i="3"/>
  <c r="L1437" i="3"/>
  <c r="K1437" i="3"/>
  <c r="Q1436" i="3"/>
  <c r="P1436" i="3"/>
  <c r="O1436" i="3"/>
  <c r="N1436" i="3"/>
  <c r="L1436" i="3"/>
  <c r="K1436" i="3"/>
  <c r="Q1435" i="3"/>
  <c r="P1435" i="3"/>
  <c r="O1435" i="3"/>
  <c r="N1435" i="3"/>
  <c r="L1435" i="3"/>
  <c r="K1435" i="3"/>
  <c r="Q1434" i="3"/>
  <c r="P1434" i="3"/>
  <c r="O1434" i="3"/>
  <c r="N1434" i="3"/>
  <c r="L1434" i="3"/>
  <c r="K1434" i="3"/>
  <c r="Q1433" i="3"/>
  <c r="P1433" i="3"/>
  <c r="O1433" i="3"/>
  <c r="N1433" i="3"/>
  <c r="L1433" i="3"/>
  <c r="K1433" i="3"/>
  <c r="Q1432" i="3"/>
  <c r="P1432" i="3"/>
  <c r="O1432" i="3"/>
  <c r="N1432" i="3"/>
  <c r="L1432" i="3"/>
  <c r="K1432" i="3"/>
  <c r="Q1431" i="3"/>
  <c r="P1431" i="3"/>
  <c r="O1431" i="3"/>
  <c r="N1431" i="3"/>
  <c r="L1431" i="3"/>
  <c r="K1431" i="3"/>
  <c r="Q1430" i="3"/>
  <c r="P1430" i="3"/>
  <c r="O1430" i="3"/>
  <c r="N1430" i="3"/>
  <c r="L1430" i="3"/>
  <c r="K1430" i="3"/>
  <c r="Q1429" i="3"/>
  <c r="P1429" i="3"/>
  <c r="O1429" i="3"/>
  <c r="N1429" i="3"/>
  <c r="L1429" i="3"/>
  <c r="K1429" i="3"/>
  <c r="Q1428" i="3"/>
  <c r="P1428" i="3"/>
  <c r="O1428" i="3"/>
  <c r="N1428" i="3"/>
  <c r="L1428" i="3"/>
  <c r="K1428" i="3"/>
  <c r="Q1427" i="3"/>
  <c r="P1427" i="3"/>
  <c r="O1427" i="3"/>
  <c r="N1427" i="3"/>
  <c r="L1427" i="3"/>
  <c r="K1427" i="3"/>
  <c r="Q1426" i="3"/>
  <c r="P1426" i="3"/>
  <c r="O1426" i="3"/>
  <c r="N1426" i="3"/>
  <c r="L1426" i="3"/>
  <c r="K1426" i="3"/>
  <c r="Q1425" i="3"/>
  <c r="P1425" i="3"/>
  <c r="O1425" i="3"/>
  <c r="N1425" i="3"/>
  <c r="L1425" i="3"/>
  <c r="K1425" i="3"/>
  <c r="Q1424" i="3"/>
  <c r="P1424" i="3"/>
  <c r="O1424" i="3"/>
  <c r="N1424" i="3"/>
  <c r="L1424" i="3"/>
  <c r="K1424" i="3"/>
  <c r="Q1423" i="3"/>
  <c r="P1423" i="3"/>
  <c r="O1423" i="3"/>
  <c r="N1423" i="3"/>
  <c r="L1423" i="3"/>
  <c r="K1423" i="3"/>
  <c r="Q1422" i="3"/>
  <c r="P1422" i="3"/>
  <c r="O1422" i="3"/>
  <c r="N1422" i="3"/>
  <c r="L1422" i="3"/>
  <c r="K1422" i="3"/>
  <c r="Q1421" i="3"/>
  <c r="P1421" i="3"/>
  <c r="O1421" i="3"/>
  <c r="N1421" i="3"/>
  <c r="L1421" i="3"/>
  <c r="K1421" i="3"/>
  <c r="Q1420" i="3"/>
  <c r="P1420" i="3"/>
  <c r="O1420" i="3"/>
  <c r="N1420" i="3"/>
  <c r="L1420" i="3"/>
  <c r="K1420" i="3"/>
  <c r="Q1419" i="3"/>
  <c r="P1419" i="3"/>
  <c r="O1419" i="3"/>
  <c r="N1419" i="3"/>
  <c r="L1419" i="3"/>
  <c r="K1419" i="3"/>
  <c r="Q1418" i="3"/>
  <c r="P1418" i="3"/>
  <c r="O1418" i="3"/>
  <c r="N1418" i="3"/>
  <c r="L1418" i="3"/>
  <c r="K1418" i="3"/>
  <c r="Q1417" i="3"/>
  <c r="P1417" i="3"/>
  <c r="O1417" i="3"/>
  <c r="N1417" i="3"/>
  <c r="L1417" i="3"/>
  <c r="K1417" i="3"/>
  <c r="Q1416" i="3"/>
  <c r="P1416" i="3"/>
  <c r="O1416" i="3"/>
  <c r="N1416" i="3"/>
  <c r="L1416" i="3"/>
  <c r="K1416" i="3"/>
  <c r="Q1415" i="3"/>
  <c r="P1415" i="3"/>
  <c r="O1415" i="3"/>
  <c r="N1415" i="3"/>
  <c r="L1415" i="3"/>
  <c r="K1415" i="3"/>
  <c r="Q1414" i="3"/>
  <c r="P1414" i="3"/>
  <c r="O1414" i="3"/>
  <c r="N1414" i="3"/>
  <c r="L1414" i="3"/>
  <c r="K1414" i="3"/>
  <c r="Q1413" i="3"/>
  <c r="P1413" i="3"/>
  <c r="O1413" i="3"/>
  <c r="N1413" i="3"/>
  <c r="L1413" i="3"/>
  <c r="K1413" i="3"/>
  <c r="Q1412" i="3"/>
  <c r="P1412" i="3"/>
  <c r="O1412" i="3"/>
  <c r="N1412" i="3"/>
  <c r="L1412" i="3"/>
  <c r="K1412" i="3"/>
  <c r="Q1411" i="3"/>
  <c r="P1411" i="3"/>
  <c r="O1411" i="3"/>
  <c r="N1411" i="3"/>
  <c r="L1411" i="3"/>
  <c r="K1411" i="3"/>
  <c r="Q1410" i="3"/>
  <c r="P1410" i="3"/>
  <c r="O1410" i="3"/>
  <c r="N1410" i="3"/>
  <c r="L1410" i="3"/>
  <c r="K1410" i="3"/>
  <c r="Q1409" i="3"/>
  <c r="P1409" i="3"/>
  <c r="O1409" i="3"/>
  <c r="N1409" i="3"/>
  <c r="L1409" i="3"/>
  <c r="K1409" i="3"/>
  <c r="Q1408" i="3"/>
  <c r="P1408" i="3"/>
  <c r="O1408" i="3"/>
  <c r="N1408" i="3"/>
  <c r="L1408" i="3"/>
  <c r="K1408" i="3"/>
  <c r="Q1407" i="3"/>
  <c r="P1407" i="3"/>
  <c r="O1407" i="3"/>
  <c r="N1407" i="3"/>
  <c r="L1407" i="3"/>
  <c r="K1407" i="3"/>
  <c r="Q1406" i="3"/>
  <c r="P1406" i="3"/>
  <c r="O1406" i="3"/>
  <c r="N1406" i="3"/>
  <c r="L1406" i="3"/>
  <c r="K1406" i="3"/>
  <c r="Q1405" i="3"/>
  <c r="P1405" i="3"/>
  <c r="O1405" i="3"/>
  <c r="N1405" i="3"/>
  <c r="L1405" i="3"/>
  <c r="K1405" i="3"/>
  <c r="Q1404" i="3"/>
  <c r="P1404" i="3"/>
  <c r="O1404" i="3"/>
  <c r="N1404" i="3"/>
  <c r="L1404" i="3"/>
  <c r="K1404" i="3"/>
  <c r="Q1403" i="3"/>
  <c r="P1403" i="3"/>
  <c r="O1403" i="3"/>
  <c r="N1403" i="3"/>
  <c r="L1403" i="3"/>
  <c r="K1403" i="3"/>
  <c r="Q1402" i="3"/>
  <c r="P1402" i="3"/>
  <c r="O1402" i="3"/>
  <c r="N1402" i="3"/>
  <c r="L1402" i="3"/>
  <c r="K1402" i="3"/>
  <c r="Q1401" i="3"/>
  <c r="P1401" i="3"/>
  <c r="O1401" i="3"/>
  <c r="N1401" i="3"/>
  <c r="L1401" i="3"/>
  <c r="K1401" i="3"/>
  <c r="Q1400" i="3"/>
  <c r="P1400" i="3"/>
  <c r="O1400" i="3"/>
  <c r="N1400" i="3"/>
  <c r="L1400" i="3"/>
  <c r="K1400" i="3"/>
  <c r="Q1399" i="3"/>
  <c r="P1399" i="3"/>
  <c r="O1399" i="3"/>
  <c r="N1399" i="3"/>
  <c r="L1399" i="3"/>
  <c r="K1399" i="3"/>
  <c r="Q1398" i="3"/>
  <c r="P1398" i="3"/>
  <c r="O1398" i="3"/>
  <c r="N1398" i="3"/>
  <c r="L1398" i="3"/>
  <c r="K1398" i="3"/>
  <c r="Q1397" i="3"/>
  <c r="P1397" i="3"/>
  <c r="O1397" i="3"/>
  <c r="N1397" i="3"/>
  <c r="L1397" i="3"/>
  <c r="K1397" i="3"/>
  <c r="Q1396" i="3"/>
  <c r="P1396" i="3"/>
  <c r="O1396" i="3"/>
  <c r="N1396" i="3"/>
  <c r="L1396" i="3"/>
  <c r="K1396" i="3"/>
  <c r="Q1395" i="3"/>
  <c r="P1395" i="3"/>
  <c r="O1395" i="3"/>
  <c r="N1395" i="3"/>
  <c r="L1395" i="3"/>
  <c r="K1395" i="3"/>
  <c r="Q1394" i="3"/>
  <c r="P1394" i="3"/>
  <c r="O1394" i="3"/>
  <c r="N1394" i="3"/>
  <c r="L1394" i="3"/>
  <c r="K1394" i="3"/>
  <c r="Q1393" i="3"/>
  <c r="P1393" i="3"/>
  <c r="O1393" i="3"/>
  <c r="N1393" i="3"/>
  <c r="L1393" i="3"/>
  <c r="K1393" i="3"/>
  <c r="Q1392" i="3"/>
  <c r="P1392" i="3"/>
  <c r="O1392" i="3"/>
  <c r="N1392" i="3"/>
  <c r="L1392" i="3"/>
  <c r="K1392" i="3"/>
  <c r="Q1391" i="3"/>
  <c r="P1391" i="3"/>
  <c r="O1391" i="3"/>
  <c r="N1391" i="3"/>
  <c r="L1391" i="3"/>
  <c r="K1391" i="3"/>
  <c r="Q1390" i="3"/>
  <c r="P1390" i="3"/>
  <c r="O1390" i="3"/>
  <c r="N1390" i="3"/>
  <c r="L1390" i="3"/>
  <c r="K1390" i="3"/>
  <c r="Q1389" i="3"/>
  <c r="P1389" i="3"/>
  <c r="O1389" i="3"/>
  <c r="N1389" i="3"/>
  <c r="L1389" i="3"/>
  <c r="K1389" i="3"/>
  <c r="Q1388" i="3"/>
  <c r="P1388" i="3"/>
  <c r="O1388" i="3"/>
  <c r="N1388" i="3"/>
  <c r="L1388" i="3"/>
  <c r="K1388" i="3"/>
  <c r="Q1387" i="3"/>
  <c r="P1387" i="3"/>
  <c r="O1387" i="3"/>
  <c r="N1387" i="3"/>
  <c r="L1387" i="3"/>
  <c r="K1387" i="3"/>
  <c r="Q1386" i="3"/>
  <c r="P1386" i="3"/>
  <c r="O1386" i="3"/>
  <c r="N1386" i="3"/>
  <c r="L1386" i="3"/>
  <c r="K1386" i="3"/>
  <c r="Q1385" i="3"/>
  <c r="P1385" i="3"/>
  <c r="O1385" i="3"/>
  <c r="N1385" i="3"/>
  <c r="L1385" i="3"/>
  <c r="K1385" i="3"/>
  <c r="Q1384" i="3"/>
  <c r="P1384" i="3"/>
  <c r="O1384" i="3"/>
  <c r="N1384" i="3"/>
  <c r="L1384" i="3"/>
  <c r="K1384" i="3"/>
  <c r="Q1383" i="3"/>
  <c r="P1383" i="3"/>
  <c r="O1383" i="3"/>
  <c r="N1383" i="3"/>
  <c r="L1383" i="3"/>
  <c r="K1383" i="3"/>
  <c r="Q1382" i="3"/>
  <c r="P1382" i="3"/>
  <c r="O1382" i="3"/>
  <c r="N1382" i="3"/>
  <c r="L1382" i="3"/>
  <c r="K1382" i="3"/>
  <c r="Q1381" i="3"/>
  <c r="P1381" i="3"/>
  <c r="O1381" i="3"/>
  <c r="B20" i="1" s="1"/>
  <c r="B8" i="2" s="1"/>
  <c r="N1381" i="3"/>
  <c r="L1381" i="3"/>
  <c r="M1381" i="3" s="1"/>
  <c r="R1381" i="3" s="1"/>
  <c r="K1381" i="3"/>
  <c r="Q1380" i="3"/>
  <c r="P1380" i="3"/>
  <c r="O1380" i="3"/>
  <c r="N1380" i="3"/>
  <c r="L1380" i="3"/>
  <c r="K1380" i="3"/>
  <c r="Q1379" i="3"/>
  <c r="P1379" i="3"/>
  <c r="O1379" i="3"/>
  <c r="N1379" i="3"/>
  <c r="L1379" i="3"/>
  <c r="K1379" i="3"/>
  <c r="Q1378" i="3"/>
  <c r="P1378" i="3"/>
  <c r="O1378" i="3"/>
  <c r="N1378" i="3"/>
  <c r="L1378" i="3"/>
  <c r="K1378" i="3"/>
  <c r="Q1377" i="3"/>
  <c r="P1377" i="3"/>
  <c r="O1377" i="3"/>
  <c r="N1377" i="3"/>
  <c r="L1377" i="3"/>
  <c r="K1377" i="3"/>
  <c r="Q1376" i="3"/>
  <c r="P1376" i="3"/>
  <c r="O1376" i="3"/>
  <c r="N1376" i="3"/>
  <c r="L1376" i="3"/>
  <c r="K1376" i="3"/>
  <c r="Q1375" i="3"/>
  <c r="P1375" i="3"/>
  <c r="O1375" i="3"/>
  <c r="N1375" i="3"/>
  <c r="L1375" i="3"/>
  <c r="K1375" i="3"/>
  <c r="Q1374" i="3"/>
  <c r="P1374" i="3"/>
  <c r="O1374" i="3"/>
  <c r="N1374" i="3"/>
  <c r="L1374" i="3"/>
  <c r="K1374" i="3"/>
  <c r="Q1373" i="3"/>
  <c r="P1373" i="3"/>
  <c r="O1373" i="3"/>
  <c r="N1373" i="3"/>
  <c r="L1373" i="3"/>
  <c r="K1373" i="3"/>
  <c r="Q1372" i="3"/>
  <c r="P1372" i="3"/>
  <c r="O1372" i="3"/>
  <c r="N1372" i="3"/>
  <c r="L1372" i="3"/>
  <c r="K1372" i="3"/>
  <c r="Q1371" i="3"/>
  <c r="P1371" i="3"/>
  <c r="O1371" i="3"/>
  <c r="N1371" i="3"/>
  <c r="L1371" i="3"/>
  <c r="K1371" i="3"/>
  <c r="Q1370" i="3"/>
  <c r="P1370" i="3"/>
  <c r="O1370" i="3"/>
  <c r="N1370" i="3"/>
  <c r="L1370" i="3"/>
  <c r="K1370" i="3"/>
  <c r="Q1369" i="3"/>
  <c r="P1369" i="3"/>
  <c r="O1369" i="3"/>
  <c r="N1369" i="3"/>
  <c r="L1369" i="3"/>
  <c r="K1369" i="3"/>
  <c r="Q1368" i="3"/>
  <c r="P1368" i="3"/>
  <c r="O1368" i="3"/>
  <c r="N1368" i="3"/>
  <c r="L1368" i="3"/>
  <c r="K1368" i="3"/>
  <c r="Q1367" i="3"/>
  <c r="P1367" i="3"/>
  <c r="O1367" i="3"/>
  <c r="N1367" i="3"/>
  <c r="L1367" i="3"/>
  <c r="K1367" i="3"/>
  <c r="Q1366" i="3"/>
  <c r="P1366" i="3"/>
  <c r="O1366" i="3"/>
  <c r="N1366" i="3"/>
  <c r="L1366" i="3"/>
  <c r="K1366" i="3"/>
  <c r="Q1365" i="3"/>
  <c r="P1365" i="3"/>
  <c r="O1365" i="3"/>
  <c r="N1365" i="3"/>
  <c r="L1365" i="3"/>
  <c r="K1365" i="3"/>
  <c r="Q1364" i="3"/>
  <c r="P1364" i="3"/>
  <c r="O1364" i="3"/>
  <c r="N1364" i="3"/>
  <c r="L1364" i="3"/>
  <c r="K1364" i="3"/>
  <c r="Q1363" i="3"/>
  <c r="P1363" i="3"/>
  <c r="O1363" i="3"/>
  <c r="N1363" i="3"/>
  <c r="L1363" i="3"/>
  <c r="K1363" i="3"/>
  <c r="Q1362" i="3"/>
  <c r="P1362" i="3"/>
  <c r="O1362" i="3"/>
  <c r="N1362" i="3"/>
  <c r="L1362" i="3"/>
  <c r="K1362" i="3"/>
  <c r="Q1361" i="3"/>
  <c r="P1361" i="3"/>
  <c r="O1361" i="3"/>
  <c r="N1361" i="3"/>
  <c r="L1361" i="3"/>
  <c r="K1361" i="3"/>
  <c r="Q1360" i="3"/>
  <c r="P1360" i="3"/>
  <c r="O1360" i="3"/>
  <c r="N1360" i="3"/>
  <c r="L1360" i="3"/>
  <c r="K1360" i="3"/>
  <c r="Q1359" i="3"/>
  <c r="P1359" i="3"/>
  <c r="O1359" i="3"/>
  <c r="N1359" i="3"/>
  <c r="L1359" i="3"/>
  <c r="K1359" i="3"/>
  <c r="Q1358" i="3"/>
  <c r="P1358" i="3"/>
  <c r="O1358" i="3"/>
  <c r="N1358" i="3"/>
  <c r="L1358" i="3"/>
  <c r="K1358" i="3"/>
  <c r="Q1357" i="3"/>
  <c r="P1357" i="3"/>
  <c r="O1357" i="3"/>
  <c r="N1357" i="3"/>
  <c r="L1357" i="3"/>
  <c r="K1357" i="3"/>
  <c r="Q1356" i="3"/>
  <c r="P1356" i="3"/>
  <c r="O1356" i="3"/>
  <c r="N1356" i="3"/>
  <c r="L1356" i="3"/>
  <c r="K1356" i="3"/>
  <c r="Q1355" i="3"/>
  <c r="P1355" i="3"/>
  <c r="O1355" i="3"/>
  <c r="N1355" i="3"/>
  <c r="L1355" i="3"/>
  <c r="K1355" i="3"/>
  <c r="Q1354" i="3"/>
  <c r="P1354" i="3"/>
  <c r="O1354" i="3"/>
  <c r="N1354" i="3"/>
  <c r="L1354" i="3"/>
  <c r="K1354" i="3"/>
  <c r="Q1353" i="3"/>
  <c r="P1353" i="3"/>
  <c r="O1353" i="3"/>
  <c r="N1353" i="3"/>
  <c r="L1353" i="3"/>
  <c r="K1353" i="3"/>
  <c r="Q1352" i="3"/>
  <c r="P1352" i="3"/>
  <c r="O1352" i="3"/>
  <c r="N1352" i="3"/>
  <c r="L1352" i="3"/>
  <c r="K1352" i="3"/>
  <c r="Q1351" i="3"/>
  <c r="P1351" i="3"/>
  <c r="O1351" i="3"/>
  <c r="N1351" i="3"/>
  <c r="L1351" i="3"/>
  <c r="K1351" i="3"/>
  <c r="Q1350" i="3"/>
  <c r="P1350" i="3"/>
  <c r="O1350" i="3"/>
  <c r="N1350" i="3"/>
  <c r="L1350" i="3"/>
  <c r="K1350" i="3"/>
  <c r="Q1349" i="3"/>
  <c r="P1349" i="3"/>
  <c r="O1349" i="3"/>
  <c r="N1349" i="3"/>
  <c r="L1349" i="3"/>
  <c r="K1349" i="3"/>
  <c r="Q1348" i="3"/>
  <c r="P1348" i="3"/>
  <c r="O1348" i="3"/>
  <c r="N1348" i="3"/>
  <c r="L1348" i="3"/>
  <c r="K1348" i="3"/>
  <c r="Q1347" i="3"/>
  <c r="P1347" i="3"/>
  <c r="O1347" i="3"/>
  <c r="N1347" i="3"/>
  <c r="L1347" i="3"/>
  <c r="K1347" i="3"/>
  <c r="Q1346" i="3"/>
  <c r="P1346" i="3"/>
  <c r="O1346" i="3"/>
  <c r="N1346" i="3"/>
  <c r="L1346" i="3"/>
  <c r="K1346" i="3"/>
  <c r="Q1345" i="3"/>
  <c r="P1345" i="3"/>
  <c r="O1345" i="3"/>
  <c r="N1345" i="3"/>
  <c r="L1345" i="3"/>
  <c r="K1345" i="3"/>
  <c r="Q1344" i="3"/>
  <c r="P1344" i="3"/>
  <c r="O1344" i="3"/>
  <c r="N1344" i="3"/>
  <c r="L1344" i="3"/>
  <c r="K1344" i="3"/>
  <c r="Q1343" i="3"/>
  <c r="P1343" i="3"/>
  <c r="O1343" i="3"/>
  <c r="N1343" i="3"/>
  <c r="L1343" i="3"/>
  <c r="K1343" i="3"/>
  <c r="Q1342" i="3"/>
  <c r="P1342" i="3"/>
  <c r="O1342" i="3"/>
  <c r="N1342" i="3"/>
  <c r="L1342" i="3"/>
  <c r="K1342" i="3"/>
  <c r="Q1341" i="3"/>
  <c r="P1341" i="3"/>
  <c r="O1341" i="3"/>
  <c r="N1341" i="3"/>
  <c r="L1341" i="3"/>
  <c r="K1341" i="3"/>
  <c r="Q1340" i="3"/>
  <c r="P1340" i="3"/>
  <c r="O1340" i="3"/>
  <c r="N1340" i="3"/>
  <c r="L1340" i="3"/>
  <c r="K1340" i="3"/>
  <c r="Q1339" i="3"/>
  <c r="P1339" i="3"/>
  <c r="O1339" i="3"/>
  <c r="N1339" i="3"/>
  <c r="L1339" i="3"/>
  <c r="K1339" i="3"/>
  <c r="Q1338" i="3"/>
  <c r="P1338" i="3"/>
  <c r="O1338" i="3"/>
  <c r="N1338" i="3"/>
  <c r="L1338" i="3"/>
  <c r="K1338" i="3"/>
  <c r="Q1337" i="3"/>
  <c r="P1337" i="3"/>
  <c r="O1337" i="3"/>
  <c r="N1337" i="3"/>
  <c r="L1337" i="3"/>
  <c r="K1337" i="3"/>
  <c r="Q1336" i="3"/>
  <c r="P1336" i="3"/>
  <c r="O1336" i="3"/>
  <c r="N1336" i="3"/>
  <c r="L1336" i="3"/>
  <c r="K1336" i="3"/>
  <c r="Q1335" i="3"/>
  <c r="P1335" i="3"/>
  <c r="O1335" i="3"/>
  <c r="N1335" i="3"/>
  <c r="L1335" i="3"/>
  <c r="K1335" i="3"/>
  <c r="Q1334" i="3"/>
  <c r="P1334" i="3"/>
  <c r="O1334" i="3"/>
  <c r="N1334" i="3"/>
  <c r="L1334" i="3"/>
  <c r="K1334" i="3"/>
  <c r="Q1333" i="3"/>
  <c r="P1333" i="3"/>
  <c r="O1333" i="3"/>
  <c r="N1333" i="3"/>
  <c r="L1333" i="3"/>
  <c r="K1333" i="3"/>
  <c r="Q1332" i="3"/>
  <c r="P1332" i="3"/>
  <c r="O1332" i="3"/>
  <c r="N1332" i="3"/>
  <c r="L1332" i="3"/>
  <c r="K1332" i="3"/>
  <c r="Q1331" i="3"/>
  <c r="P1331" i="3"/>
  <c r="O1331" i="3"/>
  <c r="N1331" i="3"/>
  <c r="L1331" i="3"/>
  <c r="K1331" i="3"/>
  <c r="Q1330" i="3"/>
  <c r="P1330" i="3"/>
  <c r="O1330" i="3"/>
  <c r="N1330" i="3"/>
  <c r="L1330" i="3"/>
  <c r="K1330" i="3"/>
  <c r="Q1329" i="3"/>
  <c r="P1329" i="3"/>
  <c r="O1329" i="3"/>
  <c r="N1329" i="3"/>
  <c r="L1329" i="3"/>
  <c r="K1329" i="3"/>
  <c r="Q1328" i="3"/>
  <c r="P1328" i="3"/>
  <c r="O1328" i="3"/>
  <c r="N1328" i="3"/>
  <c r="L1328" i="3"/>
  <c r="K1328" i="3"/>
  <c r="Q1327" i="3"/>
  <c r="P1327" i="3"/>
  <c r="O1327" i="3"/>
  <c r="N1327" i="3"/>
  <c r="L1327" i="3"/>
  <c r="K1327" i="3"/>
  <c r="Q1326" i="3"/>
  <c r="P1326" i="3"/>
  <c r="O1326" i="3"/>
  <c r="N1326" i="3"/>
  <c r="L1326" i="3"/>
  <c r="K1326" i="3"/>
  <c r="Q1325" i="3"/>
  <c r="P1325" i="3"/>
  <c r="O1325" i="3"/>
  <c r="N1325" i="3"/>
  <c r="L1325" i="3"/>
  <c r="K1325" i="3"/>
  <c r="Q1324" i="3"/>
  <c r="P1324" i="3"/>
  <c r="O1324" i="3"/>
  <c r="N1324" i="3"/>
  <c r="L1324" i="3"/>
  <c r="K1324" i="3"/>
  <c r="Q1323" i="3"/>
  <c r="P1323" i="3"/>
  <c r="O1323" i="3"/>
  <c r="N1323" i="3"/>
  <c r="L1323" i="3"/>
  <c r="K1323" i="3"/>
  <c r="Q1322" i="3"/>
  <c r="P1322" i="3"/>
  <c r="O1322" i="3"/>
  <c r="N1322" i="3"/>
  <c r="L1322" i="3"/>
  <c r="K1322" i="3"/>
  <c r="Q1321" i="3"/>
  <c r="P1321" i="3"/>
  <c r="O1321" i="3"/>
  <c r="N1321" i="3"/>
  <c r="L1321" i="3"/>
  <c r="K1321" i="3"/>
  <c r="Q1320" i="3"/>
  <c r="P1320" i="3"/>
  <c r="O1320" i="3"/>
  <c r="N1320" i="3"/>
  <c r="L1320" i="3"/>
  <c r="K1320" i="3"/>
  <c r="Q1319" i="3"/>
  <c r="P1319" i="3"/>
  <c r="O1319" i="3"/>
  <c r="N1319" i="3"/>
  <c r="L1319" i="3"/>
  <c r="K1319" i="3"/>
  <c r="Q1318" i="3"/>
  <c r="P1318" i="3"/>
  <c r="O1318" i="3"/>
  <c r="N1318" i="3"/>
  <c r="L1318" i="3"/>
  <c r="K1318" i="3"/>
  <c r="Q1317" i="3"/>
  <c r="P1317" i="3"/>
  <c r="O1317" i="3"/>
  <c r="N1317" i="3"/>
  <c r="L1317" i="3"/>
  <c r="K1317" i="3"/>
  <c r="Q1316" i="3"/>
  <c r="P1316" i="3"/>
  <c r="O1316" i="3"/>
  <c r="N1316" i="3"/>
  <c r="L1316" i="3"/>
  <c r="K1316" i="3"/>
  <c r="Q1315" i="3"/>
  <c r="P1315" i="3"/>
  <c r="O1315" i="3"/>
  <c r="N1315" i="3"/>
  <c r="L1315" i="3"/>
  <c r="K1315" i="3"/>
  <c r="Q1314" i="3"/>
  <c r="P1314" i="3"/>
  <c r="O1314" i="3"/>
  <c r="N1314" i="3"/>
  <c r="L1314" i="3"/>
  <c r="K1314" i="3"/>
  <c r="Q1313" i="3"/>
  <c r="P1313" i="3"/>
  <c r="O1313" i="3"/>
  <c r="N1313" i="3"/>
  <c r="L1313" i="3"/>
  <c r="K1313" i="3"/>
  <c r="Q1312" i="3"/>
  <c r="P1312" i="3"/>
  <c r="O1312" i="3"/>
  <c r="N1312" i="3"/>
  <c r="L1312" i="3"/>
  <c r="K1312" i="3"/>
  <c r="Q1311" i="3"/>
  <c r="P1311" i="3"/>
  <c r="O1311" i="3"/>
  <c r="N1311" i="3"/>
  <c r="L1311" i="3"/>
  <c r="K1311" i="3"/>
  <c r="Q1310" i="3"/>
  <c r="P1310" i="3"/>
  <c r="O1310" i="3"/>
  <c r="N1310" i="3"/>
  <c r="L1310" i="3"/>
  <c r="K1310" i="3"/>
  <c r="Q1309" i="3"/>
  <c r="P1309" i="3"/>
  <c r="O1309" i="3"/>
  <c r="N1309" i="3"/>
  <c r="L1309" i="3"/>
  <c r="K1309" i="3"/>
  <c r="Q1308" i="3"/>
  <c r="P1308" i="3"/>
  <c r="O1308" i="3"/>
  <c r="N1308" i="3"/>
  <c r="L1308" i="3"/>
  <c r="K1308" i="3"/>
  <c r="Q1307" i="3"/>
  <c r="P1307" i="3"/>
  <c r="O1307" i="3"/>
  <c r="N1307" i="3"/>
  <c r="L1307" i="3"/>
  <c r="K1307" i="3"/>
  <c r="Q1306" i="3"/>
  <c r="P1306" i="3"/>
  <c r="O1306" i="3"/>
  <c r="N1306" i="3"/>
  <c r="L1306" i="3"/>
  <c r="K1306" i="3"/>
  <c r="Q1305" i="3"/>
  <c r="P1305" i="3"/>
  <c r="O1305" i="3"/>
  <c r="N1305" i="3"/>
  <c r="L1305" i="3"/>
  <c r="K1305" i="3"/>
  <c r="Q1304" i="3"/>
  <c r="P1304" i="3"/>
  <c r="O1304" i="3"/>
  <c r="N1304" i="3"/>
  <c r="L1304" i="3"/>
  <c r="K1304" i="3"/>
  <c r="Q1303" i="3"/>
  <c r="P1303" i="3"/>
  <c r="O1303" i="3"/>
  <c r="N1303" i="3"/>
  <c r="L1303" i="3"/>
  <c r="K1303" i="3"/>
  <c r="Q1302" i="3"/>
  <c r="P1302" i="3"/>
  <c r="O1302" i="3"/>
  <c r="N1302" i="3"/>
  <c r="L1302" i="3"/>
  <c r="K1302" i="3"/>
  <c r="Q1301" i="3"/>
  <c r="P1301" i="3"/>
  <c r="O1301" i="3"/>
  <c r="N1301" i="3"/>
  <c r="L1301" i="3"/>
  <c r="K1301" i="3"/>
  <c r="Q1300" i="3"/>
  <c r="P1300" i="3"/>
  <c r="O1300" i="3"/>
  <c r="N1300" i="3"/>
  <c r="L1300" i="3"/>
  <c r="K1300" i="3"/>
  <c r="Q1299" i="3"/>
  <c r="P1299" i="3"/>
  <c r="O1299" i="3"/>
  <c r="N1299" i="3"/>
  <c r="L1299" i="3"/>
  <c r="K1299" i="3"/>
  <c r="Q1298" i="3"/>
  <c r="P1298" i="3"/>
  <c r="O1298" i="3"/>
  <c r="N1298" i="3"/>
  <c r="L1298" i="3"/>
  <c r="K1298" i="3"/>
  <c r="Q1297" i="3"/>
  <c r="P1297" i="3"/>
  <c r="O1297" i="3"/>
  <c r="N1297" i="3"/>
  <c r="L1297" i="3"/>
  <c r="K1297" i="3"/>
  <c r="Q1296" i="3"/>
  <c r="P1296" i="3"/>
  <c r="O1296" i="3"/>
  <c r="N1296" i="3"/>
  <c r="L1296" i="3"/>
  <c r="K1296" i="3"/>
  <c r="Q1295" i="3"/>
  <c r="P1295" i="3"/>
  <c r="O1295" i="3"/>
  <c r="N1295" i="3"/>
  <c r="L1295" i="3"/>
  <c r="K1295" i="3"/>
  <c r="Q1294" i="3"/>
  <c r="P1294" i="3"/>
  <c r="O1294" i="3"/>
  <c r="N1294" i="3"/>
  <c r="L1294" i="3"/>
  <c r="K1294" i="3"/>
  <c r="Q1293" i="3"/>
  <c r="P1293" i="3"/>
  <c r="O1293" i="3"/>
  <c r="N1293" i="3"/>
  <c r="L1293" i="3"/>
  <c r="K1293" i="3"/>
  <c r="Q1292" i="3"/>
  <c r="P1292" i="3"/>
  <c r="O1292" i="3"/>
  <c r="N1292" i="3"/>
  <c r="L1292" i="3"/>
  <c r="K1292" i="3"/>
  <c r="Q1291" i="3"/>
  <c r="P1291" i="3"/>
  <c r="O1291" i="3"/>
  <c r="N1291" i="3"/>
  <c r="L1291" i="3"/>
  <c r="K1291" i="3"/>
  <c r="Q1290" i="3"/>
  <c r="P1290" i="3"/>
  <c r="O1290" i="3"/>
  <c r="N1290" i="3"/>
  <c r="L1290" i="3"/>
  <c r="K1290" i="3"/>
  <c r="Q1289" i="3"/>
  <c r="P1289" i="3"/>
  <c r="O1289" i="3"/>
  <c r="N1289" i="3"/>
  <c r="L1289" i="3"/>
  <c r="K1289" i="3"/>
  <c r="Q1288" i="3"/>
  <c r="P1288" i="3"/>
  <c r="O1288" i="3"/>
  <c r="N1288" i="3"/>
  <c r="L1288" i="3"/>
  <c r="K1288" i="3"/>
  <c r="Q1287" i="3"/>
  <c r="P1287" i="3"/>
  <c r="O1287" i="3"/>
  <c r="N1287" i="3"/>
  <c r="L1287" i="3"/>
  <c r="K1287" i="3"/>
  <c r="Q1286" i="3"/>
  <c r="P1286" i="3"/>
  <c r="O1286" i="3"/>
  <c r="N1286" i="3"/>
  <c r="L1286" i="3"/>
  <c r="K1286" i="3"/>
  <c r="Q1285" i="3"/>
  <c r="P1285" i="3"/>
  <c r="O1285" i="3"/>
  <c r="N1285" i="3"/>
  <c r="L1285" i="3"/>
  <c r="K1285" i="3"/>
  <c r="Q1284" i="3"/>
  <c r="P1284" i="3"/>
  <c r="O1284" i="3"/>
  <c r="N1284" i="3"/>
  <c r="L1284" i="3"/>
  <c r="K1284" i="3"/>
  <c r="Q1283" i="3"/>
  <c r="P1283" i="3"/>
  <c r="O1283" i="3"/>
  <c r="N1283" i="3"/>
  <c r="L1283" i="3"/>
  <c r="K1283" i="3"/>
  <c r="Q1282" i="3"/>
  <c r="P1282" i="3"/>
  <c r="O1282" i="3"/>
  <c r="N1282" i="3"/>
  <c r="L1282" i="3"/>
  <c r="K1282" i="3"/>
  <c r="Q1281" i="3"/>
  <c r="P1281" i="3"/>
  <c r="O1281" i="3"/>
  <c r="N1281" i="3"/>
  <c r="L1281" i="3"/>
  <c r="K1281" i="3"/>
  <c r="Q1280" i="3"/>
  <c r="P1280" i="3"/>
  <c r="O1280" i="3"/>
  <c r="N1280" i="3"/>
  <c r="L1280" i="3"/>
  <c r="K1280" i="3"/>
  <c r="Q1279" i="3"/>
  <c r="P1279" i="3"/>
  <c r="O1279" i="3"/>
  <c r="N1279" i="3"/>
  <c r="L1279" i="3"/>
  <c r="K1279" i="3"/>
  <c r="Q1278" i="3"/>
  <c r="P1278" i="3"/>
  <c r="O1278" i="3"/>
  <c r="N1278" i="3"/>
  <c r="L1278" i="3"/>
  <c r="K1278" i="3"/>
  <c r="Q1277" i="3"/>
  <c r="P1277" i="3"/>
  <c r="O1277" i="3"/>
  <c r="N1277" i="3"/>
  <c r="L1277" i="3"/>
  <c r="K1277" i="3"/>
  <c r="Q1276" i="3"/>
  <c r="P1276" i="3"/>
  <c r="O1276" i="3"/>
  <c r="N1276" i="3"/>
  <c r="L1276" i="3"/>
  <c r="K1276" i="3"/>
  <c r="Q1275" i="3"/>
  <c r="P1275" i="3"/>
  <c r="O1275" i="3"/>
  <c r="N1275" i="3"/>
  <c r="L1275" i="3"/>
  <c r="K1275" i="3"/>
  <c r="Q1274" i="3"/>
  <c r="P1274" i="3"/>
  <c r="O1274" i="3"/>
  <c r="N1274" i="3"/>
  <c r="L1274" i="3"/>
  <c r="K1274" i="3"/>
  <c r="Q1273" i="3"/>
  <c r="P1273" i="3"/>
  <c r="O1273" i="3"/>
  <c r="N1273" i="3"/>
  <c r="L1273" i="3"/>
  <c r="K1273" i="3"/>
  <c r="Q1272" i="3"/>
  <c r="P1272" i="3"/>
  <c r="O1272" i="3"/>
  <c r="N1272" i="3"/>
  <c r="L1272" i="3"/>
  <c r="K1272" i="3"/>
  <c r="Q1271" i="3"/>
  <c r="P1271" i="3"/>
  <c r="O1271" i="3"/>
  <c r="N1271" i="3"/>
  <c r="L1271" i="3"/>
  <c r="K1271" i="3"/>
  <c r="Q1270" i="3"/>
  <c r="P1270" i="3"/>
  <c r="O1270" i="3"/>
  <c r="N1270" i="3"/>
  <c r="L1270" i="3"/>
  <c r="K1270" i="3"/>
  <c r="Q1269" i="3"/>
  <c r="P1269" i="3"/>
  <c r="O1269" i="3"/>
  <c r="N1269" i="3"/>
  <c r="L1269" i="3"/>
  <c r="K1269" i="3"/>
  <c r="Q1268" i="3"/>
  <c r="P1268" i="3"/>
  <c r="O1268" i="3"/>
  <c r="N1268" i="3"/>
  <c r="L1268" i="3"/>
  <c r="K1268" i="3"/>
  <c r="Q1267" i="3"/>
  <c r="P1267" i="3"/>
  <c r="O1267" i="3"/>
  <c r="N1267" i="3"/>
  <c r="L1267" i="3"/>
  <c r="K1267" i="3"/>
  <c r="Q1266" i="3"/>
  <c r="P1266" i="3"/>
  <c r="O1266" i="3"/>
  <c r="N1266" i="3"/>
  <c r="L1266" i="3"/>
  <c r="K1266" i="3"/>
  <c r="Q1265" i="3"/>
  <c r="P1265" i="3"/>
  <c r="O1265" i="3"/>
  <c r="N1265" i="3"/>
  <c r="L1265" i="3"/>
  <c r="K1265" i="3"/>
  <c r="Q1264" i="3"/>
  <c r="P1264" i="3"/>
  <c r="O1264" i="3"/>
  <c r="N1264" i="3"/>
  <c r="L1264" i="3"/>
  <c r="K1264" i="3"/>
  <c r="Q1263" i="3"/>
  <c r="P1263" i="3"/>
  <c r="O1263" i="3"/>
  <c r="N1263" i="3"/>
  <c r="L1263" i="3"/>
  <c r="K1263" i="3"/>
  <c r="Q1262" i="3"/>
  <c r="P1262" i="3"/>
  <c r="O1262" i="3"/>
  <c r="N1262" i="3"/>
  <c r="L1262" i="3"/>
  <c r="K1262" i="3"/>
  <c r="Q1261" i="3"/>
  <c r="P1261" i="3"/>
  <c r="O1261" i="3"/>
  <c r="N1261" i="3"/>
  <c r="L1261" i="3"/>
  <c r="K1261" i="3"/>
  <c r="Q1260" i="3"/>
  <c r="P1260" i="3"/>
  <c r="O1260" i="3"/>
  <c r="N1260" i="3"/>
  <c r="L1260" i="3"/>
  <c r="K1260" i="3"/>
  <c r="Q1259" i="3"/>
  <c r="P1259" i="3"/>
  <c r="O1259" i="3"/>
  <c r="N1259" i="3"/>
  <c r="L1259" i="3"/>
  <c r="K1259" i="3"/>
  <c r="Q1258" i="3"/>
  <c r="P1258" i="3"/>
  <c r="O1258" i="3"/>
  <c r="N1258" i="3"/>
  <c r="L1258" i="3"/>
  <c r="K1258" i="3"/>
  <c r="Q1257" i="3"/>
  <c r="P1257" i="3"/>
  <c r="O1257" i="3"/>
  <c r="N1257" i="3"/>
  <c r="L1257" i="3"/>
  <c r="K1257" i="3"/>
  <c r="Q1256" i="3"/>
  <c r="P1256" i="3"/>
  <c r="O1256" i="3"/>
  <c r="N1256" i="3"/>
  <c r="L1256" i="3"/>
  <c r="K1256" i="3"/>
  <c r="Q1255" i="3"/>
  <c r="P1255" i="3"/>
  <c r="O1255" i="3"/>
  <c r="N1255" i="3"/>
  <c r="L1255" i="3"/>
  <c r="K1255" i="3"/>
  <c r="Q1254" i="3"/>
  <c r="P1254" i="3"/>
  <c r="O1254" i="3"/>
  <c r="N1254" i="3"/>
  <c r="L1254" i="3"/>
  <c r="K1254" i="3"/>
  <c r="Q1253" i="3"/>
  <c r="P1253" i="3"/>
  <c r="O1253" i="3"/>
  <c r="N1253" i="3"/>
  <c r="L1253" i="3"/>
  <c r="K1253" i="3"/>
  <c r="Q1252" i="3"/>
  <c r="P1252" i="3"/>
  <c r="O1252" i="3"/>
  <c r="N1252" i="3"/>
  <c r="L1252" i="3"/>
  <c r="K1252" i="3"/>
  <c r="Q1251" i="3"/>
  <c r="P1251" i="3"/>
  <c r="O1251" i="3"/>
  <c r="N1251" i="3"/>
  <c r="L1251" i="3"/>
  <c r="K1251" i="3"/>
  <c r="Q1250" i="3"/>
  <c r="P1250" i="3"/>
  <c r="O1250" i="3"/>
  <c r="N1250" i="3"/>
  <c r="L1250" i="3"/>
  <c r="K1250" i="3"/>
  <c r="Q1249" i="3"/>
  <c r="P1249" i="3"/>
  <c r="O1249" i="3"/>
  <c r="N1249" i="3"/>
  <c r="L1249" i="3"/>
  <c r="K1249" i="3"/>
  <c r="Q1248" i="3"/>
  <c r="P1248" i="3"/>
  <c r="O1248" i="3"/>
  <c r="N1248" i="3"/>
  <c r="L1248" i="3"/>
  <c r="K1248" i="3"/>
  <c r="Q1247" i="3"/>
  <c r="P1247" i="3"/>
  <c r="O1247" i="3"/>
  <c r="N1247" i="3"/>
  <c r="L1247" i="3"/>
  <c r="K1247" i="3"/>
  <c r="Q1246" i="3"/>
  <c r="P1246" i="3"/>
  <c r="O1246" i="3"/>
  <c r="N1246" i="3"/>
  <c r="L1246" i="3"/>
  <c r="K1246" i="3"/>
  <c r="Q1245" i="3"/>
  <c r="P1245" i="3"/>
  <c r="O1245" i="3"/>
  <c r="N1245" i="3"/>
  <c r="L1245" i="3"/>
  <c r="K1245" i="3"/>
  <c r="Q1244" i="3"/>
  <c r="P1244" i="3"/>
  <c r="O1244" i="3"/>
  <c r="N1244" i="3"/>
  <c r="L1244" i="3"/>
  <c r="K1244" i="3"/>
  <c r="Q1243" i="3"/>
  <c r="P1243" i="3"/>
  <c r="O1243" i="3"/>
  <c r="N1243" i="3"/>
  <c r="L1243" i="3"/>
  <c r="K1243" i="3"/>
  <c r="Q1242" i="3"/>
  <c r="P1242" i="3"/>
  <c r="O1242" i="3"/>
  <c r="N1242" i="3"/>
  <c r="L1242" i="3"/>
  <c r="K1242" i="3"/>
  <c r="Q1241" i="3"/>
  <c r="P1241" i="3"/>
  <c r="O1241" i="3"/>
  <c r="N1241" i="3"/>
  <c r="L1241" i="3"/>
  <c r="K1241" i="3"/>
  <c r="Q1240" i="3"/>
  <c r="P1240" i="3"/>
  <c r="O1240" i="3"/>
  <c r="N1240" i="3"/>
  <c r="L1240" i="3"/>
  <c r="K1240" i="3"/>
  <c r="Q1239" i="3"/>
  <c r="P1239" i="3"/>
  <c r="O1239" i="3"/>
  <c r="N1239" i="3"/>
  <c r="L1239" i="3"/>
  <c r="K1239" i="3"/>
  <c r="Q1238" i="3"/>
  <c r="P1238" i="3"/>
  <c r="O1238" i="3"/>
  <c r="N1238" i="3"/>
  <c r="L1238" i="3"/>
  <c r="K1238" i="3"/>
  <c r="Q1237" i="3"/>
  <c r="P1237" i="3"/>
  <c r="O1237" i="3"/>
  <c r="N1237" i="3"/>
  <c r="L1237" i="3"/>
  <c r="K1237" i="3"/>
  <c r="Q1236" i="3"/>
  <c r="P1236" i="3"/>
  <c r="O1236" i="3"/>
  <c r="N1236" i="3"/>
  <c r="L1236" i="3"/>
  <c r="K1236" i="3"/>
  <c r="Q1235" i="3"/>
  <c r="P1235" i="3"/>
  <c r="O1235" i="3"/>
  <c r="N1235" i="3"/>
  <c r="L1235" i="3"/>
  <c r="K1235" i="3"/>
  <c r="Q1234" i="3"/>
  <c r="P1234" i="3"/>
  <c r="O1234" i="3"/>
  <c r="N1234" i="3"/>
  <c r="L1234" i="3"/>
  <c r="K1234" i="3"/>
  <c r="Q1233" i="3"/>
  <c r="P1233" i="3"/>
  <c r="O1233" i="3"/>
  <c r="N1233" i="3"/>
  <c r="L1233" i="3"/>
  <c r="K1233" i="3"/>
  <c r="Q1232" i="3"/>
  <c r="P1232" i="3"/>
  <c r="O1232" i="3"/>
  <c r="N1232" i="3"/>
  <c r="L1232" i="3"/>
  <c r="K1232" i="3"/>
  <c r="Q1231" i="3"/>
  <c r="P1231" i="3"/>
  <c r="O1231" i="3"/>
  <c r="N1231" i="3"/>
  <c r="L1231" i="3"/>
  <c r="K1231" i="3"/>
  <c r="Q1230" i="3"/>
  <c r="P1230" i="3"/>
  <c r="O1230" i="3"/>
  <c r="N1230" i="3"/>
  <c r="L1230" i="3"/>
  <c r="K1230" i="3"/>
  <c r="Q1229" i="3"/>
  <c r="P1229" i="3"/>
  <c r="O1229" i="3"/>
  <c r="N1229" i="3"/>
  <c r="L1229" i="3"/>
  <c r="K1229" i="3"/>
  <c r="Q1228" i="3"/>
  <c r="P1228" i="3"/>
  <c r="O1228" i="3"/>
  <c r="N1228" i="3"/>
  <c r="L1228" i="3"/>
  <c r="K1228" i="3"/>
  <c r="Q1227" i="3"/>
  <c r="P1227" i="3"/>
  <c r="O1227" i="3"/>
  <c r="N1227" i="3"/>
  <c r="L1227" i="3"/>
  <c r="K1227" i="3"/>
  <c r="Q1226" i="3"/>
  <c r="P1226" i="3"/>
  <c r="O1226" i="3"/>
  <c r="N1226" i="3"/>
  <c r="L1226" i="3"/>
  <c r="K1226" i="3"/>
  <c r="Q1225" i="3"/>
  <c r="P1225" i="3"/>
  <c r="O1225" i="3"/>
  <c r="N1225" i="3"/>
  <c r="L1225" i="3"/>
  <c r="K1225" i="3"/>
  <c r="Q1224" i="3"/>
  <c r="P1224" i="3"/>
  <c r="O1224" i="3"/>
  <c r="N1224" i="3"/>
  <c r="L1224" i="3"/>
  <c r="K1224" i="3"/>
  <c r="Q1223" i="3"/>
  <c r="P1223" i="3"/>
  <c r="O1223" i="3"/>
  <c r="N1223" i="3"/>
  <c r="L1223" i="3"/>
  <c r="K1223" i="3"/>
  <c r="Q1222" i="3"/>
  <c r="P1222" i="3"/>
  <c r="O1222" i="3"/>
  <c r="N1222" i="3"/>
  <c r="L1222" i="3"/>
  <c r="K1222" i="3"/>
  <c r="Q1221" i="3"/>
  <c r="P1221" i="3"/>
  <c r="O1221" i="3"/>
  <c r="N1221" i="3"/>
  <c r="L1221" i="3"/>
  <c r="K1221" i="3"/>
  <c r="Q1220" i="3"/>
  <c r="P1220" i="3"/>
  <c r="O1220" i="3"/>
  <c r="N1220" i="3"/>
  <c r="L1220" i="3"/>
  <c r="K1220" i="3"/>
  <c r="Q1219" i="3"/>
  <c r="P1219" i="3"/>
  <c r="O1219" i="3"/>
  <c r="N1219" i="3"/>
  <c r="L1219" i="3"/>
  <c r="K1219" i="3"/>
  <c r="Q1218" i="3"/>
  <c r="P1218" i="3"/>
  <c r="O1218" i="3"/>
  <c r="N1218" i="3"/>
  <c r="L1218" i="3"/>
  <c r="K1218" i="3"/>
  <c r="Q1217" i="3"/>
  <c r="P1217" i="3"/>
  <c r="O1217" i="3"/>
  <c r="N1217" i="3"/>
  <c r="L1217" i="3"/>
  <c r="K1217" i="3"/>
  <c r="Q1216" i="3"/>
  <c r="P1216" i="3"/>
  <c r="O1216" i="3"/>
  <c r="N1216" i="3"/>
  <c r="L1216" i="3"/>
  <c r="K1216" i="3"/>
  <c r="Q1215" i="3"/>
  <c r="P1215" i="3"/>
  <c r="O1215" i="3"/>
  <c r="N1215" i="3"/>
  <c r="L1215" i="3"/>
  <c r="K1215" i="3"/>
  <c r="Q1214" i="3"/>
  <c r="P1214" i="3"/>
  <c r="O1214" i="3"/>
  <c r="N1214" i="3"/>
  <c r="L1214" i="3"/>
  <c r="K1214" i="3"/>
  <c r="Q1213" i="3"/>
  <c r="P1213" i="3"/>
  <c r="O1213" i="3"/>
  <c r="N1213" i="3"/>
  <c r="L1213" i="3"/>
  <c r="K1213" i="3"/>
  <c r="Q1212" i="3"/>
  <c r="P1212" i="3"/>
  <c r="O1212" i="3"/>
  <c r="N1212" i="3"/>
  <c r="L1212" i="3"/>
  <c r="K1212" i="3"/>
  <c r="Q1211" i="3"/>
  <c r="P1211" i="3"/>
  <c r="O1211" i="3"/>
  <c r="N1211" i="3"/>
  <c r="L1211" i="3"/>
  <c r="K1211" i="3"/>
  <c r="Q1210" i="3"/>
  <c r="P1210" i="3"/>
  <c r="O1210" i="3"/>
  <c r="N1210" i="3"/>
  <c r="L1210" i="3"/>
  <c r="K1210" i="3"/>
  <c r="Q1209" i="3"/>
  <c r="P1209" i="3"/>
  <c r="O1209" i="3"/>
  <c r="N1209" i="3"/>
  <c r="L1209" i="3"/>
  <c r="K1209" i="3"/>
  <c r="Q1208" i="3"/>
  <c r="P1208" i="3"/>
  <c r="O1208" i="3"/>
  <c r="N1208" i="3"/>
  <c r="L1208" i="3"/>
  <c r="K1208" i="3"/>
  <c r="Q1207" i="3"/>
  <c r="P1207" i="3"/>
  <c r="O1207" i="3"/>
  <c r="N1207" i="3"/>
  <c r="L1207" i="3"/>
  <c r="K1207" i="3"/>
  <c r="Q1206" i="3"/>
  <c r="P1206" i="3"/>
  <c r="O1206" i="3"/>
  <c r="N1206" i="3"/>
  <c r="L1206" i="3"/>
  <c r="K1206" i="3"/>
  <c r="Q1205" i="3"/>
  <c r="P1205" i="3"/>
  <c r="O1205" i="3"/>
  <c r="N1205" i="3"/>
  <c r="L1205" i="3"/>
  <c r="K1205" i="3"/>
  <c r="Q1204" i="3"/>
  <c r="P1204" i="3"/>
  <c r="O1204" i="3"/>
  <c r="N1204" i="3"/>
  <c r="L1204" i="3"/>
  <c r="K1204" i="3"/>
  <c r="Q1203" i="3"/>
  <c r="P1203" i="3"/>
  <c r="O1203" i="3"/>
  <c r="N1203" i="3"/>
  <c r="L1203" i="3"/>
  <c r="K1203" i="3"/>
  <c r="Q1202" i="3"/>
  <c r="P1202" i="3"/>
  <c r="O1202" i="3"/>
  <c r="N1202" i="3"/>
  <c r="L1202" i="3"/>
  <c r="K1202" i="3"/>
  <c r="Q1201" i="3"/>
  <c r="P1201" i="3"/>
  <c r="O1201" i="3"/>
  <c r="N1201" i="3"/>
  <c r="L1201" i="3"/>
  <c r="K1201" i="3"/>
  <c r="Q1200" i="3"/>
  <c r="P1200" i="3"/>
  <c r="O1200" i="3"/>
  <c r="N1200" i="3"/>
  <c r="L1200" i="3"/>
  <c r="K1200" i="3"/>
  <c r="Q1199" i="3"/>
  <c r="P1199" i="3"/>
  <c r="O1199" i="3"/>
  <c r="N1199" i="3"/>
  <c r="L1199" i="3"/>
  <c r="K1199" i="3"/>
  <c r="Q1198" i="3"/>
  <c r="P1198" i="3"/>
  <c r="O1198" i="3"/>
  <c r="N1198" i="3"/>
  <c r="L1198" i="3"/>
  <c r="K1198" i="3"/>
  <c r="Q1197" i="3"/>
  <c r="P1197" i="3"/>
  <c r="O1197" i="3"/>
  <c r="N1197" i="3"/>
  <c r="L1197" i="3"/>
  <c r="K1197" i="3"/>
  <c r="Q1196" i="3"/>
  <c r="P1196" i="3"/>
  <c r="O1196" i="3"/>
  <c r="N1196" i="3"/>
  <c r="L1196" i="3"/>
  <c r="K1196" i="3"/>
  <c r="Q1195" i="3"/>
  <c r="P1195" i="3"/>
  <c r="O1195" i="3"/>
  <c r="N1195" i="3"/>
  <c r="L1195" i="3"/>
  <c r="K1195" i="3"/>
  <c r="Q1194" i="3"/>
  <c r="P1194" i="3"/>
  <c r="O1194" i="3"/>
  <c r="N1194" i="3"/>
  <c r="L1194" i="3"/>
  <c r="K1194" i="3"/>
  <c r="Q1193" i="3"/>
  <c r="P1193" i="3"/>
  <c r="O1193" i="3"/>
  <c r="N1193" i="3"/>
  <c r="L1193" i="3"/>
  <c r="K1193" i="3"/>
  <c r="Q1192" i="3"/>
  <c r="P1192" i="3"/>
  <c r="O1192" i="3"/>
  <c r="N1192" i="3"/>
  <c r="L1192" i="3"/>
  <c r="K1192" i="3"/>
  <c r="Q1191" i="3"/>
  <c r="P1191" i="3"/>
  <c r="O1191" i="3"/>
  <c r="N1191" i="3"/>
  <c r="L1191" i="3"/>
  <c r="K1191" i="3"/>
  <c r="Q1190" i="3"/>
  <c r="P1190" i="3"/>
  <c r="O1190" i="3"/>
  <c r="N1190" i="3"/>
  <c r="L1190" i="3"/>
  <c r="K1190" i="3"/>
  <c r="Q1189" i="3"/>
  <c r="P1189" i="3"/>
  <c r="O1189" i="3"/>
  <c r="N1189" i="3"/>
  <c r="L1189" i="3"/>
  <c r="K1189" i="3"/>
  <c r="Q1188" i="3"/>
  <c r="P1188" i="3"/>
  <c r="O1188" i="3"/>
  <c r="N1188" i="3"/>
  <c r="L1188" i="3"/>
  <c r="K1188" i="3"/>
  <c r="Q1187" i="3"/>
  <c r="P1187" i="3"/>
  <c r="O1187" i="3"/>
  <c r="N1187" i="3"/>
  <c r="L1187" i="3"/>
  <c r="K1187" i="3"/>
  <c r="Q1186" i="3"/>
  <c r="P1186" i="3"/>
  <c r="O1186" i="3"/>
  <c r="N1186" i="3"/>
  <c r="L1186" i="3"/>
  <c r="K1186" i="3"/>
  <c r="Q1185" i="3"/>
  <c r="P1185" i="3"/>
  <c r="O1185" i="3"/>
  <c r="N1185" i="3"/>
  <c r="L1185" i="3"/>
  <c r="K1185" i="3"/>
  <c r="Q1184" i="3"/>
  <c r="P1184" i="3"/>
  <c r="O1184" i="3"/>
  <c r="N1184" i="3"/>
  <c r="L1184" i="3"/>
  <c r="K1184" i="3"/>
  <c r="Q1183" i="3"/>
  <c r="P1183" i="3"/>
  <c r="O1183" i="3"/>
  <c r="N1183" i="3"/>
  <c r="L1183" i="3"/>
  <c r="K1183" i="3"/>
  <c r="Q1182" i="3"/>
  <c r="P1182" i="3"/>
  <c r="O1182" i="3"/>
  <c r="N1182" i="3"/>
  <c r="L1182" i="3"/>
  <c r="K1182" i="3"/>
  <c r="Q1181" i="3"/>
  <c r="P1181" i="3"/>
  <c r="O1181" i="3"/>
  <c r="N1181" i="3"/>
  <c r="L1181" i="3"/>
  <c r="K1181" i="3"/>
  <c r="Q1180" i="3"/>
  <c r="P1180" i="3"/>
  <c r="O1180" i="3"/>
  <c r="N1180" i="3"/>
  <c r="L1180" i="3"/>
  <c r="K1180" i="3"/>
  <c r="Q1179" i="3"/>
  <c r="P1179" i="3"/>
  <c r="O1179" i="3"/>
  <c r="N1179" i="3"/>
  <c r="L1179" i="3"/>
  <c r="K1179" i="3"/>
  <c r="Q1178" i="3"/>
  <c r="P1178" i="3"/>
  <c r="O1178" i="3"/>
  <c r="N1178" i="3"/>
  <c r="L1178" i="3"/>
  <c r="K1178" i="3"/>
  <c r="Q1177" i="3"/>
  <c r="P1177" i="3"/>
  <c r="O1177" i="3"/>
  <c r="N1177" i="3"/>
  <c r="L1177" i="3"/>
  <c r="K1177" i="3"/>
  <c r="Q1176" i="3"/>
  <c r="P1176" i="3"/>
  <c r="O1176" i="3"/>
  <c r="N1176" i="3"/>
  <c r="L1176" i="3"/>
  <c r="K1176" i="3"/>
  <c r="Q1175" i="3"/>
  <c r="P1175" i="3"/>
  <c r="O1175" i="3"/>
  <c r="N1175" i="3"/>
  <c r="L1175" i="3"/>
  <c r="K1175" i="3"/>
  <c r="Q1174" i="3"/>
  <c r="P1174" i="3"/>
  <c r="O1174" i="3"/>
  <c r="N1174" i="3"/>
  <c r="L1174" i="3"/>
  <c r="K1174" i="3"/>
  <c r="Q1173" i="3"/>
  <c r="P1173" i="3"/>
  <c r="O1173" i="3"/>
  <c r="N1173" i="3"/>
  <c r="L1173" i="3"/>
  <c r="K1173" i="3"/>
  <c r="Q1172" i="3"/>
  <c r="P1172" i="3"/>
  <c r="O1172" i="3"/>
  <c r="N1172" i="3"/>
  <c r="L1172" i="3"/>
  <c r="K1172" i="3"/>
  <c r="Q1171" i="3"/>
  <c r="P1171" i="3"/>
  <c r="O1171" i="3"/>
  <c r="N1171" i="3"/>
  <c r="L1171" i="3"/>
  <c r="K1171" i="3"/>
  <c r="Q1170" i="3"/>
  <c r="P1170" i="3"/>
  <c r="O1170" i="3"/>
  <c r="N1170" i="3"/>
  <c r="L1170" i="3"/>
  <c r="M1170" i="3" s="1"/>
  <c r="R1170" i="3" s="1"/>
  <c r="K1170" i="3"/>
  <c r="Q1169" i="3"/>
  <c r="P1169" i="3"/>
  <c r="O1169" i="3"/>
  <c r="N1169" i="3"/>
  <c r="L1169" i="3"/>
  <c r="K1169" i="3"/>
  <c r="Q1168" i="3"/>
  <c r="P1168" i="3"/>
  <c r="O1168" i="3"/>
  <c r="N1168" i="3"/>
  <c r="L1168" i="3"/>
  <c r="K1168" i="3"/>
  <c r="Q1167" i="3"/>
  <c r="P1167" i="3"/>
  <c r="O1167" i="3"/>
  <c r="N1167" i="3"/>
  <c r="L1167" i="3"/>
  <c r="K1167" i="3"/>
  <c r="Q1166" i="3"/>
  <c r="P1166" i="3"/>
  <c r="O1166" i="3"/>
  <c r="N1166" i="3"/>
  <c r="L1166" i="3"/>
  <c r="K1166" i="3"/>
  <c r="Q1165" i="3"/>
  <c r="P1165" i="3"/>
  <c r="O1165" i="3"/>
  <c r="N1165" i="3"/>
  <c r="L1165" i="3"/>
  <c r="K1165" i="3"/>
  <c r="Q1164" i="3"/>
  <c r="P1164" i="3"/>
  <c r="O1164" i="3"/>
  <c r="N1164" i="3"/>
  <c r="L1164" i="3"/>
  <c r="K1164" i="3"/>
  <c r="Q1163" i="3"/>
  <c r="P1163" i="3"/>
  <c r="O1163" i="3"/>
  <c r="N1163" i="3"/>
  <c r="L1163" i="3"/>
  <c r="K1163" i="3"/>
  <c r="Q1162" i="3"/>
  <c r="P1162" i="3"/>
  <c r="O1162" i="3"/>
  <c r="N1162" i="3"/>
  <c r="L1162" i="3"/>
  <c r="K1162" i="3"/>
  <c r="Q1161" i="3"/>
  <c r="P1161" i="3"/>
  <c r="O1161" i="3"/>
  <c r="N1161" i="3"/>
  <c r="L1161" i="3"/>
  <c r="K1161" i="3"/>
  <c r="Q1160" i="3"/>
  <c r="P1160" i="3"/>
  <c r="O1160" i="3"/>
  <c r="N1160" i="3"/>
  <c r="L1160" i="3"/>
  <c r="K1160" i="3"/>
  <c r="Q1159" i="3"/>
  <c r="P1159" i="3"/>
  <c r="O1159" i="3"/>
  <c r="N1159" i="3"/>
  <c r="L1159" i="3"/>
  <c r="K1159" i="3"/>
  <c r="Q1158" i="3"/>
  <c r="P1158" i="3"/>
  <c r="O1158" i="3"/>
  <c r="N1158" i="3"/>
  <c r="L1158" i="3"/>
  <c r="K1158" i="3"/>
  <c r="Q1157" i="3"/>
  <c r="P1157" i="3"/>
  <c r="O1157" i="3"/>
  <c r="N1157" i="3"/>
  <c r="L1157" i="3"/>
  <c r="K1157" i="3"/>
  <c r="Q1156" i="3"/>
  <c r="P1156" i="3"/>
  <c r="O1156" i="3"/>
  <c r="N1156" i="3"/>
  <c r="L1156" i="3"/>
  <c r="K1156" i="3"/>
  <c r="Q1155" i="3"/>
  <c r="P1155" i="3"/>
  <c r="O1155" i="3"/>
  <c r="N1155" i="3"/>
  <c r="L1155" i="3"/>
  <c r="K1155" i="3"/>
  <c r="Q1154" i="3"/>
  <c r="P1154" i="3"/>
  <c r="O1154" i="3"/>
  <c r="N1154" i="3"/>
  <c r="L1154" i="3"/>
  <c r="K1154" i="3"/>
  <c r="Q1153" i="3"/>
  <c r="P1153" i="3"/>
  <c r="O1153" i="3"/>
  <c r="N1153" i="3"/>
  <c r="L1153" i="3"/>
  <c r="K1153" i="3"/>
  <c r="Q1152" i="3"/>
  <c r="P1152" i="3"/>
  <c r="O1152" i="3"/>
  <c r="N1152" i="3"/>
  <c r="L1152" i="3"/>
  <c r="K1152" i="3"/>
  <c r="Q1151" i="3"/>
  <c r="P1151" i="3"/>
  <c r="O1151" i="3"/>
  <c r="N1151" i="3"/>
  <c r="L1151" i="3"/>
  <c r="K1151" i="3"/>
  <c r="Q1150" i="3"/>
  <c r="P1150" i="3"/>
  <c r="O1150" i="3"/>
  <c r="N1150" i="3"/>
  <c r="L1150" i="3"/>
  <c r="K1150" i="3"/>
  <c r="Q1149" i="3"/>
  <c r="P1149" i="3"/>
  <c r="O1149" i="3"/>
  <c r="N1149" i="3"/>
  <c r="L1149" i="3"/>
  <c r="K1149" i="3"/>
  <c r="Q1148" i="3"/>
  <c r="P1148" i="3"/>
  <c r="O1148" i="3"/>
  <c r="N1148" i="3"/>
  <c r="L1148" i="3"/>
  <c r="K1148" i="3"/>
  <c r="Q1147" i="3"/>
  <c r="P1147" i="3"/>
  <c r="O1147" i="3"/>
  <c r="N1147" i="3"/>
  <c r="L1147" i="3"/>
  <c r="K1147" i="3"/>
  <c r="Q1146" i="3"/>
  <c r="P1146" i="3"/>
  <c r="O1146" i="3"/>
  <c r="N1146" i="3"/>
  <c r="L1146" i="3"/>
  <c r="K1146" i="3"/>
  <c r="Q1145" i="3"/>
  <c r="P1145" i="3"/>
  <c r="O1145" i="3"/>
  <c r="N1145" i="3"/>
  <c r="L1145" i="3"/>
  <c r="K1145" i="3"/>
  <c r="Q1144" i="3"/>
  <c r="P1144" i="3"/>
  <c r="O1144" i="3"/>
  <c r="N1144" i="3"/>
  <c r="L1144" i="3"/>
  <c r="K1144" i="3"/>
  <c r="Q1143" i="3"/>
  <c r="P1143" i="3"/>
  <c r="O1143" i="3"/>
  <c r="N1143" i="3"/>
  <c r="L1143" i="3"/>
  <c r="K1143" i="3"/>
  <c r="Q1142" i="3"/>
  <c r="P1142" i="3"/>
  <c r="O1142" i="3"/>
  <c r="N1142" i="3"/>
  <c r="L1142" i="3"/>
  <c r="K1142" i="3"/>
  <c r="Q1141" i="3"/>
  <c r="P1141" i="3"/>
  <c r="O1141" i="3"/>
  <c r="N1141" i="3"/>
  <c r="L1141" i="3"/>
  <c r="K1141" i="3"/>
  <c r="Q1140" i="3"/>
  <c r="P1140" i="3"/>
  <c r="O1140" i="3"/>
  <c r="N1140" i="3"/>
  <c r="L1140" i="3"/>
  <c r="K1140" i="3"/>
  <c r="Q1139" i="3"/>
  <c r="P1139" i="3"/>
  <c r="O1139" i="3"/>
  <c r="N1139" i="3"/>
  <c r="L1139" i="3"/>
  <c r="K1139" i="3"/>
  <c r="Q1138" i="3"/>
  <c r="P1138" i="3"/>
  <c r="O1138" i="3"/>
  <c r="N1138" i="3"/>
  <c r="L1138" i="3"/>
  <c r="K1138" i="3"/>
  <c r="Q1137" i="3"/>
  <c r="P1137" i="3"/>
  <c r="O1137" i="3"/>
  <c r="N1137" i="3"/>
  <c r="L1137" i="3"/>
  <c r="K1137" i="3"/>
  <c r="Q1136" i="3"/>
  <c r="P1136" i="3"/>
  <c r="O1136" i="3"/>
  <c r="N1136" i="3"/>
  <c r="L1136" i="3"/>
  <c r="K1136" i="3"/>
  <c r="Q1135" i="3"/>
  <c r="P1135" i="3"/>
  <c r="O1135" i="3"/>
  <c r="N1135" i="3"/>
  <c r="L1135" i="3"/>
  <c r="K1135" i="3"/>
  <c r="Q1134" i="3"/>
  <c r="P1134" i="3"/>
  <c r="O1134" i="3"/>
  <c r="N1134" i="3"/>
  <c r="L1134" i="3"/>
  <c r="K1134" i="3"/>
  <c r="Q1133" i="3"/>
  <c r="P1133" i="3"/>
  <c r="O1133" i="3"/>
  <c r="N1133" i="3"/>
  <c r="L1133" i="3"/>
  <c r="K1133" i="3"/>
  <c r="Q1132" i="3"/>
  <c r="P1132" i="3"/>
  <c r="O1132" i="3"/>
  <c r="N1132" i="3"/>
  <c r="L1132" i="3"/>
  <c r="K1132" i="3"/>
  <c r="Q1131" i="3"/>
  <c r="P1131" i="3"/>
  <c r="O1131" i="3"/>
  <c r="N1131" i="3"/>
  <c r="L1131" i="3"/>
  <c r="K1131" i="3"/>
  <c r="Q1130" i="3"/>
  <c r="P1130" i="3"/>
  <c r="O1130" i="3"/>
  <c r="N1130" i="3"/>
  <c r="L1130" i="3"/>
  <c r="K1130" i="3"/>
  <c r="Q1129" i="3"/>
  <c r="P1129" i="3"/>
  <c r="O1129" i="3"/>
  <c r="N1129" i="3"/>
  <c r="L1129" i="3"/>
  <c r="K1129" i="3"/>
  <c r="Q1128" i="3"/>
  <c r="P1128" i="3"/>
  <c r="O1128" i="3"/>
  <c r="N1128" i="3"/>
  <c r="L1128" i="3"/>
  <c r="K1128" i="3"/>
  <c r="Q1127" i="3"/>
  <c r="P1127" i="3"/>
  <c r="O1127" i="3"/>
  <c r="N1127" i="3"/>
  <c r="L1127" i="3"/>
  <c r="K1127" i="3"/>
  <c r="Q1126" i="3"/>
  <c r="P1126" i="3"/>
  <c r="O1126" i="3"/>
  <c r="N1126" i="3"/>
  <c r="L1126" i="3"/>
  <c r="K1126" i="3"/>
  <c r="Q1125" i="3"/>
  <c r="P1125" i="3"/>
  <c r="O1125" i="3"/>
  <c r="N1125" i="3"/>
  <c r="L1125" i="3"/>
  <c r="K1125" i="3"/>
  <c r="Q1124" i="3"/>
  <c r="P1124" i="3"/>
  <c r="O1124" i="3"/>
  <c r="N1124" i="3"/>
  <c r="L1124" i="3"/>
  <c r="K1124" i="3"/>
  <c r="Q1123" i="3"/>
  <c r="P1123" i="3"/>
  <c r="O1123" i="3"/>
  <c r="N1123" i="3"/>
  <c r="L1123" i="3"/>
  <c r="K1123" i="3"/>
  <c r="Q1122" i="3"/>
  <c r="P1122" i="3"/>
  <c r="O1122" i="3"/>
  <c r="N1122" i="3"/>
  <c r="L1122" i="3"/>
  <c r="K1122" i="3"/>
  <c r="Q1121" i="3"/>
  <c r="P1121" i="3"/>
  <c r="O1121" i="3"/>
  <c r="N1121" i="3"/>
  <c r="L1121" i="3"/>
  <c r="K1121" i="3"/>
  <c r="Q1120" i="3"/>
  <c r="P1120" i="3"/>
  <c r="O1120" i="3"/>
  <c r="N1120" i="3"/>
  <c r="L1120" i="3"/>
  <c r="K1120" i="3"/>
  <c r="Q1119" i="3"/>
  <c r="P1119" i="3"/>
  <c r="O1119" i="3"/>
  <c r="N1119" i="3"/>
  <c r="L1119" i="3"/>
  <c r="K1119" i="3"/>
  <c r="Q1118" i="3"/>
  <c r="P1118" i="3"/>
  <c r="O1118" i="3"/>
  <c r="N1118" i="3"/>
  <c r="L1118" i="3"/>
  <c r="K1118" i="3"/>
  <c r="Q1117" i="3"/>
  <c r="P1117" i="3"/>
  <c r="O1117" i="3"/>
  <c r="N1117" i="3"/>
  <c r="L1117" i="3"/>
  <c r="K1117" i="3"/>
  <c r="Q1116" i="3"/>
  <c r="P1116" i="3"/>
  <c r="O1116" i="3"/>
  <c r="N1116" i="3"/>
  <c r="L1116" i="3"/>
  <c r="K1116" i="3"/>
  <c r="Q1115" i="3"/>
  <c r="P1115" i="3"/>
  <c r="O1115" i="3"/>
  <c r="N1115" i="3"/>
  <c r="L1115" i="3"/>
  <c r="K1115" i="3"/>
  <c r="Q1114" i="3"/>
  <c r="P1114" i="3"/>
  <c r="O1114" i="3"/>
  <c r="N1114" i="3"/>
  <c r="L1114" i="3"/>
  <c r="K1114" i="3"/>
  <c r="Q1113" i="3"/>
  <c r="P1113" i="3"/>
  <c r="O1113" i="3"/>
  <c r="N1113" i="3"/>
  <c r="L1113" i="3"/>
  <c r="K1113" i="3"/>
  <c r="Q1112" i="3"/>
  <c r="P1112" i="3"/>
  <c r="O1112" i="3"/>
  <c r="N1112" i="3"/>
  <c r="L1112" i="3"/>
  <c r="K1112" i="3"/>
  <c r="Q1111" i="3"/>
  <c r="P1111" i="3"/>
  <c r="O1111" i="3"/>
  <c r="N1111" i="3"/>
  <c r="L1111" i="3"/>
  <c r="K1111" i="3"/>
  <c r="Q1110" i="3"/>
  <c r="P1110" i="3"/>
  <c r="O1110" i="3"/>
  <c r="N1110" i="3"/>
  <c r="L1110" i="3"/>
  <c r="K1110" i="3"/>
  <c r="Q1109" i="3"/>
  <c r="P1109" i="3"/>
  <c r="O1109" i="3"/>
  <c r="N1109" i="3"/>
  <c r="L1109" i="3"/>
  <c r="K1109" i="3"/>
  <c r="Q1108" i="3"/>
  <c r="P1108" i="3"/>
  <c r="O1108" i="3"/>
  <c r="N1108" i="3"/>
  <c r="L1108" i="3"/>
  <c r="K1108" i="3"/>
  <c r="Q1107" i="3"/>
  <c r="P1107" i="3"/>
  <c r="O1107" i="3"/>
  <c r="N1107" i="3"/>
  <c r="L1107" i="3"/>
  <c r="K1107" i="3"/>
  <c r="Q1106" i="3"/>
  <c r="P1106" i="3"/>
  <c r="O1106" i="3"/>
  <c r="N1106" i="3"/>
  <c r="L1106" i="3"/>
  <c r="K1106" i="3"/>
  <c r="Q1105" i="3"/>
  <c r="P1105" i="3"/>
  <c r="O1105" i="3"/>
  <c r="N1105" i="3"/>
  <c r="L1105" i="3"/>
  <c r="K1105" i="3"/>
  <c r="Q1104" i="3"/>
  <c r="P1104" i="3"/>
  <c r="O1104" i="3"/>
  <c r="N1104" i="3"/>
  <c r="L1104" i="3"/>
  <c r="K1104" i="3"/>
  <c r="Q1103" i="3"/>
  <c r="P1103" i="3"/>
  <c r="O1103" i="3"/>
  <c r="N1103" i="3"/>
  <c r="L1103" i="3"/>
  <c r="K1103" i="3"/>
  <c r="Q1102" i="3"/>
  <c r="P1102" i="3"/>
  <c r="O1102" i="3"/>
  <c r="N1102" i="3"/>
  <c r="L1102" i="3"/>
  <c r="K1102" i="3"/>
  <c r="Q1101" i="3"/>
  <c r="P1101" i="3"/>
  <c r="O1101" i="3"/>
  <c r="N1101" i="3"/>
  <c r="L1101" i="3"/>
  <c r="K1101" i="3"/>
  <c r="Q1100" i="3"/>
  <c r="P1100" i="3"/>
  <c r="O1100" i="3"/>
  <c r="N1100" i="3"/>
  <c r="L1100" i="3"/>
  <c r="K1100" i="3"/>
  <c r="Q1099" i="3"/>
  <c r="P1099" i="3"/>
  <c r="O1099" i="3"/>
  <c r="N1099" i="3"/>
  <c r="L1099" i="3"/>
  <c r="K1099" i="3"/>
  <c r="Q1098" i="3"/>
  <c r="P1098" i="3"/>
  <c r="O1098" i="3"/>
  <c r="N1098" i="3"/>
  <c r="L1098" i="3"/>
  <c r="K1098" i="3"/>
  <c r="Q1097" i="3"/>
  <c r="P1097" i="3"/>
  <c r="O1097" i="3"/>
  <c r="N1097" i="3"/>
  <c r="L1097" i="3"/>
  <c r="K1097" i="3"/>
  <c r="Q1096" i="3"/>
  <c r="P1096" i="3"/>
  <c r="O1096" i="3"/>
  <c r="N1096" i="3"/>
  <c r="L1096" i="3"/>
  <c r="K1096" i="3"/>
  <c r="Q1095" i="3"/>
  <c r="P1095" i="3"/>
  <c r="O1095" i="3"/>
  <c r="N1095" i="3"/>
  <c r="L1095" i="3"/>
  <c r="K1095" i="3"/>
  <c r="Q1094" i="3"/>
  <c r="P1094" i="3"/>
  <c r="O1094" i="3"/>
  <c r="N1094" i="3"/>
  <c r="L1094" i="3"/>
  <c r="K1094" i="3"/>
  <c r="Q1093" i="3"/>
  <c r="P1093" i="3"/>
  <c r="O1093" i="3"/>
  <c r="N1093" i="3"/>
  <c r="L1093" i="3"/>
  <c r="K1093" i="3"/>
  <c r="Q1092" i="3"/>
  <c r="P1092" i="3"/>
  <c r="O1092" i="3"/>
  <c r="N1092" i="3"/>
  <c r="L1092" i="3"/>
  <c r="K1092" i="3"/>
  <c r="Q1091" i="3"/>
  <c r="P1091" i="3"/>
  <c r="O1091" i="3"/>
  <c r="N1091" i="3"/>
  <c r="L1091" i="3"/>
  <c r="K1091" i="3"/>
  <c r="Q1090" i="3"/>
  <c r="P1090" i="3"/>
  <c r="O1090" i="3"/>
  <c r="N1090" i="3"/>
  <c r="L1090" i="3"/>
  <c r="K1090" i="3"/>
  <c r="Q1089" i="3"/>
  <c r="P1089" i="3"/>
  <c r="O1089" i="3"/>
  <c r="N1089" i="3"/>
  <c r="L1089" i="3"/>
  <c r="K1089" i="3"/>
  <c r="Q1088" i="3"/>
  <c r="P1088" i="3"/>
  <c r="O1088" i="3"/>
  <c r="N1088" i="3"/>
  <c r="L1088" i="3"/>
  <c r="K1088" i="3"/>
  <c r="Q1087" i="3"/>
  <c r="P1087" i="3"/>
  <c r="O1087" i="3"/>
  <c r="N1087" i="3"/>
  <c r="L1087" i="3"/>
  <c r="K1087" i="3"/>
  <c r="Q1086" i="3"/>
  <c r="P1086" i="3"/>
  <c r="O1086" i="3"/>
  <c r="N1086" i="3"/>
  <c r="L1086" i="3"/>
  <c r="K1086" i="3"/>
  <c r="Q1085" i="3"/>
  <c r="P1085" i="3"/>
  <c r="O1085" i="3"/>
  <c r="N1085" i="3"/>
  <c r="L1085" i="3"/>
  <c r="K1085" i="3"/>
  <c r="Q1084" i="3"/>
  <c r="P1084" i="3"/>
  <c r="O1084" i="3"/>
  <c r="N1084" i="3"/>
  <c r="L1084" i="3"/>
  <c r="K1084" i="3"/>
  <c r="Q1083" i="3"/>
  <c r="P1083" i="3"/>
  <c r="O1083" i="3"/>
  <c r="N1083" i="3"/>
  <c r="L1083" i="3"/>
  <c r="K1083" i="3"/>
  <c r="Q1082" i="3"/>
  <c r="P1082" i="3"/>
  <c r="O1082" i="3"/>
  <c r="N1082" i="3"/>
  <c r="L1082" i="3"/>
  <c r="K1082" i="3"/>
  <c r="Q1081" i="3"/>
  <c r="P1081" i="3"/>
  <c r="O1081" i="3"/>
  <c r="N1081" i="3"/>
  <c r="L1081" i="3"/>
  <c r="K1081" i="3"/>
  <c r="Q1080" i="3"/>
  <c r="P1080" i="3"/>
  <c r="O1080" i="3"/>
  <c r="N1080" i="3"/>
  <c r="L1080" i="3"/>
  <c r="K1080" i="3"/>
  <c r="Q1079" i="3"/>
  <c r="P1079" i="3"/>
  <c r="O1079" i="3"/>
  <c r="N1079" i="3"/>
  <c r="L1079" i="3"/>
  <c r="K1079" i="3"/>
  <c r="Q1078" i="3"/>
  <c r="P1078" i="3"/>
  <c r="O1078" i="3"/>
  <c r="N1078" i="3"/>
  <c r="L1078" i="3"/>
  <c r="K1078" i="3"/>
  <c r="Q1077" i="3"/>
  <c r="P1077" i="3"/>
  <c r="O1077" i="3"/>
  <c r="N1077" i="3"/>
  <c r="L1077" i="3"/>
  <c r="K1077" i="3"/>
  <c r="Q1076" i="3"/>
  <c r="P1076" i="3"/>
  <c r="O1076" i="3"/>
  <c r="N1076" i="3"/>
  <c r="L1076" i="3"/>
  <c r="K1076" i="3"/>
  <c r="Q1075" i="3"/>
  <c r="P1075" i="3"/>
  <c r="O1075" i="3"/>
  <c r="N1075" i="3"/>
  <c r="L1075" i="3"/>
  <c r="K1075" i="3"/>
  <c r="Q1074" i="3"/>
  <c r="P1074" i="3"/>
  <c r="O1074" i="3"/>
  <c r="N1074" i="3"/>
  <c r="L1074" i="3"/>
  <c r="K1074" i="3"/>
  <c r="Q1073" i="3"/>
  <c r="P1073" i="3"/>
  <c r="O1073" i="3"/>
  <c r="N1073" i="3"/>
  <c r="L1073" i="3"/>
  <c r="K1073" i="3"/>
  <c r="Q1072" i="3"/>
  <c r="P1072" i="3"/>
  <c r="O1072" i="3"/>
  <c r="N1072" i="3"/>
  <c r="L1072" i="3"/>
  <c r="K1072" i="3"/>
  <c r="Q1071" i="3"/>
  <c r="P1071" i="3"/>
  <c r="O1071" i="3"/>
  <c r="N1071" i="3"/>
  <c r="L1071" i="3"/>
  <c r="K1071" i="3"/>
  <c r="Q1070" i="3"/>
  <c r="P1070" i="3"/>
  <c r="O1070" i="3"/>
  <c r="N1070" i="3"/>
  <c r="L1070" i="3"/>
  <c r="K1070" i="3"/>
  <c r="Q1069" i="3"/>
  <c r="P1069" i="3"/>
  <c r="O1069" i="3"/>
  <c r="N1069" i="3"/>
  <c r="L1069" i="3"/>
  <c r="K1069" i="3"/>
  <c r="Q1068" i="3"/>
  <c r="P1068" i="3"/>
  <c r="O1068" i="3"/>
  <c r="N1068" i="3"/>
  <c r="L1068" i="3"/>
  <c r="K1068" i="3"/>
  <c r="Q1067" i="3"/>
  <c r="P1067" i="3"/>
  <c r="O1067" i="3"/>
  <c r="N1067" i="3"/>
  <c r="L1067" i="3"/>
  <c r="K1067" i="3"/>
  <c r="Q1066" i="3"/>
  <c r="P1066" i="3"/>
  <c r="O1066" i="3"/>
  <c r="N1066" i="3"/>
  <c r="L1066" i="3"/>
  <c r="K1066" i="3"/>
  <c r="Q1065" i="3"/>
  <c r="P1065" i="3"/>
  <c r="O1065" i="3"/>
  <c r="N1065" i="3"/>
  <c r="L1065" i="3"/>
  <c r="K1065" i="3"/>
  <c r="Q1064" i="3"/>
  <c r="P1064" i="3"/>
  <c r="O1064" i="3"/>
  <c r="N1064" i="3"/>
  <c r="L1064" i="3"/>
  <c r="K1064" i="3"/>
  <c r="Q1063" i="3"/>
  <c r="P1063" i="3"/>
  <c r="O1063" i="3"/>
  <c r="N1063" i="3"/>
  <c r="L1063" i="3"/>
  <c r="K1063" i="3"/>
  <c r="Q1062" i="3"/>
  <c r="P1062" i="3"/>
  <c r="O1062" i="3"/>
  <c r="N1062" i="3"/>
  <c r="L1062" i="3"/>
  <c r="K1062" i="3"/>
  <c r="Q1061" i="3"/>
  <c r="P1061" i="3"/>
  <c r="O1061" i="3"/>
  <c r="N1061" i="3"/>
  <c r="L1061" i="3"/>
  <c r="K1061" i="3"/>
  <c r="Q1060" i="3"/>
  <c r="P1060" i="3"/>
  <c r="O1060" i="3"/>
  <c r="N1060" i="3"/>
  <c r="L1060" i="3"/>
  <c r="K1060" i="3"/>
  <c r="Q1059" i="3"/>
  <c r="P1059" i="3"/>
  <c r="O1059" i="3"/>
  <c r="N1059" i="3"/>
  <c r="L1059" i="3"/>
  <c r="K1059" i="3"/>
  <c r="Q1058" i="3"/>
  <c r="P1058" i="3"/>
  <c r="O1058" i="3"/>
  <c r="N1058" i="3"/>
  <c r="L1058" i="3"/>
  <c r="K1058" i="3"/>
  <c r="Q1057" i="3"/>
  <c r="P1057" i="3"/>
  <c r="O1057" i="3"/>
  <c r="N1057" i="3"/>
  <c r="L1057" i="3"/>
  <c r="K1057" i="3"/>
  <c r="Q1056" i="3"/>
  <c r="P1056" i="3"/>
  <c r="O1056" i="3"/>
  <c r="N1056" i="3"/>
  <c r="L1056" i="3"/>
  <c r="K1056" i="3"/>
  <c r="Q1055" i="3"/>
  <c r="P1055" i="3"/>
  <c r="O1055" i="3"/>
  <c r="N1055" i="3"/>
  <c r="L1055" i="3"/>
  <c r="K1055" i="3"/>
  <c r="Q1054" i="3"/>
  <c r="P1054" i="3"/>
  <c r="O1054" i="3"/>
  <c r="N1054" i="3"/>
  <c r="L1054" i="3"/>
  <c r="K1054" i="3"/>
  <c r="Q1053" i="3"/>
  <c r="P1053" i="3"/>
  <c r="O1053" i="3"/>
  <c r="N1053" i="3"/>
  <c r="L1053" i="3"/>
  <c r="K1053" i="3"/>
  <c r="Q1052" i="3"/>
  <c r="P1052" i="3"/>
  <c r="O1052" i="3"/>
  <c r="N1052" i="3"/>
  <c r="L1052" i="3"/>
  <c r="K1052" i="3"/>
  <c r="Q1051" i="3"/>
  <c r="P1051" i="3"/>
  <c r="O1051" i="3"/>
  <c r="N1051" i="3"/>
  <c r="L1051" i="3"/>
  <c r="K1051" i="3"/>
  <c r="Q1050" i="3"/>
  <c r="P1050" i="3"/>
  <c r="O1050" i="3"/>
  <c r="N1050" i="3"/>
  <c r="L1050" i="3"/>
  <c r="K1050" i="3"/>
  <c r="Q1049" i="3"/>
  <c r="P1049" i="3"/>
  <c r="O1049" i="3"/>
  <c r="N1049" i="3"/>
  <c r="L1049" i="3"/>
  <c r="K1049" i="3"/>
  <c r="Q1048" i="3"/>
  <c r="P1048" i="3"/>
  <c r="O1048" i="3"/>
  <c r="N1048" i="3"/>
  <c r="L1048" i="3"/>
  <c r="K1048" i="3"/>
  <c r="Q1047" i="3"/>
  <c r="P1047" i="3"/>
  <c r="O1047" i="3"/>
  <c r="N1047" i="3"/>
  <c r="L1047" i="3"/>
  <c r="K1047" i="3"/>
  <c r="Q1046" i="3"/>
  <c r="P1046" i="3"/>
  <c r="O1046" i="3"/>
  <c r="N1046" i="3"/>
  <c r="L1046" i="3"/>
  <c r="K1046" i="3"/>
  <c r="Q1045" i="3"/>
  <c r="P1045" i="3"/>
  <c r="O1045" i="3"/>
  <c r="N1045" i="3"/>
  <c r="L1045" i="3"/>
  <c r="K1045" i="3"/>
  <c r="Q1044" i="3"/>
  <c r="P1044" i="3"/>
  <c r="O1044" i="3"/>
  <c r="N1044" i="3"/>
  <c r="L1044" i="3"/>
  <c r="K1044" i="3"/>
  <c r="Q1043" i="3"/>
  <c r="P1043" i="3"/>
  <c r="O1043" i="3"/>
  <c r="N1043" i="3"/>
  <c r="L1043" i="3"/>
  <c r="K1043" i="3"/>
  <c r="Q1042" i="3"/>
  <c r="P1042" i="3"/>
  <c r="O1042" i="3"/>
  <c r="N1042" i="3"/>
  <c r="L1042" i="3"/>
  <c r="K1042" i="3"/>
  <c r="Q1041" i="3"/>
  <c r="P1041" i="3"/>
  <c r="O1041" i="3"/>
  <c r="N1041" i="3"/>
  <c r="L1041" i="3"/>
  <c r="K1041" i="3"/>
  <c r="Q1040" i="3"/>
  <c r="P1040" i="3"/>
  <c r="O1040" i="3"/>
  <c r="N1040" i="3"/>
  <c r="L1040" i="3"/>
  <c r="K1040" i="3"/>
  <c r="Q1039" i="3"/>
  <c r="P1039" i="3"/>
  <c r="O1039" i="3"/>
  <c r="N1039" i="3"/>
  <c r="L1039" i="3"/>
  <c r="K1039" i="3"/>
  <c r="Q1038" i="3"/>
  <c r="P1038" i="3"/>
  <c r="O1038" i="3"/>
  <c r="N1038" i="3"/>
  <c r="L1038" i="3"/>
  <c r="K1038" i="3"/>
  <c r="Q1037" i="3"/>
  <c r="P1037" i="3"/>
  <c r="O1037" i="3"/>
  <c r="N1037" i="3"/>
  <c r="L1037" i="3"/>
  <c r="K1037" i="3"/>
  <c r="Q1036" i="3"/>
  <c r="P1036" i="3"/>
  <c r="O1036" i="3"/>
  <c r="N1036" i="3"/>
  <c r="L1036" i="3"/>
  <c r="K1036" i="3"/>
  <c r="Q1035" i="3"/>
  <c r="P1035" i="3"/>
  <c r="O1035" i="3"/>
  <c r="N1035" i="3"/>
  <c r="L1035" i="3"/>
  <c r="K1035" i="3"/>
  <c r="Q1034" i="3"/>
  <c r="P1034" i="3"/>
  <c r="O1034" i="3"/>
  <c r="N1034" i="3"/>
  <c r="L1034" i="3"/>
  <c r="K1034" i="3"/>
  <c r="Q1033" i="3"/>
  <c r="P1033" i="3"/>
  <c r="O1033" i="3"/>
  <c r="N1033" i="3"/>
  <c r="L1033" i="3"/>
  <c r="K1033" i="3"/>
  <c r="Q1032" i="3"/>
  <c r="P1032" i="3"/>
  <c r="O1032" i="3"/>
  <c r="N1032" i="3"/>
  <c r="L1032" i="3"/>
  <c r="K1032" i="3"/>
  <c r="Q1031" i="3"/>
  <c r="P1031" i="3"/>
  <c r="O1031" i="3"/>
  <c r="N1031" i="3"/>
  <c r="L1031" i="3"/>
  <c r="K1031" i="3"/>
  <c r="Q1030" i="3"/>
  <c r="P1030" i="3"/>
  <c r="O1030" i="3"/>
  <c r="N1030" i="3"/>
  <c r="L1030" i="3"/>
  <c r="K1030" i="3"/>
  <c r="Q1029" i="3"/>
  <c r="P1029" i="3"/>
  <c r="O1029" i="3"/>
  <c r="N1029" i="3"/>
  <c r="L1029" i="3"/>
  <c r="K1029" i="3"/>
  <c r="Q1028" i="3"/>
  <c r="P1028" i="3"/>
  <c r="O1028" i="3"/>
  <c r="N1028" i="3"/>
  <c r="L1028" i="3"/>
  <c r="K1028" i="3"/>
  <c r="Q1027" i="3"/>
  <c r="P1027" i="3"/>
  <c r="O1027" i="3"/>
  <c r="N1027" i="3"/>
  <c r="L1027" i="3"/>
  <c r="K1027" i="3"/>
  <c r="Q1026" i="3"/>
  <c r="P1026" i="3"/>
  <c r="O1026" i="3"/>
  <c r="N1026" i="3"/>
  <c r="L1026" i="3"/>
  <c r="K1026" i="3"/>
  <c r="Q1025" i="3"/>
  <c r="P1025" i="3"/>
  <c r="O1025" i="3"/>
  <c r="N1025" i="3"/>
  <c r="L1025" i="3"/>
  <c r="K1025" i="3"/>
  <c r="Q1024" i="3"/>
  <c r="P1024" i="3"/>
  <c r="O1024" i="3"/>
  <c r="N1024" i="3"/>
  <c r="L1024" i="3"/>
  <c r="K1024" i="3"/>
  <c r="Q1023" i="3"/>
  <c r="P1023" i="3"/>
  <c r="O1023" i="3"/>
  <c r="N1023" i="3"/>
  <c r="L1023" i="3"/>
  <c r="K1023" i="3"/>
  <c r="Q1022" i="3"/>
  <c r="P1022" i="3"/>
  <c r="O1022" i="3"/>
  <c r="N1022" i="3"/>
  <c r="L1022" i="3"/>
  <c r="K1022" i="3"/>
  <c r="Q1021" i="3"/>
  <c r="P1021" i="3"/>
  <c r="O1021" i="3"/>
  <c r="N1021" i="3"/>
  <c r="L1021" i="3"/>
  <c r="K1021" i="3"/>
  <c r="Q1020" i="3"/>
  <c r="P1020" i="3"/>
  <c r="O1020" i="3"/>
  <c r="N1020" i="3"/>
  <c r="L1020" i="3"/>
  <c r="K1020" i="3"/>
  <c r="Q1019" i="3"/>
  <c r="P1019" i="3"/>
  <c r="O1019" i="3"/>
  <c r="N1019" i="3"/>
  <c r="L1019" i="3"/>
  <c r="K1019" i="3"/>
  <c r="Q1018" i="3"/>
  <c r="P1018" i="3"/>
  <c r="O1018" i="3"/>
  <c r="N1018" i="3"/>
  <c r="L1018" i="3"/>
  <c r="K1018" i="3"/>
  <c r="Q1017" i="3"/>
  <c r="P1017" i="3"/>
  <c r="O1017" i="3"/>
  <c r="N1017" i="3"/>
  <c r="L1017" i="3"/>
  <c r="K1017" i="3"/>
  <c r="Q1016" i="3"/>
  <c r="P1016" i="3"/>
  <c r="O1016" i="3"/>
  <c r="N1016" i="3"/>
  <c r="L1016" i="3"/>
  <c r="K1016" i="3"/>
  <c r="Q1015" i="3"/>
  <c r="P1015" i="3"/>
  <c r="O1015" i="3"/>
  <c r="N1015" i="3"/>
  <c r="L1015" i="3"/>
  <c r="K1015" i="3"/>
  <c r="Q1014" i="3"/>
  <c r="P1014" i="3"/>
  <c r="O1014" i="3"/>
  <c r="N1014" i="3"/>
  <c r="L1014" i="3"/>
  <c r="K1014" i="3"/>
  <c r="Q1013" i="3"/>
  <c r="P1013" i="3"/>
  <c r="O1013" i="3"/>
  <c r="N1013" i="3"/>
  <c r="L1013" i="3"/>
  <c r="K1013" i="3"/>
  <c r="Q1012" i="3"/>
  <c r="P1012" i="3"/>
  <c r="O1012" i="3"/>
  <c r="N1012" i="3"/>
  <c r="L1012" i="3"/>
  <c r="K1012" i="3"/>
  <c r="Q1011" i="3"/>
  <c r="P1011" i="3"/>
  <c r="O1011" i="3"/>
  <c r="N1011" i="3"/>
  <c r="L1011" i="3"/>
  <c r="K1011" i="3"/>
  <c r="Q1010" i="3"/>
  <c r="P1010" i="3"/>
  <c r="O1010" i="3"/>
  <c r="N1010" i="3"/>
  <c r="L1010" i="3"/>
  <c r="K1010" i="3"/>
  <c r="Q1009" i="3"/>
  <c r="P1009" i="3"/>
  <c r="O1009" i="3"/>
  <c r="N1009" i="3"/>
  <c r="L1009" i="3"/>
  <c r="K1009" i="3"/>
  <c r="Q1008" i="3"/>
  <c r="P1008" i="3"/>
  <c r="O1008" i="3"/>
  <c r="N1008" i="3"/>
  <c r="L1008" i="3"/>
  <c r="K1008" i="3"/>
  <c r="Q1007" i="3"/>
  <c r="P1007" i="3"/>
  <c r="O1007" i="3"/>
  <c r="N1007" i="3"/>
  <c r="L1007" i="3"/>
  <c r="K1007" i="3"/>
  <c r="Q1006" i="3"/>
  <c r="P1006" i="3"/>
  <c r="O1006" i="3"/>
  <c r="N1006" i="3"/>
  <c r="L1006" i="3"/>
  <c r="K1006" i="3"/>
  <c r="Q1005" i="3"/>
  <c r="P1005" i="3"/>
  <c r="O1005" i="3"/>
  <c r="N1005" i="3"/>
  <c r="L1005" i="3"/>
  <c r="K1005" i="3"/>
  <c r="Q1004" i="3"/>
  <c r="P1004" i="3"/>
  <c r="O1004" i="3"/>
  <c r="N1004" i="3"/>
  <c r="L1004" i="3"/>
  <c r="K1004" i="3"/>
  <c r="Q1003" i="3"/>
  <c r="P1003" i="3"/>
  <c r="O1003" i="3"/>
  <c r="N1003" i="3"/>
  <c r="L1003" i="3"/>
  <c r="K1003" i="3"/>
  <c r="Q1002" i="3"/>
  <c r="P1002" i="3"/>
  <c r="O1002" i="3"/>
  <c r="N1002" i="3"/>
  <c r="L1002" i="3"/>
  <c r="K1002" i="3"/>
  <c r="Q1001" i="3"/>
  <c r="P1001" i="3"/>
  <c r="O1001" i="3"/>
  <c r="N1001" i="3"/>
  <c r="L1001" i="3"/>
  <c r="K1001" i="3"/>
  <c r="Q1000" i="3"/>
  <c r="P1000" i="3"/>
  <c r="O1000" i="3"/>
  <c r="N1000" i="3"/>
  <c r="L1000" i="3"/>
  <c r="K1000" i="3"/>
  <c r="Q999" i="3"/>
  <c r="P999" i="3"/>
  <c r="O999" i="3"/>
  <c r="N999" i="3"/>
  <c r="L999" i="3"/>
  <c r="K999" i="3"/>
  <c r="Q998" i="3"/>
  <c r="P998" i="3"/>
  <c r="O998" i="3"/>
  <c r="N998" i="3"/>
  <c r="L998" i="3"/>
  <c r="K998" i="3"/>
  <c r="Q997" i="3"/>
  <c r="P997" i="3"/>
  <c r="O997" i="3"/>
  <c r="N997" i="3"/>
  <c r="L997" i="3"/>
  <c r="K997" i="3"/>
  <c r="Q996" i="3"/>
  <c r="P996" i="3"/>
  <c r="O996" i="3"/>
  <c r="N996" i="3"/>
  <c r="L996" i="3"/>
  <c r="K996" i="3"/>
  <c r="Q995" i="3"/>
  <c r="P995" i="3"/>
  <c r="O995" i="3"/>
  <c r="N995" i="3"/>
  <c r="L995" i="3"/>
  <c r="K995" i="3"/>
  <c r="Q994" i="3"/>
  <c r="P994" i="3"/>
  <c r="O994" i="3"/>
  <c r="N994" i="3"/>
  <c r="L994" i="3"/>
  <c r="K994" i="3"/>
  <c r="Q993" i="3"/>
  <c r="P993" i="3"/>
  <c r="O993" i="3"/>
  <c r="N993" i="3"/>
  <c r="L993" i="3"/>
  <c r="K993" i="3"/>
  <c r="Q992" i="3"/>
  <c r="P992" i="3"/>
  <c r="O992" i="3"/>
  <c r="N992" i="3"/>
  <c r="L992" i="3"/>
  <c r="K992" i="3"/>
  <c r="Q991" i="3"/>
  <c r="P991" i="3"/>
  <c r="O991" i="3"/>
  <c r="N991" i="3"/>
  <c r="L991" i="3"/>
  <c r="K991" i="3"/>
  <c r="Q990" i="3"/>
  <c r="P990" i="3"/>
  <c r="O990" i="3"/>
  <c r="N990" i="3"/>
  <c r="L990" i="3"/>
  <c r="K990" i="3"/>
  <c r="Q989" i="3"/>
  <c r="P989" i="3"/>
  <c r="O989" i="3"/>
  <c r="N989" i="3"/>
  <c r="L989" i="3"/>
  <c r="K989" i="3"/>
  <c r="Q988" i="3"/>
  <c r="P988" i="3"/>
  <c r="O988" i="3"/>
  <c r="N988" i="3"/>
  <c r="L988" i="3"/>
  <c r="K988" i="3"/>
  <c r="Q987" i="3"/>
  <c r="P987" i="3"/>
  <c r="O987" i="3"/>
  <c r="N987" i="3"/>
  <c r="L987" i="3"/>
  <c r="K987" i="3"/>
  <c r="Q986" i="3"/>
  <c r="P986" i="3"/>
  <c r="O986" i="3"/>
  <c r="N986" i="3"/>
  <c r="L986" i="3"/>
  <c r="K986" i="3"/>
  <c r="Q985" i="3"/>
  <c r="P985" i="3"/>
  <c r="O985" i="3"/>
  <c r="N985" i="3"/>
  <c r="L985" i="3"/>
  <c r="K985" i="3"/>
  <c r="Q984" i="3"/>
  <c r="P984" i="3"/>
  <c r="O984" i="3"/>
  <c r="N984" i="3"/>
  <c r="L984" i="3"/>
  <c r="K984" i="3"/>
  <c r="Q983" i="3"/>
  <c r="P983" i="3"/>
  <c r="O983" i="3"/>
  <c r="N983" i="3"/>
  <c r="L983" i="3"/>
  <c r="K983" i="3"/>
  <c r="Q982" i="3"/>
  <c r="P982" i="3"/>
  <c r="O982" i="3"/>
  <c r="N982" i="3"/>
  <c r="L982" i="3"/>
  <c r="K982" i="3"/>
  <c r="Q981" i="3"/>
  <c r="P981" i="3"/>
  <c r="O981" i="3"/>
  <c r="N981" i="3"/>
  <c r="L981" i="3"/>
  <c r="K981" i="3"/>
  <c r="Q980" i="3"/>
  <c r="P980" i="3"/>
  <c r="O980" i="3"/>
  <c r="N980" i="3"/>
  <c r="L980" i="3"/>
  <c r="K980" i="3"/>
  <c r="Q979" i="3"/>
  <c r="P979" i="3"/>
  <c r="O979" i="3"/>
  <c r="N979" i="3"/>
  <c r="L979" i="3"/>
  <c r="K979" i="3"/>
  <c r="Q978" i="3"/>
  <c r="P978" i="3"/>
  <c r="O978" i="3"/>
  <c r="N978" i="3"/>
  <c r="L978" i="3"/>
  <c r="K978" i="3"/>
  <c r="Q977" i="3"/>
  <c r="P977" i="3"/>
  <c r="O977" i="3"/>
  <c r="N977" i="3"/>
  <c r="L977" i="3"/>
  <c r="K977" i="3"/>
  <c r="Q976" i="3"/>
  <c r="P976" i="3"/>
  <c r="O976" i="3"/>
  <c r="N976" i="3"/>
  <c r="L976" i="3"/>
  <c r="K976" i="3"/>
  <c r="Q975" i="3"/>
  <c r="P975" i="3"/>
  <c r="O975" i="3"/>
  <c r="N975" i="3"/>
  <c r="L975" i="3"/>
  <c r="K975" i="3"/>
  <c r="Q974" i="3"/>
  <c r="P974" i="3"/>
  <c r="O974" i="3"/>
  <c r="N974" i="3"/>
  <c r="L974" i="3"/>
  <c r="K974" i="3"/>
  <c r="Q973" i="3"/>
  <c r="P973" i="3"/>
  <c r="O973" i="3"/>
  <c r="N973" i="3"/>
  <c r="L973" i="3"/>
  <c r="K973" i="3"/>
  <c r="Q972" i="3"/>
  <c r="P972" i="3"/>
  <c r="O972" i="3"/>
  <c r="N972" i="3"/>
  <c r="L972" i="3"/>
  <c r="K972" i="3"/>
  <c r="Q971" i="3"/>
  <c r="P971" i="3"/>
  <c r="O971" i="3"/>
  <c r="N971" i="3"/>
  <c r="L971" i="3"/>
  <c r="K971" i="3"/>
  <c r="Q970" i="3"/>
  <c r="P970" i="3"/>
  <c r="O970" i="3"/>
  <c r="N970" i="3"/>
  <c r="L970" i="3"/>
  <c r="K970" i="3"/>
  <c r="Q969" i="3"/>
  <c r="P969" i="3"/>
  <c r="O969" i="3"/>
  <c r="N969" i="3"/>
  <c r="L969" i="3"/>
  <c r="K969" i="3"/>
  <c r="Q968" i="3"/>
  <c r="P968" i="3"/>
  <c r="O968" i="3"/>
  <c r="N968" i="3"/>
  <c r="L968" i="3"/>
  <c r="K968" i="3"/>
  <c r="Q967" i="3"/>
  <c r="P967" i="3"/>
  <c r="O967" i="3"/>
  <c r="N967" i="3"/>
  <c r="L967" i="3"/>
  <c r="K967" i="3"/>
  <c r="Q966" i="3"/>
  <c r="P966" i="3"/>
  <c r="O966" i="3"/>
  <c r="N966" i="3"/>
  <c r="L966" i="3"/>
  <c r="K966" i="3"/>
  <c r="Q965" i="3"/>
  <c r="P965" i="3"/>
  <c r="O965" i="3"/>
  <c r="N965" i="3"/>
  <c r="L965" i="3"/>
  <c r="K965" i="3"/>
  <c r="Q964" i="3"/>
  <c r="P964" i="3"/>
  <c r="O964" i="3"/>
  <c r="N964" i="3"/>
  <c r="L964" i="3"/>
  <c r="K964" i="3"/>
  <c r="Q963" i="3"/>
  <c r="P963" i="3"/>
  <c r="O963" i="3"/>
  <c r="N963" i="3"/>
  <c r="L963" i="3"/>
  <c r="K963" i="3"/>
  <c r="Q962" i="3"/>
  <c r="P962" i="3"/>
  <c r="O962" i="3"/>
  <c r="N962" i="3"/>
  <c r="L962" i="3"/>
  <c r="K962" i="3"/>
  <c r="Q961" i="3"/>
  <c r="P961" i="3"/>
  <c r="O961" i="3"/>
  <c r="N961" i="3"/>
  <c r="L961" i="3"/>
  <c r="K961" i="3"/>
  <c r="Q960" i="3"/>
  <c r="P960" i="3"/>
  <c r="O960" i="3"/>
  <c r="N960" i="3"/>
  <c r="L960" i="3"/>
  <c r="K960" i="3"/>
  <c r="Q959" i="3"/>
  <c r="P959" i="3"/>
  <c r="O959" i="3"/>
  <c r="N959" i="3"/>
  <c r="L959" i="3"/>
  <c r="K959" i="3"/>
  <c r="Q958" i="3"/>
  <c r="P958" i="3"/>
  <c r="O958" i="3"/>
  <c r="N958" i="3"/>
  <c r="L958" i="3"/>
  <c r="K958" i="3"/>
  <c r="Q957" i="3"/>
  <c r="P957" i="3"/>
  <c r="O957" i="3"/>
  <c r="N957" i="3"/>
  <c r="L957" i="3"/>
  <c r="K957" i="3"/>
  <c r="Q956" i="3"/>
  <c r="P956" i="3"/>
  <c r="O956" i="3"/>
  <c r="N956" i="3"/>
  <c r="L956" i="3"/>
  <c r="K956" i="3"/>
  <c r="Q955" i="3"/>
  <c r="P955" i="3"/>
  <c r="O955" i="3"/>
  <c r="N955" i="3"/>
  <c r="L955" i="3"/>
  <c r="K955" i="3"/>
  <c r="Q954" i="3"/>
  <c r="P954" i="3"/>
  <c r="O954" i="3"/>
  <c r="N954" i="3"/>
  <c r="L954" i="3"/>
  <c r="K954" i="3"/>
  <c r="Q953" i="3"/>
  <c r="P953" i="3"/>
  <c r="O953" i="3"/>
  <c r="N953" i="3"/>
  <c r="L953" i="3"/>
  <c r="K953" i="3"/>
  <c r="Q952" i="3"/>
  <c r="P952" i="3"/>
  <c r="O952" i="3"/>
  <c r="N952" i="3"/>
  <c r="L952" i="3"/>
  <c r="K952" i="3"/>
  <c r="Q951" i="3"/>
  <c r="P951" i="3"/>
  <c r="O951" i="3"/>
  <c r="N951" i="3"/>
  <c r="L951" i="3"/>
  <c r="K951" i="3"/>
  <c r="Q950" i="3"/>
  <c r="P950" i="3"/>
  <c r="O950" i="3"/>
  <c r="N950" i="3"/>
  <c r="L950" i="3"/>
  <c r="K950" i="3"/>
  <c r="Q949" i="3"/>
  <c r="P949" i="3"/>
  <c r="O949" i="3"/>
  <c r="N949" i="3"/>
  <c r="L949" i="3"/>
  <c r="K949" i="3"/>
  <c r="Q948" i="3"/>
  <c r="P948" i="3"/>
  <c r="O948" i="3"/>
  <c r="N948" i="3"/>
  <c r="L948" i="3"/>
  <c r="K948" i="3"/>
  <c r="Q947" i="3"/>
  <c r="P947" i="3"/>
  <c r="O947" i="3"/>
  <c r="N947" i="3"/>
  <c r="L947" i="3"/>
  <c r="K947" i="3"/>
  <c r="Q946" i="3"/>
  <c r="P946" i="3"/>
  <c r="O946" i="3"/>
  <c r="N946" i="3"/>
  <c r="L946" i="3"/>
  <c r="K946" i="3"/>
  <c r="Q945" i="3"/>
  <c r="P945" i="3"/>
  <c r="O945" i="3"/>
  <c r="N945" i="3"/>
  <c r="L945" i="3"/>
  <c r="K945" i="3"/>
  <c r="Q944" i="3"/>
  <c r="P944" i="3"/>
  <c r="O944" i="3"/>
  <c r="N944" i="3"/>
  <c r="L944" i="3"/>
  <c r="K944" i="3"/>
  <c r="Q943" i="3"/>
  <c r="P943" i="3"/>
  <c r="O943" i="3"/>
  <c r="N943" i="3"/>
  <c r="L943" i="3"/>
  <c r="K943" i="3"/>
  <c r="Q942" i="3"/>
  <c r="P942" i="3"/>
  <c r="O942" i="3"/>
  <c r="N942" i="3"/>
  <c r="L942" i="3"/>
  <c r="K942" i="3"/>
  <c r="Q941" i="3"/>
  <c r="P941" i="3"/>
  <c r="O941" i="3"/>
  <c r="N941" i="3"/>
  <c r="L941" i="3"/>
  <c r="K941" i="3"/>
  <c r="Q940" i="3"/>
  <c r="P940" i="3"/>
  <c r="O940" i="3"/>
  <c r="N940" i="3"/>
  <c r="L940" i="3"/>
  <c r="K940" i="3"/>
  <c r="Q939" i="3"/>
  <c r="P939" i="3"/>
  <c r="O939" i="3"/>
  <c r="N939" i="3"/>
  <c r="L939" i="3"/>
  <c r="K939" i="3"/>
  <c r="Q938" i="3"/>
  <c r="P938" i="3"/>
  <c r="O938" i="3"/>
  <c r="N938" i="3"/>
  <c r="L938" i="3"/>
  <c r="K938" i="3"/>
  <c r="Q937" i="3"/>
  <c r="P937" i="3"/>
  <c r="O937" i="3"/>
  <c r="N937" i="3"/>
  <c r="L937" i="3"/>
  <c r="K937" i="3"/>
  <c r="Q936" i="3"/>
  <c r="P936" i="3"/>
  <c r="O936" i="3"/>
  <c r="N936" i="3"/>
  <c r="L936" i="3"/>
  <c r="K936" i="3"/>
  <c r="Q935" i="3"/>
  <c r="P935" i="3"/>
  <c r="O935" i="3"/>
  <c r="N935" i="3"/>
  <c r="L935" i="3"/>
  <c r="K935" i="3"/>
  <c r="Q934" i="3"/>
  <c r="P934" i="3"/>
  <c r="O934" i="3"/>
  <c r="N934" i="3"/>
  <c r="L934" i="3"/>
  <c r="K934" i="3"/>
  <c r="Q933" i="3"/>
  <c r="P933" i="3"/>
  <c r="O933" i="3"/>
  <c r="N933" i="3"/>
  <c r="L933" i="3"/>
  <c r="K933" i="3"/>
  <c r="Q932" i="3"/>
  <c r="P932" i="3"/>
  <c r="O932" i="3"/>
  <c r="N932" i="3"/>
  <c r="L932" i="3"/>
  <c r="K932" i="3"/>
  <c r="Q931" i="3"/>
  <c r="P931" i="3"/>
  <c r="O931" i="3"/>
  <c r="N931" i="3"/>
  <c r="L931" i="3"/>
  <c r="K931" i="3"/>
  <c r="Q930" i="3"/>
  <c r="P930" i="3"/>
  <c r="O930" i="3"/>
  <c r="N930" i="3"/>
  <c r="L930" i="3"/>
  <c r="K930" i="3"/>
  <c r="Q929" i="3"/>
  <c r="P929" i="3"/>
  <c r="O929" i="3"/>
  <c r="N929" i="3"/>
  <c r="L929" i="3"/>
  <c r="K929" i="3"/>
  <c r="Q928" i="3"/>
  <c r="P928" i="3"/>
  <c r="O928" i="3"/>
  <c r="N928" i="3"/>
  <c r="L928" i="3"/>
  <c r="K928" i="3"/>
  <c r="Q927" i="3"/>
  <c r="P927" i="3"/>
  <c r="O927" i="3"/>
  <c r="N927" i="3"/>
  <c r="L927" i="3"/>
  <c r="K927" i="3"/>
  <c r="Q926" i="3"/>
  <c r="P926" i="3"/>
  <c r="O926" i="3"/>
  <c r="N926" i="3"/>
  <c r="L926" i="3"/>
  <c r="K926" i="3"/>
  <c r="Q925" i="3"/>
  <c r="P925" i="3"/>
  <c r="O925" i="3"/>
  <c r="N925" i="3"/>
  <c r="L925" i="3"/>
  <c r="K925" i="3"/>
  <c r="Q924" i="3"/>
  <c r="P924" i="3"/>
  <c r="O924" i="3"/>
  <c r="N924" i="3"/>
  <c r="L924" i="3"/>
  <c r="K924" i="3"/>
  <c r="Q923" i="3"/>
  <c r="P923" i="3"/>
  <c r="O923" i="3"/>
  <c r="N923" i="3"/>
  <c r="L923" i="3"/>
  <c r="K923" i="3"/>
  <c r="Q922" i="3"/>
  <c r="P922" i="3"/>
  <c r="O922" i="3"/>
  <c r="N922" i="3"/>
  <c r="L922" i="3"/>
  <c r="K922" i="3"/>
  <c r="Q921" i="3"/>
  <c r="P921" i="3"/>
  <c r="O921" i="3"/>
  <c r="N921" i="3"/>
  <c r="L921" i="3"/>
  <c r="K921" i="3"/>
  <c r="Q920" i="3"/>
  <c r="P920" i="3"/>
  <c r="O920" i="3"/>
  <c r="N920" i="3"/>
  <c r="L920" i="3"/>
  <c r="K920" i="3"/>
  <c r="Q919" i="3"/>
  <c r="P919" i="3"/>
  <c r="O919" i="3"/>
  <c r="N919" i="3"/>
  <c r="L919" i="3"/>
  <c r="K919" i="3"/>
  <c r="Q918" i="3"/>
  <c r="P918" i="3"/>
  <c r="O918" i="3"/>
  <c r="N918" i="3"/>
  <c r="L918" i="3"/>
  <c r="K918" i="3"/>
  <c r="Q917" i="3"/>
  <c r="P917" i="3"/>
  <c r="O917" i="3"/>
  <c r="N917" i="3"/>
  <c r="L917" i="3"/>
  <c r="K917" i="3"/>
  <c r="Q916" i="3"/>
  <c r="P916" i="3"/>
  <c r="O916" i="3"/>
  <c r="N916" i="3"/>
  <c r="L916" i="3"/>
  <c r="K916" i="3"/>
  <c r="Q915" i="3"/>
  <c r="P915" i="3"/>
  <c r="O915" i="3"/>
  <c r="N915" i="3"/>
  <c r="L915" i="3"/>
  <c r="K915" i="3"/>
  <c r="Q914" i="3"/>
  <c r="P914" i="3"/>
  <c r="O914" i="3"/>
  <c r="N914" i="3"/>
  <c r="L914" i="3"/>
  <c r="K914" i="3"/>
  <c r="Q913" i="3"/>
  <c r="P913" i="3"/>
  <c r="O913" i="3"/>
  <c r="N913" i="3"/>
  <c r="L913" i="3"/>
  <c r="K913" i="3"/>
  <c r="Q912" i="3"/>
  <c r="P912" i="3"/>
  <c r="O912" i="3"/>
  <c r="N912" i="3"/>
  <c r="L912" i="3"/>
  <c r="K912" i="3"/>
  <c r="Q911" i="3"/>
  <c r="P911" i="3"/>
  <c r="O911" i="3"/>
  <c r="N911" i="3"/>
  <c r="L911" i="3"/>
  <c r="K911" i="3"/>
  <c r="Q910" i="3"/>
  <c r="P910" i="3"/>
  <c r="O910" i="3"/>
  <c r="N910" i="3"/>
  <c r="L910" i="3"/>
  <c r="K910" i="3"/>
  <c r="Q909" i="3"/>
  <c r="P909" i="3"/>
  <c r="O909" i="3"/>
  <c r="N909" i="3"/>
  <c r="L909" i="3"/>
  <c r="K909" i="3"/>
  <c r="Q908" i="3"/>
  <c r="P908" i="3"/>
  <c r="O908" i="3"/>
  <c r="N908" i="3"/>
  <c r="L908" i="3"/>
  <c r="K908" i="3"/>
  <c r="Q907" i="3"/>
  <c r="P907" i="3"/>
  <c r="O907" i="3"/>
  <c r="N907" i="3"/>
  <c r="L907" i="3"/>
  <c r="K907" i="3"/>
  <c r="Q906" i="3"/>
  <c r="P906" i="3"/>
  <c r="O906" i="3"/>
  <c r="N906" i="3"/>
  <c r="L906" i="3"/>
  <c r="K906" i="3"/>
  <c r="Q905" i="3"/>
  <c r="P905" i="3"/>
  <c r="O905" i="3"/>
  <c r="N905" i="3"/>
  <c r="L905" i="3"/>
  <c r="K905" i="3"/>
  <c r="Q904" i="3"/>
  <c r="P904" i="3"/>
  <c r="O904" i="3"/>
  <c r="N904" i="3"/>
  <c r="L904" i="3"/>
  <c r="K904" i="3"/>
  <c r="Q903" i="3"/>
  <c r="P903" i="3"/>
  <c r="O903" i="3"/>
  <c r="N903" i="3"/>
  <c r="L903" i="3"/>
  <c r="K903" i="3"/>
  <c r="Q902" i="3"/>
  <c r="P902" i="3"/>
  <c r="O902" i="3"/>
  <c r="N902" i="3"/>
  <c r="L902" i="3"/>
  <c r="K902" i="3"/>
  <c r="Q901" i="3"/>
  <c r="P901" i="3"/>
  <c r="O901" i="3"/>
  <c r="N901" i="3"/>
  <c r="L901" i="3"/>
  <c r="K901" i="3"/>
  <c r="Q900" i="3"/>
  <c r="P900" i="3"/>
  <c r="O900" i="3"/>
  <c r="N900" i="3"/>
  <c r="L900" i="3"/>
  <c r="K900" i="3"/>
  <c r="Q899" i="3"/>
  <c r="P899" i="3"/>
  <c r="O899" i="3"/>
  <c r="N899" i="3"/>
  <c r="L899" i="3"/>
  <c r="K899" i="3"/>
  <c r="Q898" i="3"/>
  <c r="P898" i="3"/>
  <c r="O898" i="3"/>
  <c r="N898" i="3"/>
  <c r="L898" i="3"/>
  <c r="K898" i="3"/>
  <c r="Q897" i="3"/>
  <c r="P897" i="3"/>
  <c r="O897" i="3"/>
  <c r="N897" i="3"/>
  <c r="L897" i="3"/>
  <c r="K897" i="3"/>
  <c r="Q896" i="3"/>
  <c r="P896" i="3"/>
  <c r="O896" i="3"/>
  <c r="N896" i="3"/>
  <c r="L896" i="3"/>
  <c r="K896" i="3"/>
  <c r="Q895" i="3"/>
  <c r="P895" i="3"/>
  <c r="O895" i="3"/>
  <c r="N895" i="3"/>
  <c r="L895" i="3"/>
  <c r="K895" i="3"/>
  <c r="Q894" i="3"/>
  <c r="P894" i="3"/>
  <c r="O894" i="3"/>
  <c r="N894" i="3"/>
  <c r="L894" i="3"/>
  <c r="K894" i="3"/>
  <c r="Q893" i="3"/>
  <c r="P893" i="3"/>
  <c r="O893" i="3"/>
  <c r="N893" i="3"/>
  <c r="L893" i="3"/>
  <c r="K893" i="3"/>
  <c r="Q892" i="3"/>
  <c r="P892" i="3"/>
  <c r="O892" i="3"/>
  <c r="N892" i="3"/>
  <c r="L892" i="3"/>
  <c r="K892" i="3"/>
  <c r="Q891" i="3"/>
  <c r="P891" i="3"/>
  <c r="O891" i="3"/>
  <c r="N891" i="3"/>
  <c r="L891" i="3"/>
  <c r="K891" i="3"/>
  <c r="Q890" i="3"/>
  <c r="P890" i="3"/>
  <c r="O890" i="3"/>
  <c r="N890" i="3"/>
  <c r="L890" i="3"/>
  <c r="K890" i="3"/>
  <c r="Q889" i="3"/>
  <c r="P889" i="3"/>
  <c r="O889" i="3"/>
  <c r="N889" i="3"/>
  <c r="L889" i="3"/>
  <c r="K889" i="3"/>
  <c r="Q888" i="3"/>
  <c r="P888" i="3"/>
  <c r="O888" i="3"/>
  <c r="N888" i="3"/>
  <c r="L888" i="3"/>
  <c r="K888" i="3"/>
  <c r="Q887" i="3"/>
  <c r="P887" i="3"/>
  <c r="O887" i="3"/>
  <c r="N887" i="3"/>
  <c r="L887" i="3"/>
  <c r="K887" i="3"/>
  <c r="Q886" i="3"/>
  <c r="P886" i="3"/>
  <c r="O886" i="3"/>
  <c r="N886" i="3"/>
  <c r="L886" i="3"/>
  <c r="K886" i="3"/>
  <c r="Q885" i="3"/>
  <c r="P885" i="3"/>
  <c r="O885" i="3"/>
  <c r="N885" i="3"/>
  <c r="L885" i="3"/>
  <c r="K885" i="3"/>
  <c r="Q884" i="3"/>
  <c r="P884" i="3"/>
  <c r="O884" i="3"/>
  <c r="N884" i="3"/>
  <c r="L884" i="3"/>
  <c r="K884" i="3"/>
  <c r="Q883" i="3"/>
  <c r="P883" i="3"/>
  <c r="O883" i="3"/>
  <c r="N883" i="3"/>
  <c r="L883" i="3"/>
  <c r="K883" i="3"/>
  <c r="Q882" i="3"/>
  <c r="P882" i="3"/>
  <c r="O882" i="3"/>
  <c r="N882" i="3"/>
  <c r="L882" i="3"/>
  <c r="K882" i="3"/>
  <c r="Q881" i="3"/>
  <c r="P881" i="3"/>
  <c r="O881" i="3"/>
  <c r="N881" i="3"/>
  <c r="L881" i="3"/>
  <c r="K881" i="3"/>
  <c r="Q880" i="3"/>
  <c r="P880" i="3"/>
  <c r="O880" i="3"/>
  <c r="N880" i="3"/>
  <c r="L880" i="3"/>
  <c r="K880" i="3"/>
  <c r="Q879" i="3"/>
  <c r="P879" i="3"/>
  <c r="O879" i="3"/>
  <c r="N879" i="3"/>
  <c r="L879" i="3"/>
  <c r="K879" i="3"/>
  <c r="Q878" i="3"/>
  <c r="P878" i="3"/>
  <c r="O878" i="3"/>
  <c r="N878" i="3"/>
  <c r="L878" i="3"/>
  <c r="K878" i="3"/>
  <c r="Q877" i="3"/>
  <c r="P877" i="3"/>
  <c r="O877" i="3"/>
  <c r="N877" i="3"/>
  <c r="L877" i="3"/>
  <c r="K877" i="3"/>
  <c r="Q876" i="3"/>
  <c r="P876" i="3"/>
  <c r="O876" i="3"/>
  <c r="N876" i="3"/>
  <c r="L876" i="3"/>
  <c r="K876" i="3"/>
  <c r="Q875" i="3"/>
  <c r="P875" i="3"/>
  <c r="O875" i="3"/>
  <c r="N875" i="3"/>
  <c r="L875" i="3"/>
  <c r="K875" i="3"/>
  <c r="Q874" i="3"/>
  <c r="P874" i="3"/>
  <c r="O874" i="3"/>
  <c r="N874" i="3"/>
  <c r="L874" i="3"/>
  <c r="K874" i="3"/>
  <c r="Q873" i="3"/>
  <c r="P873" i="3"/>
  <c r="O873" i="3"/>
  <c r="N873" i="3"/>
  <c r="L873" i="3"/>
  <c r="K873" i="3"/>
  <c r="Q872" i="3"/>
  <c r="P872" i="3"/>
  <c r="O872" i="3"/>
  <c r="N872" i="3"/>
  <c r="L872" i="3"/>
  <c r="K872" i="3"/>
  <c r="Q871" i="3"/>
  <c r="P871" i="3"/>
  <c r="O871" i="3"/>
  <c r="N871" i="3"/>
  <c r="L871" i="3"/>
  <c r="K871" i="3"/>
  <c r="Q870" i="3"/>
  <c r="P870" i="3"/>
  <c r="O870" i="3"/>
  <c r="N870" i="3"/>
  <c r="L870" i="3"/>
  <c r="K870" i="3"/>
  <c r="Q869" i="3"/>
  <c r="P869" i="3"/>
  <c r="O869" i="3"/>
  <c r="N869" i="3"/>
  <c r="L869" i="3"/>
  <c r="K869" i="3"/>
  <c r="Q868" i="3"/>
  <c r="P868" i="3"/>
  <c r="O868" i="3"/>
  <c r="N868" i="3"/>
  <c r="L868" i="3"/>
  <c r="K868" i="3"/>
  <c r="Q867" i="3"/>
  <c r="P867" i="3"/>
  <c r="O867" i="3"/>
  <c r="N867" i="3"/>
  <c r="L867" i="3"/>
  <c r="K867" i="3"/>
  <c r="Q866" i="3"/>
  <c r="P866" i="3"/>
  <c r="O866" i="3"/>
  <c r="N866" i="3"/>
  <c r="L866" i="3"/>
  <c r="K866" i="3"/>
  <c r="Q865" i="3"/>
  <c r="P865" i="3"/>
  <c r="O865" i="3"/>
  <c r="N865" i="3"/>
  <c r="L865" i="3"/>
  <c r="K865" i="3"/>
  <c r="Q864" i="3"/>
  <c r="P864" i="3"/>
  <c r="O864" i="3"/>
  <c r="N864" i="3"/>
  <c r="L864" i="3"/>
  <c r="K864" i="3"/>
  <c r="Q863" i="3"/>
  <c r="P863" i="3"/>
  <c r="O863" i="3"/>
  <c r="N863" i="3"/>
  <c r="L863" i="3"/>
  <c r="K863" i="3"/>
  <c r="Q862" i="3"/>
  <c r="P862" i="3"/>
  <c r="O862" i="3"/>
  <c r="N862" i="3"/>
  <c r="L862" i="3"/>
  <c r="K862" i="3"/>
  <c r="Q861" i="3"/>
  <c r="P861" i="3"/>
  <c r="O861" i="3"/>
  <c r="N861" i="3"/>
  <c r="L861" i="3"/>
  <c r="K861" i="3"/>
  <c r="Q860" i="3"/>
  <c r="P860" i="3"/>
  <c r="O860" i="3"/>
  <c r="N860" i="3"/>
  <c r="L860" i="3"/>
  <c r="K860" i="3"/>
  <c r="Q859" i="3"/>
  <c r="P859" i="3"/>
  <c r="O859" i="3"/>
  <c r="N859" i="3"/>
  <c r="L859" i="3"/>
  <c r="K859" i="3"/>
  <c r="Q858" i="3"/>
  <c r="P858" i="3"/>
  <c r="O858" i="3"/>
  <c r="N858" i="3"/>
  <c r="L858" i="3"/>
  <c r="K858" i="3"/>
  <c r="Q857" i="3"/>
  <c r="P857" i="3"/>
  <c r="O857" i="3"/>
  <c r="N857" i="3"/>
  <c r="L857" i="3"/>
  <c r="K857" i="3"/>
  <c r="Q856" i="3"/>
  <c r="P856" i="3"/>
  <c r="O856" i="3"/>
  <c r="N856" i="3"/>
  <c r="L856" i="3"/>
  <c r="K856" i="3"/>
  <c r="Q855" i="3"/>
  <c r="P855" i="3"/>
  <c r="O855" i="3"/>
  <c r="N855" i="3"/>
  <c r="L855" i="3"/>
  <c r="K855" i="3"/>
  <c r="Q854" i="3"/>
  <c r="P854" i="3"/>
  <c r="O854" i="3"/>
  <c r="N854" i="3"/>
  <c r="L854" i="3"/>
  <c r="K854" i="3"/>
  <c r="Q853" i="3"/>
  <c r="P853" i="3"/>
  <c r="O853" i="3"/>
  <c r="N853" i="3"/>
  <c r="L853" i="3"/>
  <c r="K853" i="3"/>
  <c r="Q852" i="3"/>
  <c r="P852" i="3"/>
  <c r="O852" i="3"/>
  <c r="N852" i="3"/>
  <c r="L852" i="3"/>
  <c r="K852" i="3"/>
  <c r="Q851" i="3"/>
  <c r="P851" i="3"/>
  <c r="O851" i="3"/>
  <c r="N851" i="3"/>
  <c r="L851" i="3"/>
  <c r="K851" i="3"/>
  <c r="Q850" i="3"/>
  <c r="P850" i="3"/>
  <c r="O850" i="3"/>
  <c r="N850" i="3"/>
  <c r="L850" i="3"/>
  <c r="K850" i="3"/>
  <c r="Q849" i="3"/>
  <c r="P849" i="3"/>
  <c r="O849" i="3"/>
  <c r="N849" i="3"/>
  <c r="L849" i="3"/>
  <c r="K849" i="3"/>
  <c r="Q848" i="3"/>
  <c r="P848" i="3"/>
  <c r="O848" i="3"/>
  <c r="N848" i="3"/>
  <c r="L848" i="3"/>
  <c r="K848" i="3"/>
  <c r="Q847" i="3"/>
  <c r="P847" i="3"/>
  <c r="O847" i="3"/>
  <c r="N847" i="3"/>
  <c r="L847" i="3"/>
  <c r="K847" i="3"/>
  <c r="Q846" i="3"/>
  <c r="P846" i="3"/>
  <c r="O846" i="3"/>
  <c r="N846" i="3"/>
  <c r="L846" i="3"/>
  <c r="K846" i="3"/>
  <c r="Q845" i="3"/>
  <c r="P845" i="3"/>
  <c r="O845" i="3"/>
  <c r="N845" i="3"/>
  <c r="L845" i="3"/>
  <c r="K845" i="3"/>
  <c r="Q844" i="3"/>
  <c r="P844" i="3"/>
  <c r="O844" i="3"/>
  <c r="N844" i="3"/>
  <c r="L844" i="3"/>
  <c r="K844" i="3"/>
  <c r="Q843" i="3"/>
  <c r="P843" i="3"/>
  <c r="O843" i="3"/>
  <c r="N843" i="3"/>
  <c r="L843" i="3"/>
  <c r="K843" i="3"/>
  <c r="Q842" i="3"/>
  <c r="P842" i="3"/>
  <c r="O842" i="3"/>
  <c r="N842" i="3"/>
  <c r="L842" i="3"/>
  <c r="K842" i="3"/>
  <c r="Q841" i="3"/>
  <c r="P841" i="3"/>
  <c r="O841" i="3"/>
  <c r="N841" i="3"/>
  <c r="L841" i="3"/>
  <c r="K841" i="3"/>
  <c r="Q840" i="3"/>
  <c r="P840" i="3"/>
  <c r="O840" i="3"/>
  <c r="N840" i="3"/>
  <c r="L840" i="3"/>
  <c r="K840" i="3"/>
  <c r="Q839" i="3"/>
  <c r="P839" i="3"/>
  <c r="O839" i="3"/>
  <c r="N839" i="3"/>
  <c r="L839" i="3"/>
  <c r="K839" i="3"/>
  <c r="Q838" i="3"/>
  <c r="P838" i="3"/>
  <c r="O838" i="3"/>
  <c r="N838" i="3"/>
  <c r="L838" i="3"/>
  <c r="K838" i="3"/>
  <c r="Q837" i="3"/>
  <c r="P837" i="3"/>
  <c r="O837" i="3"/>
  <c r="N837" i="3"/>
  <c r="L837" i="3"/>
  <c r="K837" i="3"/>
  <c r="Q836" i="3"/>
  <c r="P836" i="3"/>
  <c r="O836" i="3"/>
  <c r="N836" i="3"/>
  <c r="L836" i="3"/>
  <c r="K836" i="3"/>
  <c r="Q835" i="3"/>
  <c r="P835" i="3"/>
  <c r="O835" i="3"/>
  <c r="N835" i="3"/>
  <c r="L835" i="3"/>
  <c r="K835" i="3"/>
  <c r="Q834" i="3"/>
  <c r="P834" i="3"/>
  <c r="O834" i="3"/>
  <c r="N834" i="3"/>
  <c r="L834" i="3"/>
  <c r="K834" i="3"/>
  <c r="Q833" i="3"/>
  <c r="P833" i="3"/>
  <c r="O833" i="3"/>
  <c r="N833" i="3"/>
  <c r="L833" i="3"/>
  <c r="K833" i="3"/>
  <c r="Q832" i="3"/>
  <c r="P832" i="3"/>
  <c r="O832" i="3"/>
  <c r="N832" i="3"/>
  <c r="L832" i="3"/>
  <c r="K832" i="3"/>
  <c r="Q831" i="3"/>
  <c r="P831" i="3"/>
  <c r="O831" i="3"/>
  <c r="N831" i="3"/>
  <c r="L831" i="3"/>
  <c r="K831" i="3"/>
  <c r="Q830" i="3"/>
  <c r="P830" i="3"/>
  <c r="O830" i="3"/>
  <c r="N830" i="3"/>
  <c r="L830" i="3"/>
  <c r="K830" i="3"/>
  <c r="Q829" i="3"/>
  <c r="P829" i="3"/>
  <c r="O829" i="3"/>
  <c r="N829" i="3"/>
  <c r="L829" i="3"/>
  <c r="K829" i="3"/>
  <c r="Q828" i="3"/>
  <c r="P828" i="3"/>
  <c r="O828" i="3"/>
  <c r="N828" i="3"/>
  <c r="L828" i="3"/>
  <c r="K828" i="3"/>
  <c r="Q827" i="3"/>
  <c r="P827" i="3"/>
  <c r="O827" i="3"/>
  <c r="N827" i="3"/>
  <c r="L827" i="3"/>
  <c r="K827" i="3"/>
  <c r="Q826" i="3"/>
  <c r="P826" i="3"/>
  <c r="O826" i="3"/>
  <c r="N826" i="3"/>
  <c r="L826" i="3"/>
  <c r="K826" i="3"/>
  <c r="Q825" i="3"/>
  <c r="P825" i="3"/>
  <c r="O825" i="3"/>
  <c r="N825" i="3"/>
  <c r="L825" i="3"/>
  <c r="K825" i="3"/>
  <c r="Q824" i="3"/>
  <c r="P824" i="3"/>
  <c r="O824" i="3"/>
  <c r="N824" i="3"/>
  <c r="L824" i="3"/>
  <c r="K824" i="3"/>
  <c r="Q823" i="3"/>
  <c r="P823" i="3"/>
  <c r="O823" i="3"/>
  <c r="N823" i="3"/>
  <c r="L823" i="3"/>
  <c r="K823" i="3"/>
  <c r="Q822" i="3"/>
  <c r="P822" i="3"/>
  <c r="O822" i="3"/>
  <c r="N822" i="3"/>
  <c r="L822" i="3"/>
  <c r="K822" i="3"/>
  <c r="Q821" i="3"/>
  <c r="P821" i="3"/>
  <c r="O821" i="3"/>
  <c r="N821" i="3"/>
  <c r="L821" i="3"/>
  <c r="K821" i="3"/>
  <c r="Q820" i="3"/>
  <c r="P820" i="3"/>
  <c r="O820" i="3"/>
  <c r="N820" i="3"/>
  <c r="L820" i="3"/>
  <c r="K820" i="3"/>
  <c r="Q819" i="3"/>
  <c r="P819" i="3"/>
  <c r="O819" i="3"/>
  <c r="N819" i="3"/>
  <c r="L819" i="3"/>
  <c r="K819" i="3"/>
  <c r="Q818" i="3"/>
  <c r="P818" i="3"/>
  <c r="O818" i="3"/>
  <c r="N818" i="3"/>
  <c r="L818" i="3"/>
  <c r="K818" i="3"/>
  <c r="Q817" i="3"/>
  <c r="P817" i="3"/>
  <c r="O817" i="3"/>
  <c r="N817" i="3"/>
  <c r="L817" i="3"/>
  <c r="K817" i="3"/>
  <c r="Q816" i="3"/>
  <c r="P816" i="3"/>
  <c r="O816" i="3"/>
  <c r="N816" i="3"/>
  <c r="L816" i="3"/>
  <c r="K816" i="3"/>
  <c r="Q815" i="3"/>
  <c r="P815" i="3"/>
  <c r="O815" i="3"/>
  <c r="N815" i="3"/>
  <c r="L815" i="3"/>
  <c r="K815" i="3"/>
  <c r="Q814" i="3"/>
  <c r="P814" i="3"/>
  <c r="O814" i="3"/>
  <c r="N814" i="3"/>
  <c r="L814" i="3"/>
  <c r="K814" i="3"/>
  <c r="Q813" i="3"/>
  <c r="P813" i="3"/>
  <c r="O813" i="3"/>
  <c r="N813" i="3"/>
  <c r="L813" i="3"/>
  <c r="K813" i="3"/>
  <c r="Q812" i="3"/>
  <c r="P812" i="3"/>
  <c r="O812" i="3"/>
  <c r="N812" i="3"/>
  <c r="L812" i="3"/>
  <c r="K812" i="3"/>
  <c r="Q811" i="3"/>
  <c r="P811" i="3"/>
  <c r="O811" i="3"/>
  <c r="N811" i="3"/>
  <c r="L811" i="3"/>
  <c r="K811" i="3"/>
  <c r="Q810" i="3"/>
  <c r="P810" i="3"/>
  <c r="O810" i="3"/>
  <c r="N810" i="3"/>
  <c r="L810" i="3"/>
  <c r="K810" i="3"/>
  <c r="Q809" i="3"/>
  <c r="P809" i="3"/>
  <c r="O809" i="3"/>
  <c r="N809" i="3"/>
  <c r="L809" i="3"/>
  <c r="K809" i="3"/>
  <c r="Q808" i="3"/>
  <c r="P808" i="3"/>
  <c r="O808" i="3"/>
  <c r="N808" i="3"/>
  <c r="L808" i="3"/>
  <c r="K808" i="3"/>
  <c r="Q807" i="3"/>
  <c r="P807" i="3"/>
  <c r="O807" i="3"/>
  <c r="N807" i="3"/>
  <c r="L807" i="3"/>
  <c r="K807" i="3"/>
  <c r="Q806" i="3"/>
  <c r="P806" i="3"/>
  <c r="O806" i="3"/>
  <c r="N806" i="3"/>
  <c r="L806" i="3"/>
  <c r="K806" i="3"/>
  <c r="Q805" i="3"/>
  <c r="P805" i="3"/>
  <c r="O805" i="3"/>
  <c r="N805" i="3"/>
  <c r="L805" i="3"/>
  <c r="K805" i="3"/>
  <c r="Q804" i="3"/>
  <c r="P804" i="3"/>
  <c r="O804" i="3"/>
  <c r="N804" i="3"/>
  <c r="L804" i="3"/>
  <c r="K804" i="3"/>
  <c r="Q803" i="3"/>
  <c r="P803" i="3"/>
  <c r="O803" i="3"/>
  <c r="N803" i="3"/>
  <c r="L803" i="3"/>
  <c r="K803" i="3"/>
  <c r="Q802" i="3"/>
  <c r="P802" i="3"/>
  <c r="O802" i="3"/>
  <c r="N802" i="3"/>
  <c r="L802" i="3"/>
  <c r="K802" i="3"/>
  <c r="Q801" i="3"/>
  <c r="P801" i="3"/>
  <c r="O801" i="3"/>
  <c r="N801" i="3"/>
  <c r="L801" i="3"/>
  <c r="K801" i="3"/>
  <c r="Q800" i="3"/>
  <c r="P800" i="3"/>
  <c r="O800" i="3"/>
  <c r="N800" i="3"/>
  <c r="L800" i="3"/>
  <c r="K800" i="3"/>
  <c r="Q799" i="3"/>
  <c r="P799" i="3"/>
  <c r="O799" i="3"/>
  <c r="N799" i="3"/>
  <c r="L799" i="3"/>
  <c r="K799" i="3"/>
  <c r="Q798" i="3"/>
  <c r="P798" i="3"/>
  <c r="O798" i="3"/>
  <c r="N798" i="3"/>
  <c r="L798" i="3"/>
  <c r="K798" i="3"/>
  <c r="Q797" i="3"/>
  <c r="P797" i="3"/>
  <c r="O797" i="3"/>
  <c r="N797" i="3"/>
  <c r="L797" i="3"/>
  <c r="K797" i="3"/>
  <c r="Q796" i="3"/>
  <c r="P796" i="3"/>
  <c r="O796" i="3"/>
  <c r="N796" i="3"/>
  <c r="L796" i="3"/>
  <c r="K796" i="3"/>
  <c r="Q795" i="3"/>
  <c r="P795" i="3"/>
  <c r="O795" i="3"/>
  <c r="N795" i="3"/>
  <c r="L795" i="3"/>
  <c r="K795" i="3"/>
  <c r="Q794" i="3"/>
  <c r="P794" i="3"/>
  <c r="O794" i="3"/>
  <c r="N794" i="3"/>
  <c r="L794" i="3"/>
  <c r="K794" i="3"/>
  <c r="Q793" i="3"/>
  <c r="P793" i="3"/>
  <c r="O793" i="3"/>
  <c r="N793" i="3"/>
  <c r="L793" i="3"/>
  <c r="K793" i="3"/>
  <c r="Q792" i="3"/>
  <c r="P792" i="3"/>
  <c r="O792" i="3"/>
  <c r="N792" i="3"/>
  <c r="L792" i="3"/>
  <c r="K792" i="3"/>
  <c r="Q791" i="3"/>
  <c r="P791" i="3"/>
  <c r="O791" i="3"/>
  <c r="N791" i="3"/>
  <c r="L791" i="3"/>
  <c r="K791" i="3"/>
  <c r="Q790" i="3"/>
  <c r="P790" i="3"/>
  <c r="O790" i="3"/>
  <c r="N790" i="3"/>
  <c r="L790" i="3"/>
  <c r="K790" i="3"/>
  <c r="Q789" i="3"/>
  <c r="P789" i="3"/>
  <c r="O789" i="3"/>
  <c r="N789" i="3"/>
  <c r="L789" i="3"/>
  <c r="K789" i="3"/>
  <c r="Q788" i="3"/>
  <c r="P788" i="3"/>
  <c r="O788" i="3"/>
  <c r="N788" i="3"/>
  <c r="L788" i="3"/>
  <c r="K788" i="3"/>
  <c r="Q787" i="3"/>
  <c r="P787" i="3"/>
  <c r="O787" i="3"/>
  <c r="N787" i="3"/>
  <c r="L787" i="3"/>
  <c r="K787" i="3"/>
  <c r="Q786" i="3"/>
  <c r="P786" i="3"/>
  <c r="O786" i="3"/>
  <c r="N786" i="3"/>
  <c r="L786" i="3"/>
  <c r="K786" i="3"/>
  <c r="Q785" i="3"/>
  <c r="P785" i="3"/>
  <c r="O785" i="3"/>
  <c r="N785" i="3"/>
  <c r="L785" i="3"/>
  <c r="K785" i="3"/>
  <c r="Q784" i="3"/>
  <c r="P784" i="3"/>
  <c r="O784" i="3"/>
  <c r="N784" i="3"/>
  <c r="L784" i="3"/>
  <c r="K784" i="3"/>
  <c r="Q783" i="3"/>
  <c r="P783" i="3"/>
  <c r="O783" i="3"/>
  <c r="N783" i="3"/>
  <c r="L783" i="3"/>
  <c r="K783" i="3"/>
  <c r="Q782" i="3"/>
  <c r="P782" i="3"/>
  <c r="O782" i="3"/>
  <c r="N782" i="3"/>
  <c r="L782" i="3"/>
  <c r="K782" i="3"/>
  <c r="Q781" i="3"/>
  <c r="P781" i="3"/>
  <c r="O781" i="3"/>
  <c r="N781" i="3"/>
  <c r="L781" i="3"/>
  <c r="K781" i="3"/>
  <c r="Q780" i="3"/>
  <c r="P780" i="3"/>
  <c r="O780" i="3"/>
  <c r="N780" i="3"/>
  <c r="L780" i="3"/>
  <c r="K780" i="3"/>
  <c r="Q779" i="3"/>
  <c r="P779" i="3"/>
  <c r="O779" i="3"/>
  <c r="N779" i="3"/>
  <c r="L779" i="3"/>
  <c r="K779" i="3"/>
  <c r="Q778" i="3"/>
  <c r="P778" i="3"/>
  <c r="O778" i="3"/>
  <c r="N778" i="3"/>
  <c r="L778" i="3"/>
  <c r="K778" i="3"/>
  <c r="Q777" i="3"/>
  <c r="P777" i="3"/>
  <c r="O777" i="3"/>
  <c r="N777" i="3"/>
  <c r="L777" i="3"/>
  <c r="K777" i="3"/>
  <c r="Q776" i="3"/>
  <c r="P776" i="3"/>
  <c r="O776" i="3"/>
  <c r="N776" i="3"/>
  <c r="L776" i="3"/>
  <c r="K776" i="3"/>
  <c r="Q775" i="3"/>
  <c r="P775" i="3"/>
  <c r="O775" i="3"/>
  <c r="N775" i="3"/>
  <c r="L775" i="3"/>
  <c r="K775" i="3"/>
  <c r="Q774" i="3"/>
  <c r="P774" i="3"/>
  <c r="O774" i="3"/>
  <c r="N774" i="3"/>
  <c r="L774" i="3"/>
  <c r="K774" i="3"/>
  <c r="Q773" i="3"/>
  <c r="P773" i="3"/>
  <c r="O773" i="3"/>
  <c r="N773" i="3"/>
  <c r="L773" i="3"/>
  <c r="K773" i="3"/>
  <c r="Q772" i="3"/>
  <c r="P772" i="3"/>
  <c r="O772" i="3"/>
  <c r="N772" i="3"/>
  <c r="L772" i="3"/>
  <c r="K772" i="3"/>
  <c r="Q771" i="3"/>
  <c r="P771" i="3"/>
  <c r="O771" i="3"/>
  <c r="N771" i="3"/>
  <c r="L771" i="3"/>
  <c r="K771" i="3"/>
  <c r="Q770" i="3"/>
  <c r="P770" i="3"/>
  <c r="O770" i="3"/>
  <c r="N770" i="3"/>
  <c r="L770" i="3"/>
  <c r="K770" i="3"/>
  <c r="Q769" i="3"/>
  <c r="P769" i="3"/>
  <c r="O769" i="3"/>
  <c r="N769" i="3"/>
  <c r="L769" i="3"/>
  <c r="K769" i="3"/>
  <c r="Q768" i="3"/>
  <c r="P768" i="3"/>
  <c r="O768" i="3"/>
  <c r="N768" i="3"/>
  <c r="L768" i="3"/>
  <c r="K768" i="3"/>
  <c r="Q767" i="3"/>
  <c r="P767" i="3"/>
  <c r="O767" i="3"/>
  <c r="N767" i="3"/>
  <c r="L767" i="3"/>
  <c r="K767" i="3"/>
  <c r="Q766" i="3"/>
  <c r="P766" i="3"/>
  <c r="O766" i="3"/>
  <c r="N766" i="3"/>
  <c r="L766" i="3"/>
  <c r="K766" i="3"/>
  <c r="Q765" i="3"/>
  <c r="P765" i="3"/>
  <c r="O765" i="3"/>
  <c r="N765" i="3"/>
  <c r="L765" i="3"/>
  <c r="K765" i="3"/>
  <c r="Q764" i="3"/>
  <c r="P764" i="3"/>
  <c r="O764" i="3"/>
  <c r="N764" i="3"/>
  <c r="L764" i="3"/>
  <c r="K764" i="3"/>
  <c r="Q763" i="3"/>
  <c r="P763" i="3"/>
  <c r="O763" i="3"/>
  <c r="N763" i="3"/>
  <c r="L763" i="3"/>
  <c r="K763" i="3"/>
  <c r="Q762" i="3"/>
  <c r="P762" i="3"/>
  <c r="O762" i="3"/>
  <c r="N762" i="3"/>
  <c r="L762" i="3"/>
  <c r="K762" i="3"/>
  <c r="Q761" i="3"/>
  <c r="P761" i="3"/>
  <c r="O761" i="3"/>
  <c r="N761" i="3"/>
  <c r="L761" i="3"/>
  <c r="K761" i="3"/>
  <c r="Q760" i="3"/>
  <c r="P760" i="3"/>
  <c r="O760" i="3"/>
  <c r="N760" i="3"/>
  <c r="L760" i="3"/>
  <c r="K760" i="3"/>
  <c r="Q759" i="3"/>
  <c r="P759" i="3"/>
  <c r="O759" i="3"/>
  <c r="N759" i="3"/>
  <c r="L759" i="3"/>
  <c r="K759" i="3"/>
  <c r="Q758" i="3"/>
  <c r="P758" i="3"/>
  <c r="O758" i="3"/>
  <c r="N758" i="3"/>
  <c r="L758" i="3"/>
  <c r="K758" i="3"/>
  <c r="Q757" i="3"/>
  <c r="P757" i="3"/>
  <c r="O757" i="3"/>
  <c r="N757" i="3"/>
  <c r="L757" i="3"/>
  <c r="K757" i="3"/>
  <c r="Q756" i="3"/>
  <c r="P756" i="3"/>
  <c r="O756" i="3"/>
  <c r="N756" i="3"/>
  <c r="L756" i="3"/>
  <c r="K756" i="3"/>
  <c r="Q755" i="3"/>
  <c r="P755" i="3"/>
  <c r="O755" i="3"/>
  <c r="N755" i="3"/>
  <c r="L755" i="3"/>
  <c r="K755" i="3"/>
  <c r="Q754" i="3"/>
  <c r="P754" i="3"/>
  <c r="O754" i="3"/>
  <c r="N754" i="3"/>
  <c r="L754" i="3"/>
  <c r="K754" i="3"/>
  <c r="Q753" i="3"/>
  <c r="P753" i="3"/>
  <c r="O753" i="3"/>
  <c r="N753" i="3"/>
  <c r="L753" i="3"/>
  <c r="K753" i="3"/>
  <c r="Q752" i="3"/>
  <c r="P752" i="3"/>
  <c r="O752" i="3"/>
  <c r="N752" i="3"/>
  <c r="L752" i="3"/>
  <c r="K752" i="3"/>
  <c r="Q751" i="3"/>
  <c r="P751" i="3"/>
  <c r="O751" i="3"/>
  <c r="N751" i="3"/>
  <c r="L751" i="3"/>
  <c r="K751" i="3"/>
  <c r="Q750" i="3"/>
  <c r="P750" i="3"/>
  <c r="O750" i="3"/>
  <c r="N750" i="3"/>
  <c r="L750" i="3"/>
  <c r="K750" i="3"/>
  <c r="Q749" i="3"/>
  <c r="P749" i="3"/>
  <c r="O749" i="3"/>
  <c r="N749" i="3"/>
  <c r="M749" i="3"/>
  <c r="R749" i="3" s="1"/>
  <c r="L749" i="3"/>
  <c r="K749" i="3"/>
  <c r="Q748" i="3"/>
  <c r="P748" i="3"/>
  <c r="O748" i="3"/>
  <c r="N748" i="3"/>
  <c r="L748" i="3"/>
  <c r="K748" i="3"/>
  <c r="Q747" i="3"/>
  <c r="P747" i="3"/>
  <c r="O747" i="3"/>
  <c r="N747" i="3"/>
  <c r="L747" i="3"/>
  <c r="K747" i="3"/>
  <c r="Q746" i="3"/>
  <c r="P746" i="3"/>
  <c r="O746" i="3"/>
  <c r="N746" i="3"/>
  <c r="L746" i="3"/>
  <c r="K746" i="3"/>
  <c r="Q745" i="3"/>
  <c r="P745" i="3"/>
  <c r="O745" i="3"/>
  <c r="N745" i="3"/>
  <c r="L745" i="3"/>
  <c r="K745" i="3"/>
  <c r="Q744" i="3"/>
  <c r="P744" i="3"/>
  <c r="O744" i="3"/>
  <c r="N744" i="3"/>
  <c r="L744" i="3"/>
  <c r="K744" i="3"/>
  <c r="Q743" i="3"/>
  <c r="P743" i="3"/>
  <c r="O743" i="3"/>
  <c r="N743" i="3"/>
  <c r="L743" i="3"/>
  <c r="K743" i="3"/>
  <c r="Q742" i="3"/>
  <c r="P742" i="3"/>
  <c r="O742" i="3"/>
  <c r="N742" i="3"/>
  <c r="L742" i="3"/>
  <c r="K742" i="3"/>
  <c r="Q741" i="3"/>
  <c r="P741" i="3"/>
  <c r="O741" i="3"/>
  <c r="N741" i="3"/>
  <c r="L741" i="3"/>
  <c r="K741" i="3"/>
  <c r="Q740" i="3"/>
  <c r="P740" i="3"/>
  <c r="O740" i="3"/>
  <c r="N740" i="3"/>
  <c r="L740" i="3"/>
  <c r="K740" i="3"/>
  <c r="Q739" i="3"/>
  <c r="P739" i="3"/>
  <c r="O739" i="3"/>
  <c r="N739" i="3"/>
  <c r="L739" i="3"/>
  <c r="K739" i="3"/>
  <c r="Q738" i="3"/>
  <c r="P738" i="3"/>
  <c r="O738" i="3"/>
  <c r="N738" i="3"/>
  <c r="L738" i="3"/>
  <c r="K738" i="3"/>
  <c r="Q737" i="3"/>
  <c r="P737" i="3"/>
  <c r="O737" i="3"/>
  <c r="N737" i="3"/>
  <c r="L737" i="3"/>
  <c r="K737" i="3"/>
  <c r="Q736" i="3"/>
  <c r="P736" i="3"/>
  <c r="O736" i="3"/>
  <c r="N736" i="3"/>
  <c r="L736" i="3"/>
  <c r="K736" i="3"/>
  <c r="Q735" i="3"/>
  <c r="P735" i="3"/>
  <c r="O735" i="3"/>
  <c r="N735" i="3"/>
  <c r="L735" i="3"/>
  <c r="K735" i="3"/>
  <c r="Q734" i="3"/>
  <c r="P734" i="3"/>
  <c r="O734" i="3"/>
  <c r="N734" i="3"/>
  <c r="L734" i="3"/>
  <c r="K734" i="3"/>
  <c r="Q733" i="3"/>
  <c r="P733" i="3"/>
  <c r="O733" i="3"/>
  <c r="N733" i="3"/>
  <c r="L733" i="3"/>
  <c r="K733" i="3"/>
  <c r="Q732" i="3"/>
  <c r="P732" i="3"/>
  <c r="O732" i="3"/>
  <c r="N732" i="3"/>
  <c r="L732" i="3"/>
  <c r="K732" i="3"/>
  <c r="Q731" i="3"/>
  <c r="P731" i="3"/>
  <c r="O731" i="3"/>
  <c r="N731" i="3"/>
  <c r="L731" i="3"/>
  <c r="K731" i="3"/>
  <c r="Q730" i="3"/>
  <c r="P730" i="3"/>
  <c r="O730" i="3"/>
  <c r="N730" i="3"/>
  <c r="L730" i="3"/>
  <c r="K730" i="3"/>
  <c r="Q729" i="3"/>
  <c r="P729" i="3"/>
  <c r="O729" i="3"/>
  <c r="N729" i="3"/>
  <c r="L729" i="3"/>
  <c r="K729" i="3"/>
  <c r="Q728" i="3"/>
  <c r="P728" i="3"/>
  <c r="O728" i="3"/>
  <c r="N728" i="3"/>
  <c r="L728" i="3"/>
  <c r="K728" i="3"/>
  <c r="Q727" i="3"/>
  <c r="P727" i="3"/>
  <c r="O727" i="3"/>
  <c r="N727" i="3"/>
  <c r="L727" i="3"/>
  <c r="K727" i="3"/>
  <c r="Q726" i="3"/>
  <c r="P726" i="3"/>
  <c r="O726" i="3"/>
  <c r="N726" i="3"/>
  <c r="L726" i="3"/>
  <c r="K726" i="3"/>
  <c r="Q725" i="3"/>
  <c r="P725" i="3"/>
  <c r="O725" i="3"/>
  <c r="N725" i="3"/>
  <c r="L725" i="3"/>
  <c r="K725" i="3"/>
  <c r="Q724" i="3"/>
  <c r="P724" i="3"/>
  <c r="O724" i="3"/>
  <c r="N724" i="3"/>
  <c r="L724" i="3"/>
  <c r="K724" i="3"/>
  <c r="Q723" i="3"/>
  <c r="P723" i="3"/>
  <c r="O723" i="3"/>
  <c r="N723" i="3"/>
  <c r="L723" i="3"/>
  <c r="K723" i="3"/>
  <c r="Q722" i="3"/>
  <c r="P722" i="3"/>
  <c r="O722" i="3"/>
  <c r="N722" i="3"/>
  <c r="L722" i="3"/>
  <c r="K722" i="3"/>
  <c r="Q721" i="3"/>
  <c r="P721" i="3"/>
  <c r="O721" i="3"/>
  <c r="N721" i="3"/>
  <c r="L721" i="3"/>
  <c r="K721" i="3"/>
  <c r="Q720" i="3"/>
  <c r="P720" i="3"/>
  <c r="O720" i="3"/>
  <c r="N720" i="3"/>
  <c r="L720" i="3"/>
  <c r="K720" i="3"/>
  <c r="Q719" i="3"/>
  <c r="P719" i="3"/>
  <c r="O719" i="3"/>
  <c r="N719" i="3"/>
  <c r="L719" i="3"/>
  <c r="K719" i="3"/>
  <c r="Q718" i="3"/>
  <c r="P718" i="3"/>
  <c r="O718" i="3"/>
  <c r="N718" i="3"/>
  <c r="L718" i="3"/>
  <c r="K718" i="3"/>
  <c r="Q717" i="3"/>
  <c r="P717" i="3"/>
  <c r="O717" i="3"/>
  <c r="N717" i="3"/>
  <c r="L717" i="3"/>
  <c r="K717" i="3"/>
  <c r="Q716" i="3"/>
  <c r="P716" i="3"/>
  <c r="O716" i="3"/>
  <c r="N716" i="3"/>
  <c r="L716" i="3"/>
  <c r="K716" i="3"/>
  <c r="Q715" i="3"/>
  <c r="P715" i="3"/>
  <c r="O715" i="3"/>
  <c r="N715" i="3"/>
  <c r="L715" i="3"/>
  <c r="K715" i="3"/>
  <c r="Q714" i="3"/>
  <c r="P714" i="3"/>
  <c r="O714" i="3"/>
  <c r="N714" i="3"/>
  <c r="L714" i="3"/>
  <c r="K714" i="3"/>
  <c r="Q713" i="3"/>
  <c r="P713" i="3"/>
  <c r="O713" i="3"/>
  <c r="N713" i="3"/>
  <c r="L713" i="3"/>
  <c r="K713" i="3"/>
  <c r="Q712" i="3"/>
  <c r="P712" i="3"/>
  <c r="O712" i="3"/>
  <c r="N712" i="3"/>
  <c r="L712" i="3"/>
  <c r="K712" i="3"/>
  <c r="Q711" i="3"/>
  <c r="P711" i="3"/>
  <c r="O711" i="3"/>
  <c r="N711" i="3"/>
  <c r="L711" i="3"/>
  <c r="K711" i="3"/>
  <c r="Q710" i="3"/>
  <c r="P710" i="3"/>
  <c r="O710" i="3"/>
  <c r="N710" i="3"/>
  <c r="L710" i="3"/>
  <c r="K710" i="3"/>
  <c r="Q709" i="3"/>
  <c r="P709" i="3"/>
  <c r="O709" i="3"/>
  <c r="N709" i="3"/>
  <c r="L709" i="3"/>
  <c r="K709" i="3"/>
  <c r="Q708" i="3"/>
  <c r="P708" i="3"/>
  <c r="O708" i="3"/>
  <c r="N708" i="3"/>
  <c r="L708" i="3"/>
  <c r="K708" i="3"/>
  <c r="Q707" i="3"/>
  <c r="P707" i="3"/>
  <c r="O707" i="3"/>
  <c r="N707" i="3"/>
  <c r="L707" i="3"/>
  <c r="K707" i="3"/>
  <c r="Q706" i="3"/>
  <c r="P706" i="3"/>
  <c r="O706" i="3"/>
  <c r="N706" i="3"/>
  <c r="L706" i="3"/>
  <c r="K706" i="3"/>
  <c r="Q705" i="3"/>
  <c r="P705" i="3"/>
  <c r="O705" i="3"/>
  <c r="N705" i="3"/>
  <c r="L705" i="3"/>
  <c r="K705" i="3"/>
  <c r="Q704" i="3"/>
  <c r="P704" i="3"/>
  <c r="O704" i="3"/>
  <c r="N704" i="3"/>
  <c r="L704" i="3"/>
  <c r="K704" i="3"/>
  <c r="Q703" i="3"/>
  <c r="P703" i="3"/>
  <c r="O703" i="3"/>
  <c r="N703" i="3"/>
  <c r="L703" i="3"/>
  <c r="K703" i="3"/>
  <c r="Q702" i="3"/>
  <c r="P702" i="3"/>
  <c r="O702" i="3"/>
  <c r="N702" i="3"/>
  <c r="L702" i="3"/>
  <c r="K702" i="3"/>
  <c r="Q701" i="3"/>
  <c r="P701" i="3"/>
  <c r="O701" i="3"/>
  <c r="N701" i="3"/>
  <c r="L701" i="3"/>
  <c r="K701" i="3"/>
  <c r="Q700" i="3"/>
  <c r="P700" i="3"/>
  <c r="O700" i="3"/>
  <c r="N700" i="3"/>
  <c r="L700" i="3"/>
  <c r="K700" i="3"/>
  <c r="Q699" i="3"/>
  <c r="P699" i="3"/>
  <c r="O699" i="3"/>
  <c r="N699" i="3"/>
  <c r="L699" i="3"/>
  <c r="K699" i="3"/>
  <c r="Q698" i="3"/>
  <c r="P698" i="3"/>
  <c r="O698" i="3"/>
  <c r="N698" i="3"/>
  <c r="L698" i="3"/>
  <c r="K698" i="3"/>
  <c r="Q697" i="3"/>
  <c r="P697" i="3"/>
  <c r="O697" i="3"/>
  <c r="N697" i="3"/>
  <c r="L697" i="3"/>
  <c r="K697" i="3"/>
  <c r="Q696" i="3"/>
  <c r="P696" i="3"/>
  <c r="O696" i="3"/>
  <c r="N696" i="3"/>
  <c r="L696" i="3"/>
  <c r="K696" i="3"/>
  <c r="Q695" i="3"/>
  <c r="P695" i="3"/>
  <c r="O695" i="3"/>
  <c r="N695" i="3"/>
  <c r="L695" i="3"/>
  <c r="K695" i="3"/>
  <c r="Q694" i="3"/>
  <c r="P694" i="3"/>
  <c r="O694" i="3"/>
  <c r="N694" i="3"/>
  <c r="L694" i="3"/>
  <c r="K694" i="3"/>
  <c r="Q693" i="3"/>
  <c r="P693" i="3"/>
  <c r="O693" i="3"/>
  <c r="N693" i="3"/>
  <c r="L693" i="3"/>
  <c r="K693" i="3"/>
  <c r="Q692" i="3"/>
  <c r="P692" i="3"/>
  <c r="O692" i="3"/>
  <c r="N692" i="3"/>
  <c r="L692" i="3"/>
  <c r="K692" i="3"/>
  <c r="Q691" i="3"/>
  <c r="P691" i="3"/>
  <c r="O691" i="3"/>
  <c r="N691" i="3"/>
  <c r="L691" i="3"/>
  <c r="K691" i="3"/>
  <c r="Q690" i="3"/>
  <c r="P690" i="3"/>
  <c r="O690" i="3"/>
  <c r="N690" i="3"/>
  <c r="L690" i="3"/>
  <c r="K690" i="3"/>
  <c r="Q689" i="3"/>
  <c r="P689" i="3"/>
  <c r="O689" i="3"/>
  <c r="N689" i="3"/>
  <c r="L689" i="3"/>
  <c r="K689" i="3"/>
  <c r="Q688" i="3"/>
  <c r="P688" i="3"/>
  <c r="O688" i="3"/>
  <c r="N688" i="3"/>
  <c r="L688" i="3"/>
  <c r="K688" i="3"/>
  <c r="Q687" i="3"/>
  <c r="P687" i="3"/>
  <c r="O687" i="3"/>
  <c r="N687" i="3"/>
  <c r="L687" i="3"/>
  <c r="K687" i="3"/>
  <c r="Q686" i="3"/>
  <c r="P686" i="3"/>
  <c r="O686" i="3"/>
  <c r="N686" i="3"/>
  <c r="L686" i="3"/>
  <c r="K686" i="3"/>
  <c r="Q685" i="3"/>
  <c r="P685" i="3"/>
  <c r="O685" i="3"/>
  <c r="N685" i="3"/>
  <c r="L685" i="3"/>
  <c r="K685" i="3"/>
  <c r="Q684" i="3"/>
  <c r="P684" i="3"/>
  <c r="O684" i="3"/>
  <c r="N684" i="3"/>
  <c r="L684" i="3"/>
  <c r="K684" i="3"/>
  <c r="Q683" i="3"/>
  <c r="P683" i="3"/>
  <c r="O683" i="3"/>
  <c r="N683" i="3"/>
  <c r="L683" i="3"/>
  <c r="K683" i="3"/>
  <c r="Q682" i="3"/>
  <c r="P682" i="3"/>
  <c r="O682" i="3"/>
  <c r="N682" i="3"/>
  <c r="L682" i="3"/>
  <c r="K682" i="3"/>
  <c r="Q681" i="3"/>
  <c r="P681" i="3"/>
  <c r="O681" i="3"/>
  <c r="N681" i="3"/>
  <c r="L681" i="3"/>
  <c r="K681" i="3"/>
  <c r="Q680" i="3"/>
  <c r="P680" i="3"/>
  <c r="O680" i="3"/>
  <c r="N680" i="3"/>
  <c r="L680" i="3"/>
  <c r="K680" i="3"/>
  <c r="Q679" i="3"/>
  <c r="P679" i="3"/>
  <c r="O679" i="3"/>
  <c r="N679" i="3"/>
  <c r="L679" i="3"/>
  <c r="K679" i="3"/>
  <c r="Q678" i="3"/>
  <c r="P678" i="3"/>
  <c r="O678" i="3"/>
  <c r="N678" i="3"/>
  <c r="L678" i="3"/>
  <c r="K678" i="3"/>
  <c r="Q677" i="3"/>
  <c r="P677" i="3"/>
  <c r="O677" i="3"/>
  <c r="N677" i="3"/>
  <c r="L677" i="3"/>
  <c r="K677" i="3"/>
  <c r="Q676" i="3"/>
  <c r="P676" i="3"/>
  <c r="O676" i="3"/>
  <c r="N676" i="3"/>
  <c r="L676" i="3"/>
  <c r="K676" i="3"/>
  <c r="Q675" i="3"/>
  <c r="P675" i="3"/>
  <c r="O675" i="3"/>
  <c r="N675" i="3"/>
  <c r="L675" i="3"/>
  <c r="K675" i="3"/>
  <c r="Q674" i="3"/>
  <c r="P674" i="3"/>
  <c r="O674" i="3"/>
  <c r="N674" i="3"/>
  <c r="L674" i="3"/>
  <c r="K674" i="3"/>
  <c r="Q673" i="3"/>
  <c r="P673" i="3"/>
  <c r="O673" i="3"/>
  <c r="N673" i="3"/>
  <c r="L673" i="3"/>
  <c r="K673" i="3"/>
  <c r="Q672" i="3"/>
  <c r="P672" i="3"/>
  <c r="O672" i="3"/>
  <c r="N672" i="3"/>
  <c r="L672" i="3"/>
  <c r="K672" i="3"/>
  <c r="Q671" i="3"/>
  <c r="P671" i="3"/>
  <c r="O671" i="3"/>
  <c r="N671" i="3"/>
  <c r="L671" i="3"/>
  <c r="K671" i="3"/>
  <c r="Q670" i="3"/>
  <c r="P670" i="3"/>
  <c r="O670" i="3"/>
  <c r="N670" i="3"/>
  <c r="L670" i="3"/>
  <c r="K670" i="3"/>
  <c r="Q669" i="3"/>
  <c r="P669" i="3"/>
  <c r="O669" i="3"/>
  <c r="N669" i="3"/>
  <c r="L669" i="3"/>
  <c r="K669" i="3"/>
  <c r="Q668" i="3"/>
  <c r="P668" i="3"/>
  <c r="O668" i="3"/>
  <c r="N668" i="3"/>
  <c r="L668" i="3"/>
  <c r="K668" i="3"/>
  <c r="Q667" i="3"/>
  <c r="P667" i="3"/>
  <c r="O667" i="3"/>
  <c r="N667" i="3"/>
  <c r="L667" i="3"/>
  <c r="K667" i="3"/>
  <c r="Q666" i="3"/>
  <c r="P666" i="3"/>
  <c r="O666" i="3"/>
  <c r="N666" i="3"/>
  <c r="L666" i="3"/>
  <c r="K666" i="3"/>
  <c r="Q665" i="3"/>
  <c r="P665" i="3"/>
  <c r="O665" i="3"/>
  <c r="N665" i="3"/>
  <c r="L665" i="3"/>
  <c r="K665" i="3"/>
  <c r="Q664" i="3"/>
  <c r="P664" i="3"/>
  <c r="O664" i="3"/>
  <c r="N664" i="3"/>
  <c r="L664" i="3"/>
  <c r="K664" i="3"/>
  <c r="Q663" i="3"/>
  <c r="P663" i="3"/>
  <c r="O663" i="3"/>
  <c r="N663" i="3"/>
  <c r="L663" i="3"/>
  <c r="K663" i="3"/>
  <c r="Q662" i="3"/>
  <c r="P662" i="3"/>
  <c r="O662" i="3"/>
  <c r="N662" i="3"/>
  <c r="L662" i="3"/>
  <c r="K662" i="3"/>
  <c r="Q661" i="3"/>
  <c r="P661" i="3"/>
  <c r="O661" i="3"/>
  <c r="N661" i="3"/>
  <c r="L661" i="3"/>
  <c r="K661" i="3"/>
  <c r="Q660" i="3"/>
  <c r="P660" i="3"/>
  <c r="O660" i="3"/>
  <c r="N660" i="3"/>
  <c r="L660" i="3"/>
  <c r="K660" i="3"/>
  <c r="Q659" i="3"/>
  <c r="P659" i="3"/>
  <c r="O659" i="3"/>
  <c r="N659" i="3"/>
  <c r="L659" i="3"/>
  <c r="K659" i="3"/>
  <c r="Q658" i="3"/>
  <c r="P658" i="3"/>
  <c r="O658" i="3"/>
  <c r="N658" i="3"/>
  <c r="L658" i="3"/>
  <c r="K658" i="3"/>
  <c r="Q657" i="3"/>
  <c r="P657" i="3"/>
  <c r="O657" i="3"/>
  <c r="N657" i="3"/>
  <c r="L657" i="3"/>
  <c r="K657" i="3"/>
  <c r="Q656" i="3"/>
  <c r="P656" i="3"/>
  <c r="O656" i="3"/>
  <c r="N656" i="3"/>
  <c r="L656" i="3"/>
  <c r="K656" i="3"/>
  <c r="Q655" i="3"/>
  <c r="P655" i="3"/>
  <c r="O655" i="3"/>
  <c r="N655" i="3"/>
  <c r="L655" i="3"/>
  <c r="K655" i="3"/>
  <c r="Q654" i="3"/>
  <c r="P654" i="3"/>
  <c r="O654" i="3"/>
  <c r="N654" i="3"/>
  <c r="L654" i="3"/>
  <c r="K654" i="3"/>
  <c r="Q653" i="3"/>
  <c r="P653" i="3"/>
  <c r="O653" i="3"/>
  <c r="N653" i="3"/>
  <c r="L653" i="3"/>
  <c r="K653" i="3"/>
  <c r="Q652" i="3"/>
  <c r="P652" i="3"/>
  <c r="O652" i="3"/>
  <c r="N652" i="3"/>
  <c r="L652" i="3"/>
  <c r="K652" i="3"/>
  <c r="Q651" i="3"/>
  <c r="P651" i="3"/>
  <c r="O651" i="3"/>
  <c r="N651" i="3"/>
  <c r="L651" i="3"/>
  <c r="K651" i="3"/>
  <c r="Q650" i="3"/>
  <c r="P650" i="3"/>
  <c r="O650" i="3"/>
  <c r="N650" i="3"/>
  <c r="L650" i="3"/>
  <c r="K650" i="3"/>
  <c r="Q649" i="3"/>
  <c r="P649" i="3"/>
  <c r="O649" i="3"/>
  <c r="N649" i="3"/>
  <c r="L649" i="3"/>
  <c r="K649" i="3"/>
  <c r="Q648" i="3"/>
  <c r="P648" i="3"/>
  <c r="O648" i="3"/>
  <c r="N648" i="3"/>
  <c r="L648" i="3"/>
  <c r="K648" i="3"/>
  <c r="Q647" i="3"/>
  <c r="P647" i="3"/>
  <c r="O647" i="3"/>
  <c r="N647" i="3"/>
  <c r="L647" i="3"/>
  <c r="K647" i="3"/>
  <c r="Q646" i="3"/>
  <c r="P646" i="3"/>
  <c r="O646" i="3"/>
  <c r="N646" i="3"/>
  <c r="L646" i="3"/>
  <c r="K646" i="3"/>
  <c r="Q645" i="3"/>
  <c r="P645" i="3"/>
  <c r="O645" i="3"/>
  <c r="N645" i="3"/>
  <c r="L645" i="3"/>
  <c r="K645" i="3"/>
  <c r="Q644" i="3"/>
  <c r="P644" i="3"/>
  <c r="O644" i="3"/>
  <c r="N644" i="3"/>
  <c r="L644" i="3"/>
  <c r="K644" i="3"/>
  <c r="Q643" i="3"/>
  <c r="P643" i="3"/>
  <c r="O643" i="3"/>
  <c r="N643" i="3"/>
  <c r="L643" i="3"/>
  <c r="K643" i="3"/>
  <c r="Q642" i="3"/>
  <c r="P642" i="3"/>
  <c r="O642" i="3"/>
  <c r="N642" i="3"/>
  <c r="L642" i="3"/>
  <c r="K642" i="3"/>
  <c r="Q641" i="3"/>
  <c r="P641" i="3"/>
  <c r="O641" i="3"/>
  <c r="N641" i="3"/>
  <c r="L641" i="3"/>
  <c r="K641" i="3"/>
  <c r="Q640" i="3"/>
  <c r="P640" i="3"/>
  <c r="O640" i="3"/>
  <c r="N640" i="3"/>
  <c r="L640" i="3"/>
  <c r="K640" i="3"/>
  <c r="Q639" i="3"/>
  <c r="P639" i="3"/>
  <c r="O639" i="3"/>
  <c r="N639" i="3"/>
  <c r="L639" i="3"/>
  <c r="K639" i="3"/>
  <c r="Q638" i="3"/>
  <c r="P638" i="3"/>
  <c r="O638" i="3"/>
  <c r="N638" i="3"/>
  <c r="L638" i="3"/>
  <c r="K638" i="3"/>
  <c r="Q637" i="3"/>
  <c r="P637" i="3"/>
  <c r="O637" i="3"/>
  <c r="N637" i="3"/>
  <c r="L637" i="3"/>
  <c r="K637" i="3"/>
  <c r="Q636" i="3"/>
  <c r="P636" i="3"/>
  <c r="O636" i="3"/>
  <c r="N636" i="3"/>
  <c r="L636" i="3"/>
  <c r="K636" i="3"/>
  <c r="Q635" i="3"/>
  <c r="P635" i="3"/>
  <c r="O635" i="3"/>
  <c r="N635" i="3"/>
  <c r="L635" i="3"/>
  <c r="K635" i="3"/>
  <c r="Q634" i="3"/>
  <c r="P634" i="3"/>
  <c r="O634" i="3"/>
  <c r="N634" i="3"/>
  <c r="L634" i="3"/>
  <c r="K634" i="3"/>
  <c r="Q633" i="3"/>
  <c r="P633" i="3"/>
  <c r="O633" i="3"/>
  <c r="N633" i="3"/>
  <c r="L633" i="3"/>
  <c r="K633" i="3"/>
  <c r="Q632" i="3"/>
  <c r="P632" i="3"/>
  <c r="O632" i="3"/>
  <c r="N632" i="3"/>
  <c r="L632" i="3"/>
  <c r="K632" i="3"/>
  <c r="Q631" i="3"/>
  <c r="P631" i="3"/>
  <c r="O631" i="3"/>
  <c r="N631" i="3"/>
  <c r="L631" i="3"/>
  <c r="K631" i="3"/>
  <c r="Q630" i="3"/>
  <c r="P630" i="3"/>
  <c r="O630" i="3"/>
  <c r="N630" i="3"/>
  <c r="L630" i="3"/>
  <c r="K630" i="3"/>
  <c r="Q629" i="3"/>
  <c r="P629" i="3"/>
  <c r="O629" i="3"/>
  <c r="N629" i="3"/>
  <c r="L629" i="3"/>
  <c r="K629" i="3"/>
  <c r="Q628" i="3"/>
  <c r="P628" i="3"/>
  <c r="O628" i="3"/>
  <c r="N628" i="3"/>
  <c r="L628" i="3"/>
  <c r="K628" i="3"/>
  <c r="Q627" i="3"/>
  <c r="P627" i="3"/>
  <c r="O627" i="3"/>
  <c r="N627" i="3"/>
  <c r="L627" i="3"/>
  <c r="K627" i="3"/>
  <c r="Q626" i="3"/>
  <c r="P626" i="3"/>
  <c r="O626" i="3"/>
  <c r="N626" i="3"/>
  <c r="L626" i="3"/>
  <c r="K626" i="3"/>
  <c r="Q625" i="3"/>
  <c r="P625" i="3"/>
  <c r="O625" i="3"/>
  <c r="N625" i="3"/>
  <c r="L625" i="3"/>
  <c r="K625" i="3"/>
  <c r="Q624" i="3"/>
  <c r="P624" i="3"/>
  <c r="O624" i="3"/>
  <c r="N624" i="3"/>
  <c r="L624" i="3"/>
  <c r="K624" i="3"/>
  <c r="Q623" i="3"/>
  <c r="P623" i="3"/>
  <c r="O623" i="3"/>
  <c r="N623" i="3"/>
  <c r="L623" i="3"/>
  <c r="K623" i="3"/>
  <c r="Q622" i="3"/>
  <c r="P622" i="3"/>
  <c r="O622" i="3"/>
  <c r="N622" i="3"/>
  <c r="L622" i="3"/>
  <c r="K622" i="3"/>
  <c r="Q621" i="3"/>
  <c r="P621" i="3"/>
  <c r="O621" i="3"/>
  <c r="N621" i="3"/>
  <c r="L621" i="3"/>
  <c r="K621" i="3"/>
  <c r="Q620" i="3"/>
  <c r="P620" i="3"/>
  <c r="O620" i="3"/>
  <c r="N620" i="3"/>
  <c r="L620" i="3"/>
  <c r="K620" i="3"/>
  <c r="Q619" i="3"/>
  <c r="P619" i="3"/>
  <c r="O619" i="3"/>
  <c r="N619" i="3"/>
  <c r="L619" i="3"/>
  <c r="K619" i="3"/>
  <c r="Q618" i="3"/>
  <c r="P618" i="3"/>
  <c r="O618" i="3"/>
  <c r="N618" i="3"/>
  <c r="L618" i="3"/>
  <c r="K618" i="3"/>
  <c r="Q617" i="3"/>
  <c r="P617" i="3"/>
  <c r="O617" i="3"/>
  <c r="N617" i="3"/>
  <c r="L617" i="3"/>
  <c r="K617" i="3"/>
  <c r="Q616" i="3"/>
  <c r="P616" i="3"/>
  <c r="O616" i="3"/>
  <c r="N616" i="3"/>
  <c r="L616" i="3"/>
  <c r="K616" i="3"/>
  <c r="Q615" i="3"/>
  <c r="P615" i="3"/>
  <c r="O615" i="3"/>
  <c r="N615" i="3"/>
  <c r="L615" i="3"/>
  <c r="K615" i="3"/>
  <c r="Q614" i="3"/>
  <c r="P614" i="3"/>
  <c r="O614" i="3"/>
  <c r="N614" i="3"/>
  <c r="L614" i="3"/>
  <c r="K614" i="3"/>
  <c r="Q613" i="3"/>
  <c r="P613" i="3"/>
  <c r="O613" i="3"/>
  <c r="N613" i="3"/>
  <c r="L613" i="3"/>
  <c r="K613" i="3"/>
  <c r="Q612" i="3"/>
  <c r="P612" i="3"/>
  <c r="O612" i="3"/>
  <c r="N612" i="3"/>
  <c r="L612" i="3"/>
  <c r="K612" i="3"/>
  <c r="Q611" i="3"/>
  <c r="P611" i="3"/>
  <c r="O611" i="3"/>
  <c r="N611" i="3"/>
  <c r="L611" i="3"/>
  <c r="K611" i="3"/>
  <c r="Q610" i="3"/>
  <c r="P610" i="3"/>
  <c r="O610" i="3"/>
  <c r="N610" i="3"/>
  <c r="L610" i="3"/>
  <c r="K610" i="3"/>
  <c r="Q609" i="3"/>
  <c r="P609" i="3"/>
  <c r="O609" i="3"/>
  <c r="N609" i="3"/>
  <c r="L609" i="3"/>
  <c r="K609" i="3"/>
  <c r="Q608" i="3"/>
  <c r="P608" i="3"/>
  <c r="O608" i="3"/>
  <c r="N608" i="3"/>
  <c r="L608" i="3"/>
  <c r="K608" i="3"/>
  <c r="Q607" i="3"/>
  <c r="P607" i="3"/>
  <c r="O607" i="3"/>
  <c r="N607" i="3"/>
  <c r="L607" i="3"/>
  <c r="K607" i="3"/>
  <c r="Q606" i="3"/>
  <c r="P606" i="3"/>
  <c r="O606" i="3"/>
  <c r="N606" i="3"/>
  <c r="L606" i="3"/>
  <c r="K606" i="3"/>
  <c r="Q605" i="3"/>
  <c r="P605" i="3"/>
  <c r="O605" i="3"/>
  <c r="N605" i="3"/>
  <c r="L605" i="3"/>
  <c r="K605" i="3"/>
  <c r="Q604" i="3"/>
  <c r="P604" i="3"/>
  <c r="O604" i="3"/>
  <c r="N604" i="3"/>
  <c r="L604" i="3"/>
  <c r="K604" i="3"/>
  <c r="Q603" i="3"/>
  <c r="P603" i="3"/>
  <c r="O603" i="3"/>
  <c r="N603" i="3"/>
  <c r="L603" i="3"/>
  <c r="K603" i="3"/>
  <c r="Q602" i="3"/>
  <c r="P602" i="3"/>
  <c r="O602" i="3"/>
  <c r="N602" i="3"/>
  <c r="L602" i="3"/>
  <c r="K602" i="3"/>
  <c r="Q601" i="3"/>
  <c r="P601" i="3"/>
  <c r="O601" i="3"/>
  <c r="N601" i="3"/>
  <c r="L601" i="3"/>
  <c r="K601" i="3"/>
  <c r="Q600" i="3"/>
  <c r="P600" i="3"/>
  <c r="O600" i="3"/>
  <c r="N600" i="3"/>
  <c r="L600" i="3"/>
  <c r="K600" i="3"/>
  <c r="Q599" i="3"/>
  <c r="P599" i="3"/>
  <c r="O599" i="3"/>
  <c r="N599" i="3"/>
  <c r="L599" i="3"/>
  <c r="K599" i="3"/>
  <c r="Q598" i="3"/>
  <c r="P598" i="3"/>
  <c r="O598" i="3"/>
  <c r="N598" i="3"/>
  <c r="L598" i="3"/>
  <c r="K598" i="3"/>
  <c r="Q597" i="3"/>
  <c r="P597" i="3"/>
  <c r="O597" i="3"/>
  <c r="N597" i="3"/>
  <c r="L597" i="3"/>
  <c r="K597" i="3"/>
  <c r="Q596" i="3"/>
  <c r="P596" i="3"/>
  <c r="O596" i="3"/>
  <c r="N596" i="3"/>
  <c r="L596" i="3"/>
  <c r="K596" i="3"/>
  <c r="Q595" i="3"/>
  <c r="P595" i="3"/>
  <c r="O595" i="3"/>
  <c r="N595" i="3"/>
  <c r="L595" i="3"/>
  <c r="K595" i="3"/>
  <c r="Q594" i="3"/>
  <c r="P594" i="3"/>
  <c r="O594" i="3"/>
  <c r="N594" i="3"/>
  <c r="L594" i="3"/>
  <c r="K594" i="3"/>
  <c r="Q593" i="3"/>
  <c r="P593" i="3"/>
  <c r="O593" i="3"/>
  <c r="N593" i="3"/>
  <c r="L593" i="3"/>
  <c r="K593" i="3"/>
  <c r="Q592" i="3"/>
  <c r="P592" i="3"/>
  <c r="O592" i="3"/>
  <c r="N592" i="3"/>
  <c r="L592" i="3"/>
  <c r="K592" i="3"/>
  <c r="Q591" i="3"/>
  <c r="P591" i="3"/>
  <c r="O591" i="3"/>
  <c r="N591" i="3"/>
  <c r="L591" i="3"/>
  <c r="K591" i="3"/>
  <c r="Q590" i="3"/>
  <c r="P590" i="3"/>
  <c r="O590" i="3"/>
  <c r="N590" i="3"/>
  <c r="L590" i="3"/>
  <c r="K590" i="3"/>
  <c r="Q589" i="3"/>
  <c r="P589" i="3"/>
  <c r="O589" i="3"/>
  <c r="N589" i="3"/>
  <c r="L589" i="3"/>
  <c r="K589" i="3"/>
  <c r="Q588" i="3"/>
  <c r="P588" i="3"/>
  <c r="O588" i="3"/>
  <c r="N588" i="3"/>
  <c r="L588" i="3"/>
  <c r="K588" i="3"/>
  <c r="Q587" i="3"/>
  <c r="P587" i="3"/>
  <c r="O587" i="3"/>
  <c r="N587" i="3"/>
  <c r="L587" i="3"/>
  <c r="K587" i="3"/>
  <c r="Q586" i="3"/>
  <c r="P586" i="3"/>
  <c r="O586" i="3"/>
  <c r="N586" i="3"/>
  <c r="L586" i="3"/>
  <c r="K586" i="3"/>
  <c r="Q585" i="3"/>
  <c r="P585" i="3"/>
  <c r="O585" i="3"/>
  <c r="N585" i="3"/>
  <c r="L585" i="3"/>
  <c r="K585" i="3"/>
  <c r="Q584" i="3"/>
  <c r="P584" i="3"/>
  <c r="O584" i="3"/>
  <c r="N584" i="3"/>
  <c r="L584" i="3"/>
  <c r="K584" i="3"/>
  <c r="Q583" i="3"/>
  <c r="P583" i="3"/>
  <c r="O583" i="3"/>
  <c r="N583" i="3"/>
  <c r="L583" i="3"/>
  <c r="K583" i="3"/>
  <c r="Q582" i="3"/>
  <c r="P582" i="3"/>
  <c r="O582" i="3"/>
  <c r="N582" i="3"/>
  <c r="L582" i="3"/>
  <c r="K582" i="3"/>
  <c r="Q581" i="3"/>
  <c r="P581" i="3"/>
  <c r="O581" i="3"/>
  <c r="N581" i="3"/>
  <c r="L581" i="3"/>
  <c r="K581" i="3"/>
  <c r="Q580" i="3"/>
  <c r="P580" i="3"/>
  <c r="O580" i="3"/>
  <c r="N580" i="3"/>
  <c r="L580" i="3"/>
  <c r="K580" i="3"/>
  <c r="Q579" i="3"/>
  <c r="P579" i="3"/>
  <c r="O579" i="3"/>
  <c r="N579" i="3"/>
  <c r="L579" i="3"/>
  <c r="K579" i="3"/>
  <c r="Q578" i="3"/>
  <c r="P578" i="3"/>
  <c r="O578" i="3"/>
  <c r="N578" i="3"/>
  <c r="L578" i="3"/>
  <c r="K578" i="3"/>
  <c r="Q577" i="3"/>
  <c r="P577" i="3"/>
  <c r="O577" i="3"/>
  <c r="N577" i="3"/>
  <c r="L577" i="3"/>
  <c r="K577" i="3"/>
  <c r="Q576" i="3"/>
  <c r="P576" i="3"/>
  <c r="O576" i="3"/>
  <c r="N576" i="3"/>
  <c r="L576" i="3"/>
  <c r="K576" i="3"/>
  <c r="Q575" i="3"/>
  <c r="P575" i="3"/>
  <c r="O575" i="3"/>
  <c r="N575" i="3"/>
  <c r="L575" i="3"/>
  <c r="K575" i="3"/>
  <c r="Q574" i="3"/>
  <c r="P574" i="3"/>
  <c r="O574" i="3"/>
  <c r="N574" i="3"/>
  <c r="L574" i="3"/>
  <c r="K574" i="3"/>
  <c r="Q573" i="3"/>
  <c r="P573" i="3"/>
  <c r="O573" i="3"/>
  <c r="N573" i="3"/>
  <c r="L573" i="3"/>
  <c r="K573" i="3"/>
  <c r="Q572" i="3"/>
  <c r="P572" i="3"/>
  <c r="O572" i="3"/>
  <c r="N572" i="3"/>
  <c r="L572" i="3"/>
  <c r="K572" i="3"/>
  <c r="Q571" i="3"/>
  <c r="P571" i="3"/>
  <c r="O571" i="3"/>
  <c r="N571" i="3"/>
  <c r="L571" i="3"/>
  <c r="K571" i="3"/>
  <c r="Q570" i="3"/>
  <c r="P570" i="3"/>
  <c r="O570" i="3"/>
  <c r="N570" i="3"/>
  <c r="L570" i="3"/>
  <c r="K570" i="3"/>
  <c r="Q569" i="3"/>
  <c r="P569" i="3"/>
  <c r="O569" i="3"/>
  <c r="N569" i="3"/>
  <c r="L569" i="3"/>
  <c r="K569" i="3"/>
  <c r="Q568" i="3"/>
  <c r="P568" i="3"/>
  <c r="O568" i="3"/>
  <c r="N568" i="3"/>
  <c r="L568" i="3"/>
  <c r="K568" i="3"/>
  <c r="Q567" i="3"/>
  <c r="P567" i="3"/>
  <c r="O567" i="3"/>
  <c r="N567" i="3"/>
  <c r="L567" i="3"/>
  <c r="K567" i="3"/>
  <c r="Q566" i="3"/>
  <c r="P566" i="3"/>
  <c r="O566" i="3"/>
  <c r="N566" i="3"/>
  <c r="L566" i="3"/>
  <c r="K566" i="3"/>
  <c r="Q565" i="3"/>
  <c r="P565" i="3"/>
  <c r="O565" i="3"/>
  <c r="N565" i="3"/>
  <c r="L565" i="3"/>
  <c r="K565" i="3"/>
  <c r="Q564" i="3"/>
  <c r="P564" i="3"/>
  <c r="O564" i="3"/>
  <c r="N564" i="3"/>
  <c r="L564" i="3"/>
  <c r="K564" i="3"/>
  <c r="Q563" i="3"/>
  <c r="P563" i="3"/>
  <c r="O563" i="3"/>
  <c r="N563" i="3"/>
  <c r="L563" i="3"/>
  <c r="K563" i="3"/>
  <c r="Q562" i="3"/>
  <c r="P562" i="3"/>
  <c r="O562" i="3"/>
  <c r="N562" i="3"/>
  <c r="L562" i="3"/>
  <c r="K562" i="3"/>
  <c r="Q561" i="3"/>
  <c r="P561" i="3"/>
  <c r="O561" i="3"/>
  <c r="N561" i="3"/>
  <c r="L561" i="3"/>
  <c r="K561" i="3"/>
  <c r="Q560" i="3"/>
  <c r="P560" i="3"/>
  <c r="O560" i="3"/>
  <c r="N560" i="3"/>
  <c r="L560" i="3"/>
  <c r="K560" i="3"/>
  <c r="Q559" i="3"/>
  <c r="P559" i="3"/>
  <c r="O559" i="3"/>
  <c r="N559" i="3"/>
  <c r="L559" i="3"/>
  <c r="K559" i="3"/>
  <c r="Q558" i="3"/>
  <c r="P558" i="3"/>
  <c r="O558" i="3"/>
  <c r="N558" i="3"/>
  <c r="L558" i="3"/>
  <c r="K558" i="3"/>
  <c r="Q557" i="3"/>
  <c r="P557" i="3"/>
  <c r="O557" i="3"/>
  <c r="N557" i="3"/>
  <c r="L557" i="3"/>
  <c r="K557" i="3"/>
  <c r="Q556" i="3"/>
  <c r="P556" i="3"/>
  <c r="O556" i="3"/>
  <c r="N556" i="3"/>
  <c r="L556" i="3"/>
  <c r="K556" i="3"/>
  <c r="Q555" i="3"/>
  <c r="P555" i="3"/>
  <c r="O555" i="3"/>
  <c r="N555" i="3"/>
  <c r="L555" i="3"/>
  <c r="K555" i="3"/>
  <c r="Q554" i="3"/>
  <c r="P554" i="3"/>
  <c r="O554" i="3"/>
  <c r="N554" i="3"/>
  <c r="L554" i="3"/>
  <c r="K554" i="3"/>
  <c r="Q553" i="3"/>
  <c r="P553" i="3"/>
  <c r="O553" i="3"/>
  <c r="N553" i="3"/>
  <c r="L553" i="3"/>
  <c r="K553" i="3"/>
  <c r="Q552" i="3"/>
  <c r="P552" i="3"/>
  <c r="O552" i="3"/>
  <c r="N552" i="3"/>
  <c r="L552" i="3"/>
  <c r="K552" i="3"/>
  <c r="Q551" i="3"/>
  <c r="P551" i="3"/>
  <c r="O551" i="3"/>
  <c r="N551" i="3"/>
  <c r="L551" i="3"/>
  <c r="K551" i="3"/>
  <c r="Q550" i="3"/>
  <c r="P550" i="3"/>
  <c r="O550" i="3"/>
  <c r="N550" i="3"/>
  <c r="L550" i="3"/>
  <c r="K550" i="3"/>
  <c r="Q549" i="3"/>
  <c r="P549" i="3"/>
  <c r="O549" i="3"/>
  <c r="N549" i="3"/>
  <c r="L549" i="3"/>
  <c r="K549" i="3"/>
  <c r="Q548" i="3"/>
  <c r="P548" i="3"/>
  <c r="O548" i="3"/>
  <c r="N548" i="3"/>
  <c r="L548" i="3"/>
  <c r="K548" i="3"/>
  <c r="Q547" i="3"/>
  <c r="P547" i="3"/>
  <c r="O547" i="3"/>
  <c r="N547" i="3"/>
  <c r="L547" i="3"/>
  <c r="K547" i="3"/>
  <c r="Q546" i="3"/>
  <c r="P546" i="3"/>
  <c r="O546" i="3"/>
  <c r="N546" i="3"/>
  <c r="L546" i="3"/>
  <c r="K546" i="3"/>
  <c r="Q545" i="3"/>
  <c r="P545" i="3"/>
  <c r="O545" i="3"/>
  <c r="N545" i="3"/>
  <c r="L545" i="3"/>
  <c r="K545" i="3"/>
  <c r="Q544" i="3"/>
  <c r="P544" i="3"/>
  <c r="O544" i="3"/>
  <c r="N544" i="3"/>
  <c r="L544" i="3"/>
  <c r="K544" i="3"/>
  <c r="Q543" i="3"/>
  <c r="P543" i="3"/>
  <c r="O543" i="3"/>
  <c r="N543" i="3"/>
  <c r="L543" i="3"/>
  <c r="K543" i="3"/>
  <c r="Q542" i="3"/>
  <c r="P542" i="3"/>
  <c r="O542" i="3"/>
  <c r="N542" i="3"/>
  <c r="L542" i="3"/>
  <c r="K542" i="3"/>
  <c r="Q541" i="3"/>
  <c r="P541" i="3"/>
  <c r="O541" i="3"/>
  <c r="N541" i="3"/>
  <c r="L541" i="3"/>
  <c r="K541" i="3"/>
  <c r="Q540" i="3"/>
  <c r="P540" i="3"/>
  <c r="O540" i="3"/>
  <c r="N540" i="3"/>
  <c r="L540" i="3"/>
  <c r="K540" i="3"/>
  <c r="Q539" i="3"/>
  <c r="P539" i="3"/>
  <c r="O539" i="3"/>
  <c r="N539" i="3"/>
  <c r="L539" i="3"/>
  <c r="K539" i="3"/>
  <c r="Q538" i="3"/>
  <c r="P538" i="3"/>
  <c r="O538" i="3"/>
  <c r="N538" i="3"/>
  <c r="L538" i="3"/>
  <c r="M538" i="3" s="1"/>
  <c r="R538" i="3" s="1"/>
  <c r="K538" i="3"/>
  <c r="Q537" i="3"/>
  <c r="P537" i="3"/>
  <c r="O537" i="3"/>
  <c r="N537" i="3"/>
  <c r="L537" i="3"/>
  <c r="K537" i="3"/>
  <c r="Q536" i="3"/>
  <c r="P536" i="3"/>
  <c r="O536" i="3"/>
  <c r="N536" i="3"/>
  <c r="L536" i="3"/>
  <c r="K536" i="3"/>
  <c r="Q535" i="3"/>
  <c r="P535" i="3"/>
  <c r="O535" i="3"/>
  <c r="N535" i="3"/>
  <c r="L535" i="3"/>
  <c r="K535" i="3"/>
  <c r="Q534" i="3"/>
  <c r="P534" i="3"/>
  <c r="O534" i="3"/>
  <c r="N534" i="3"/>
  <c r="L534" i="3"/>
  <c r="K534" i="3"/>
  <c r="Q533" i="3"/>
  <c r="P533" i="3"/>
  <c r="O533" i="3"/>
  <c r="N533" i="3"/>
  <c r="L533" i="3"/>
  <c r="K533" i="3"/>
  <c r="Q532" i="3"/>
  <c r="P532" i="3"/>
  <c r="O532" i="3"/>
  <c r="N532" i="3"/>
  <c r="L532" i="3"/>
  <c r="K532" i="3"/>
  <c r="Q531" i="3"/>
  <c r="P531" i="3"/>
  <c r="O531" i="3"/>
  <c r="N531" i="3"/>
  <c r="L531" i="3"/>
  <c r="K531" i="3"/>
  <c r="Q530" i="3"/>
  <c r="P530" i="3"/>
  <c r="O530" i="3"/>
  <c r="N530" i="3"/>
  <c r="L530" i="3"/>
  <c r="K530" i="3"/>
  <c r="Q529" i="3"/>
  <c r="P529" i="3"/>
  <c r="O529" i="3"/>
  <c r="N529" i="3"/>
  <c r="L529" i="3"/>
  <c r="K529" i="3"/>
  <c r="Q528" i="3"/>
  <c r="P528" i="3"/>
  <c r="O528" i="3"/>
  <c r="N528" i="3"/>
  <c r="L528" i="3"/>
  <c r="K528" i="3"/>
  <c r="Q527" i="3"/>
  <c r="P527" i="3"/>
  <c r="O527" i="3"/>
  <c r="N527" i="3"/>
  <c r="L527" i="3"/>
  <c r="K527" i="3"/>
  <c r="Q526" i="3"/>
  <c r="P526" i="3"/>
  <c r="O526" i="3"/>
  <c r="N526" i="3"/>
  <c r="L526" i="3"/>
  <c r="K526" i="3"/>
  <c r="Q525" i="3"/>
  <c r="P525" i="3"/>
  <c r="O525" i="3"/>
  <c r="N525" i="3"/>
  <c r="L525" i="3"/>
  <c r="K525" i="3"/>
  <c r="Q524" i="3"/>
  <c r="P524" i="3"/>
  <c r="O524" i="3"/>
  <c r="N524" i="3"/>
  <c r="L524" i="3"/>
  <c r="K524" i="3"/>
  <c r="Q523" i="3"/>
  <c r="P523" i="3"/>
  <c r="O523" i="3"/>
  <c r="N523" i="3"/>
  <c r="L523" i="3"/>
  <c r="K523" i="3"/>
  <c r="Q522" i="3"/>
  <c r="P522" i="3"/>
  <c r="O522" i="3"/>
  <c r="N522" i="3"/>
  <c r="L522" i="3"/>
  <c r="K522" i="3"/>
  <c r="Q521" i="3"/>
  <c r="P521" i="3"/>
  <c r="O521" i="3"/>
  <c r="N521" i="3"/>
  <c r="L521" i="3"/>
  <c r="K521" i="3"/>
  <c r="Q520" i="3"/>
  <c r="P520" i="3"/>
  <c r="O520" i="3"/>
  <c r="N520" i="3"/>
  <c r="L520" i="3"/>
  <c r="K520" i="3"/>
  <c r="Q519" i="3"/>
  <c r="P519" i="3"/>
  <c r="O519" i="3"/>
  <c r="N519" i="3"/>
  <c r="L519" i="3"/>
  <c r="K519" i="3"/>
  <c r="Q518" i="3"/>
  <c r="P518" i="3"/>
  <c r="O518" i="3"/>
  <c r="N518" i="3"/>
  <c r="L518" i="3"/>
  <c r="K518" i="3"/>
  <c r="Q517" i="3"/>
  <c r="P517" i="3"/>
  <c r="O517" i="3"/>
  <c r="N517" i="3"/>
  <c r="L517" i="3"/>
  <c r="K517" i="3"/>
  <c r="Q516" i="3"/>
  <c r="P516" i="3"/>
  <c r="O516" i="3"/>
  <c r="N516" i="3"/>
  <c r="L516" i="3"/>
  <c r="K516" i="3"/>
  <c r="Q515" i="3"/>
  <c r="P515" i="3"/>
  <c r="O515" i="3"/>
  <c r="N515" i="3"/>
  <c r="L515" i="3"/>
  <c r="K515" i="3"/>
  <c r="Q514" i="3"/>
  <c r="P514" i="3"/>
  <c r="O514" i="3"/>
  <c r="N514" i="3"/>
  <c r="L514" i="3"/>
  <c r="K514" i="3"/>
  <c r="Q513" i="3"/>
  <c r="P513" i="3"/>
  <c r="O513" i="3"/>
  <c r="N513" i="3"/>
  <c r="L513" i="3"/>
  <c r="K513" i="3"/>
  <c r="Q512" i="3"/>
  <c r="P512" i="3"/>
  <c r="O512" i="3"/>
  <c r="N512" i="3"/>
  <c r="L512" i="3"/>
  <c r="K512" i="3"/>
  <c r="Q511" i="3"/>
  <c r="P511" i="3"/>
  <c r="O511" i="3"/>
  <c r="N511" i="3"/>
  <c r="L511" i="3"/>
  <c r="K511" i="3"/>
  <c r="Q510" i="3"/>
  <c r="P510" i="3"/>
  <c r="O510" i="3"/>
  <c r="N510" i="3"/>
  <c r="L510" i="3"/>
  <c r="K510" i="3"/>
  <c r="Q509" i="3"/>
  <c r="P509" i="3"/>
  <c r="O509" i="3"/>
  <c r="N509" i="3"/>
  <c r="L509" i="3"/>
  <c r="K509" i="3"/>
  <c r="Q508" i="3"/>
  <c r="P508" i="3"/>
  <c r="O508" i="3"/>
  <c r="N508" i="3"/>
  <c r="L508" i="3"/>
  <c r="K508" i="3"/>
  <c r="Q507" i="3"/>
  <c r="P507" i="3"/>
  <c r="O507" i="3"/>
  <c r="N507" i="3"/>
  <c r="L507" i="3"/>
  <c r="K507" i="3"/>
  <c r="Q506" i="3"/>
  <c r="P506" i="3"/>
  <c r="O506" i="3"/>
  <c r="N506" i="3"/>
  <c r="L506" i="3"/>
  <c r="K506" i="3"/>
  <c r="Q505" i="3"/>
  <c r="P505" i="3"/>
  <c r="O505" i="3"/>
  <c r="N505" i="3"/>
  <c r="L505" i="3"/>
  <c r="K505" i="3"/>
  <c r="Q504" i="3"/>
  <c r="P504" i="3"/>
  <c r="O504" i="3"/>
  <c r="N504" i="3"/>
  <c r="L504" i="3"/>
  <c r="K504" i="3"/>
  <c r="Q503" i="3"/>
  <c r="P503" i="3"/>
  <c r="O503" i="3"/>
  <c r="N503" i="3"/>
  <c r="L503" i="3"/>
  <c r="K503" i="3"/>
  <c r="Q502" i="3"/>
  <c r="P502" i="3"/>
  <c r="O502" i="3"/>
  <c r="N502" i="3"/>
  <c r="L502" i="3"/>
  <c r="K502" i="3"/>
  <c r="Q501" i="3"/>
  <c r="P501" i="3"/>
  <c r="O501" i="3"/>
  <c r="N501" i="3"/>
  <c r="L501" i="3"/>
  <c r="K501" i="3"/>
  <c r="Q500" i="3"/>
  <c r="P500" i="3"/>
  <c r="O500" i="3"/>
  <c r="N500" i="3"/>
  <c r="L500" i="3"/>
  <c r="K500" i="3"/>
  <c r="Q499" i="3"/>
  <c r="P499" i="3"/>
  <c r="O499" i="3"/>
  <c r="N499" i="3"/>
  <c r="L499" i="3"/>
  <c r="K499" i="3"/>
  <c r="Q498" i="3"/>
  <c r="P498" i="3"/>
  <c r="O498" i="3"/>
  <c r="N498" i="3"/>
  <c r="L498" i="3"/>
  <c r="K498" i="3"/>
  <c r="Q497" i="3"/>
  <c r="P497" i="3"/>
  <c r="O497" i="3"/>
  <c r="N497" i="3"/>
  <c r="L497" i="3"/>
  <c r="K497" i="3"/>
  <c r="Q496" i="3"/>
  <c r="P496" i="3"/>
  <c r="O496" i="3"/>
  <c r="N496" i="3"/>
  <c r="L496" i="3"/>
  <c r="K496" i="3"/>
  <c r="Q495" i="3"/>
  <c r="P495" i="3"/>
  <c r="O495" i="3"/>
  <c r="N495" i="3"/>
  <c r="L495" i="3"/>
  <c r="K495" i="3"/>
  <c r="Q494" i="3"/>
  <c r="P494" i="3"/>
  <c r="O494" i="3"/>
  <c r="N494" i="3"/>
  <c r="L494" i="3"/>
  <c r="K494" i="3"/>
  <c r="Q493" i="3"/>
  <c r="P493" i="3"/>
  <c r="O493" i="3"/>
  <c r="N493" i="3"/>
  <c r="L493" i="3"/>
  <c r="K493" i="3"/>
  <c r="Q492" i="3"/>
  <c r="P492" i="3"/>
  <c r="O492" i="3"/>
  <c r="N492" i="3"/>
  <c r="L492" i="3"/>
  <c r="K492" i="3"/>
  <c r="Q491" i="3"/>
  <c r="P491" i="3"/>
  <c r="O491" i="3"/>
  <c r="N491" i="3"/>
  <c r="L491" i="3"/>
  <c r="K491" i="3"/>
  <c r="Q490" i="3"/>
  <c r="P490" i="3"/>
  <c r="O490" i="3"/>
  <c r="N490" i="3"/>
  <c r="L490" i="3"/>
  <c r="K490" i="3"/>
  <c r="Q489" i="3"/>
  <c r="P489" i="3"/>
  <c r="O489" i="3"/>
  <c r="N489" i="3"/>
  <c r="L489" i="3"/>
  <c r="K489" i="3"/>
  <c r="Q488" i="3"/>
  <c r="P488" i="3"/>
  <c r="O488" i="3"/>
  <c r="N488" i="3"/>
  <c r="L488" i="3"/>
  <c r="K488" i="3"/>
  <c r="Q487" i="3"/>
  <c r="P487" i="3"/>
  <c r="O487" i="3"/>
  <c r="N487" i="3"/>
  <c r="L487" i="3"/>
  <c r="K487" i="3"/>
  <c r="Q486" i="3"/>
  <c r="P486" i="3"/>
  <c r="O486" i="3"/>
  <c r="N486" i="3"/>
  <c r="L486" i="3"/>
  <c r="K486" i="3"/>
  <c r="Q485" i="3"/>
  <c r="P485" i="3"/>
  <c r="O485" i="3"/>
  <c r="N485" i="3"/>
  <c r="L485" i="3"/>
  <c r="K485" i="3"/>
  <c r="Q484" i="3"/>
  <c r="P484" i="3"/>
  <c r="O484" i="3"/>
  <c r="N484" i="3"/>
  <c r="L484" i="3"/>
  <c r="K484" i="3"/>
  <c r="Q483" i="3"/>
  <c r="P483" i="3"/>
  <c r="O483" i="3"/>
  <c r="N483" i="3"/>
  <c r="L483" i="3"/>
  <c r="K483" i="3"/>
  <c r="Q482" i="3"/>
  <c r="P482" i="3"/>
  <c r="O482" i="3"/>
  <c r="N482" i="3"/>
  <c r="L482" i="3"/>
  <c r="K482" i="3"/>
  <c r="Q481" i="3"/>
  <c r="P481" i="3"/>
  <c r="O481" i="3"/>
  <c r="N481" i="3"/>
  <c r="L481" i="3"/>
  <c r="K481" i="3"/>
  <c r="Q480" i="3"/>
  <c r="P480" i="3"/>
  <c r="O480" i="3"/>
  <c r="N480" i="3"/>
  <c r="L480" i="3"/>
  <c r="K480" i="3"/>
  <c r="Q479" i="3"/>
  <c r="P479" i="3"/>
  <c r="O479" i="3"/>
  <c r="N479" i="3"/>
  <c r="L479" i="3"/>
  <c r="K479" i="3"/>
  <c r="Q478" i="3"/>
  <c r="P478" i="3"/>
  <c r="O478" i="3"/>
  <c r="N478" i="3"/>
  <c r="L478" i="3"/>
  <c r="K478" i="3"/>
  <c r="Q477" i="3"/>
  <c r="P477" i="3"/>
  <c r="O477" i="3"/>
  <c r="N477" i="3"/>
  <c r="L477" i="3"/>
  <c r="K477" i="3"/>
  <c r="Q476" i="3"/>
  <c r="P476" i="3"/>
  <c r="O476" i="3"/>
  <c r="N476" i="3"/>
  <c r="L476" i="3"/>
  <c r="K476" i="3"/>
  <c r="Q475" i="3"/>
  <c r="P475" i="3"/>
  <c r="O475" i="3"/>
  <c r="N475" i="3"/>
  <c r="L475" i="3"/>
  <c r="K475" i="3"/>
  <c r="Q474" i="3"/>
  <c r="P474" i="3"/>
  <c r="O474" i="3"/>
  <c r="N474" i="3"/>
  <c r="L474" i="3"/>
  <c r="K474" i="3"/>
  <c r="Q473" i="3"/>
  <c r="P473" i="3"/>
  <c r="O473" i="3"/>
  <c r="N473" i="3"/>
  <c r="L473" i="3"/>
  <c r="K473" i="3"/>
  <c r="Q472" i="3"/>
  <c r="P472" i="3"/>
  <c r="O472" i="3"/>
  <c r="N472" i="3"/>
  <c r="L472" i="3"/>
  <c r="K472" i="3"/>
  <c r="Q471" i="3"/>
  <c r="P471" i="3"/>
  <c r="O471" i="3"/>
  <c r="N471" i="3"/>
  <c r="L471" i="3"/>
  <c r="K471" i="3"/>
  <c r="Q470" i="3"/>
  <c r="P470" i="3"/>
  <c r="O470" i="3"/>
  <c r="N470" i="3"/>
  <c r="L470" i="3"/>
  <c r="K470" i="3"/>
  <c r="Q469" i="3"/>
  <c r="P469" i="3"/>
  <c r="O469" i="3"/>
  <c r="N469" i="3"/>
  <c r="L469" i="3"/>
  <c r="K469" i="3"/>
  <c r="Q468" i="3"/>
  <c r="P468" i="3"/>
  <c r="O468" i="3"/>
  <c r="N468" i="3"/>
  <c r="L468" i="3"/>
  <c r="K468" i="3"/>
  <c r="Q467" i="3"/>
  <c r="P467" i="3"/>
  <c r="O467" i="3"/>
  <c r="N467" i="3"/>
  <c r="L467" i="3"/>
  <c r="K467" i="3"/>
  <c r="Q466" i="3"/>
  <c r="P466" i="3"/>
  <c r="O466" i="3"/>
  <c r="N466" i="3"/>
  <c r="L466" i="3"/>
  <c r="K466" i="3"/>
  <c r="Q465" i="3"/>
  <c r="P465" i="3"/>
  <c r="O465" i="3"/>
  <c r="N465" i="3"/>
  <c r="L465" i="3"/>
  <c r="K465" i="3"/>
  <c r="Q464" i="3"/>
  <c r="P464" i="3"/>
  <c r="O464" i="3"/>
  <c r="N464" i="3"/>
  <c r="L464" i="3"/>
  <c r="K464" i="3"/>
  <c r="Q463" i="3"/>
  <c r="P463" i="3"/>
  <c r="O463" i="3"/>
  <c r="N463" i="3"/>
  <c r="L463" i="3"/>
  <c r="K463" i="3"/>
  <c r="Q462" i="3"/>
  <c r="P462" i="3"/>
  <c r="O462" i="3"/>
  <c r="N462" i="3"/>
  <c r="L462" i="3"/>
  <c r="K462" i="3"/>
  <c r="Q461" i="3"/>
  <c r="P461" i="3"/>
  <c r="O461" i="3"/>
  <c r="N461" i="3"/>
  <c r="L461" i="3"/>
  <c r="K461" i="3"/>
  <c r="Q460" i="3"/>
  <c r="P460" i="3"/>
  <c r="O460" i="3"/>
  <c r="N460" i="3"/>
  <c r="L460" i="3"/>
  <c r="K460" i="3"/>
  <c r="Q459" i="3"/>
  <c r="P459" i="3"/>
  <c r="O459" i="3"/>
  <c r="N459" i="3"/>
  <c r="L459" i="3"/>
  <c r="K459" i="3"/>
  <c r="Q458" i="3"/>
  <c r="P458" i="3"/>
  <c r="O458" i="3"/>
  <c r="N458" i="3"/>
  <c r="L458" i="3"/>
  <c r="K458" i="3"/>
  <c r="Q457" i="3"/>
  <c r="P457" i="3"/>
  <c r="O457" i="3"/>
  <c r="N457" i="3"/>
  <c r="L457" i="3"/>
  <c r="K457" i="3"/>
  <c r="Q456" i="3"/>
  <c r="P456" i="3"/>
  <c r="O456" i="3"/>
  <c r="N456" i="3"/>
  <c r="L456" i="3"/>
  <c r="K456" i="3"/>
  <c r="Q455" i="3"/>
  <c r="P455" i="3"/>
  <c r="O455" i="3"/>
  <c r="N455" i="3"/>
  <c r="L455" i="3"/>
  <c r="K455" i="3"/>
  <c r="Q454" i="3"/>
  <c r="P454" i="3"/>
  <c r="O454" i="3"/>
  <c r="N454" i="3"/>
  <c r="L454" i="3"/>
  <c r="K454" i="3"/>
  <c r="Q453" i="3"/>
  <c r="P453" i="3"/>
  <c r="O453" i="3"/>
  <c r="N453" i="3"/>
  <c r="L453" i="3"/>
  <c r="K453" i="3"/>
  <c r="Q452" i="3"/>
  <c r="P452" i="3"/>
  <c r="O452" i="3"/>
  <c r="N452" i="3"/>
  <c r="L452" i="3"/>
  <c r="K452" i="3"/>
  <c r="Q451" i="3"/>
  <c r="P451" i="3"/>
  <c r="O451" i="3"/>
  <c r="N451" i="3"/>
  <c r="L451" i="3"/>
  <c r="K451" i="3"/>
  <c r="Q450" i="3"/>
  <c r="P450" i="3"/>
  <c r="O450" i="3"/>
  <c r="N450" i="3"/>
  <c r="L450" i="3"/>
  <c r="K450" i="3"/>
  <c r="Q449" i="3"/>
  <c r="P449" i="3"/>
  <c r="O449" i="3"/>
  <c r="N449" i="3"/>
  <c r="L449" i="3"/>
  <c r="K449" i="3"/>
  <c r="Q448" i="3"/>
  <c r="P448" i="3"/>
  <c r="O448" i="3"/>
  <c r="N448" i="3"/>
  <c r="L448" i="3"/>
  <c r="K448" i="3"/>
  <c r="Q447" i="3"/>
  <c r="P447" i="3"/>
  <c r="O447" i="3"/>
  <c r="N447" i="3"/>
  <c r="L447" i="3"/>
  <c r="K447" i="3"/>
  <c r="Q446" i="3"/>
  <c r="P446" i="3"/>
  <c r="O446" i="3"/>
  <c r="N446" i="3"/>
  <c r="L446" i="3"/>
  <c r="K446" i="3"/>
  <c r="Q445" i="3"/>
  <c r="P445" i="3"/>
  <c r="O445" i="3"/>
  <c r="N445" i="3"/>
  <c r="L445" i="3"/>
  <c r="K445" i="3"/>
  <c r="Q444" i="3"/>
  <c r="P444" i="3"/>
  <c r="O444" i="3"/>
  <c r="N444" i="3"/>
  <c r="L444" i="3"/>
  <c r="K444" i="3"/>
  <c r="Q443" i="3"/>
  <c r="P443" i="3"/>
  <c r="O443" i="3"/>
  <c r="N443" i="3"/>
  <c r="L443" i="3"/>
  <c r="K443" i="3"/>
  <c r="Q442" i="3"/>
  <c r="P442" i="3"/>
  <c r="O442" i="3"/>
  <c r="N442" i="3"/>
  <c r="L442" i="3"/>
  <c r="K442" i="3"/>
  <c r="Q441" i="3"/>
  <c r="P441" i="3"/>
  <c r="O441" i="3"/>
  <c r="N441" i="3"/>
  <c r="L441" i="3"/>
  <c r="K441" i="3"/>
  <c r="Q440" i="3"/>
  <c r="P440" i="3"/>
  <c r="O440" i="3"/>
  <c r="N440" i="3"/>
  <c r="L440" i="3"/>
  <c r="K440" i="3"/>
  <c r="Q439" i="3"/>
  <c r="P439" i="3"/>
  <c r="O439" i="3"/>
  <c r="N439" i="3"/>
  <c r="L439" i="3"/>
  <c r="K439" i="3"/>
  <c r="Q438" i="3"/>
  <c r="P438" i="3"/>
  <c r="O438" i="3"/>
  <c r="N438" i="3"/>
  <c r="L438" i="3"/>
  <c r="K438" i="3"/>
  <c r="Q437" i="3"/>
  <c r="P437" i="3"/>
  <c r="O437" i="3"/>
  <c r="N437" i="3"/>
  <c r="L437" i="3"/>
  <c r="K437" i="3"/>
  <c r="Q436" i="3"/>
  <c r="P436" i="3"/>
  <c r="O436" i="3"/>
  <c r="N436" i="3"/>
  <c r="L436" i="3"/>
  <c r="K436" i="3"/>
  <c r="Q435" i="3"/>
  <c r="P435" i="3"/>
  <c r="O435" i="3"/>
  <c r="N435" i="3"/>
  <c r="L435" i="3"/>
  <c r="K435" i="3"/>
  <c r="Q434" i="3"/>
  <c r="P434" i="3"/>
  <c r="O434" i="3"/>
  <c r="N434" i="3"/>
  <c r="L434" i="3"/>
  <c r="K434" i="3"/>
  <c r="Q433" i="3"/>
  <c r="P433" i="3"/>
  <c r="O433" i="3"/>
  <c r="N433" i="3"/>
  <c r="L433" i="3"/>
  <c r="K433" i="3"/>
  <c r="Q432" i="3"/>
  <c r="P432" i="3"/>
  <c r="O432" i="3"/>
  <c r="N432" i="3"/>
  <c r="L432" i="3"/>
  <c r="K432" i="3"/>
  <c r="Q431" i="3"/>
  <c r="P431" i="3"/>
  <c r="O431" i="3"/>
  <c r="N431" i="3"/>
  <c r="L431" i="3"/>
  <c r="K431" i="3"/>
  <c r="Q430" i="3"/>
  <c r="P430" i="3"/>
  <c r="O430" i="3"/>
  <c r="N430" i="3"/>
  <c r="L430" i="3"/>
  <c r="K430" i="3"/>
  <c r="Q429" i="3"/>
  <c r="P429" i="3"/>
  <c r="O429" i="3"/>
  <c r="N429" i="3"/>
  <c r="L429" i="3"/>
  <c r="K429" i="3"/>
  <c r="Q428" i="3"/>
  <c r="P428" i="3"/>
  <c r="O428" i="3"/>
  <c r="N428" i="3"/>
  <c r="L428" i="3"/>
  <c r="K428" i="3"/>
  <c r="Q427" i="3"/>
  <c r="P427" i="3"/>
  <c r="O427" i="3"/>
  <c r="N427" i="3"/>
  <c r="L427" i="3"/>
  <c r="K427" i="3"/>
  <c r="Q426" i="3"/>
  <c r="P426" i="3"/>
  <c r="O426" i="3"/>
  <c r="N426" i="3"/>
  <c r="L426" i="3"/>
  <c r="K426" i="3"/>
  <c r="Q425" i="3"/>
  <c r="P425" i="3"/>
  <c r="O425" i="3"/>
  <c r="N425" i="3"/>
  <c r="L425" i="3"/>
  <c r="K425" i="3"/>
  <c r="Q424" i="3"/>
  <c r="P424" i="3"/>
  <c r="O424" i="3"/>
  <c r="N424" i="3"/>
  <c r="L424" i="3"/>
  <c r="K424" i="3"/>
  <c r="Q423" i="3"/>
  <c r="P423" i="3"/>
  <c r="O423" i="3"/>
  <c r="N423" i="3"/>
  <c r="L423" i="3"/>
  <c r="K423" i="3"/>
  <c r="Q422" i="3"/>
  <c r="P422" i="3"/>
  <c r="O422" i="3"/>
  <c r="N422" i="3"/>
  <c r="L422" i="3"/>
  <c r="K422" i="3"/>
  <c r="Q421" i="3"/>
  <c r="P421" i="3"/>
  <c r="O421" i="3"/>
  <c r="N421" i="3"/>
  <c r="L421" i="3"/>
  <c r="K421" i="3"/>
  <c r="Q420" i="3"/>
  <c r="P420" i="3"/>
  <c r="O420" i="3"/>
  <c r="N420" i="3"/>
  <c r="L420" i="3"/>
  <c r="K420" i="3"/>
  <c r="Q419" i="3"/>
  <c r="P419" i="3"/>
  <c r="O419" i="3"/>
  <c r="N419" i="3"/>
  <c r="L419" i="3"/>
  <c r="K419" i="3"/>
  <c r="Q418" i="3"/>
  <c r="P418" i="3"/>
  <c r="O418" i="3"/>
  <c r="N418" i="3"/>
  <c r="L418" i="3"/>
  <c r="K418" i="3"/>
  <c r="Q417" i="3"/>
  <c r="P417" i="3"/>
  <c r="O417" i="3"/>
  <c r="N417" i="3"/>
  <c r="L417" i="3"/>
  <c r="K417" i="3"/>
  <c r="Q416" i="3"/>
  <c r="P416" i="3"/>
  <c r="O416" i="3"/>
  <c r="N416" i="3"/>
  <c r="L416" i="3"/>
  <c r="K416" i="3"/>
  <c r="Q415" i="3"/>
  <c r="P415" i="3"/>
  <c r="O415" i="3"/>
  <c r="N415" i="3"/>
  <c r="L415" i="3"/>
  <c r="K415" i="3"/>
  <c r="Q414" i="3"/>
  <c r="P414" i="3"/>
  <c r="O414" i="3"/>
  <c r="N414" i="3"/>
  <c r="L414" i="3"/>
  <c r="K414" i="3"/>
  <c r="Q413" i="3"/>
  <c r="P413" i="3"/>
  <c r="O413" i="3"/>
  <c r="N413" i="3"/>
  <c r="L413" i="3"/>
  <c r="K413" i="3"/>
  <c r="Q412" i="3"/>
  <c r="P412" i="3"/>
  <c r="O412" i="3"/>
  <c r="N412" i="3"/>
  <c r="L412" i="3"/>
  <c r="K412" i="3"/>
  <c r="Q411" i="3"/>
  <c r="P411" i="3"/>
  <c r="O411" i="3"/>
  <c r="N411" i="3"/>
  <c r="L411" i="3"/>
  <c r="K411" i="3"/>
  <c r="Q410" i="3"/>
  <c r="P410" i="3"/>
  <c r="O410" i="3"/>
  <c r="N410" i="3"/>
  <c r="L410" i="3"/>
  <c r="K410" i="3"/>
  <c r="Q409" i="3"/>
  <c r="P409" i="3"/>
  <c r="O409" i="3"/>
  <c r="N409" i="3"/>
  <c r="L409" i="3"/>
  <c r="K409" i="3"/>
  <c r="Q408" i="3"/>
  <c r="P408" i="3"/>
  <c r="O408" i="3"/>
  <c r="N408" i="3"/>
  <c r="L408" i="3"/>
  <c r="K408" i="3"/>
  <c r="Q407" i="3"/>
  <c r="P407" i="3"/>
  <c r="O407" i="3"/>
  <c r="N407" i="3"/>
  <c r="L407" i="3"/>
  <c r="K407" i="3"/>
  <c r="Q406" i="3"/>
  <c r="P406" i="3"/>
  <c r="O406" i="3"/>
  <c r="N406" i="3"/>
  <c r="L406" i="3"/>
  <c r="K406" i="3"/>
  <c r="Q405" i="3"/>
  <c r="P405" i="3"/>
  <c r="O405" i="3"/>
  <c r="N405" i="3"/>
  <c r="L405" i="3"/>
  <c r="K405" i="3"/>
  <c r="Q404" i="3"/>
  <c r="P404" i="3"/>
  <c r="O404" i="3"/>
  <c r="N404" i="3"/>
  <c r="L404" i="3"/>
  <c r="K404" i="3"/>
  <c r="Q403" i="3"/>
  <c r="P403" i="3"/>
  <c r="O403" i="3"/>
  <c r="N403" i="3"/>
  <c r="L403" i="3"/>
  <c r="K403" i="3"/>
  <c r="Q402" i="3"/>
  <c r="P402" i="3"/>
  <c r="O402" i="3"/>
  <c r="N402" i="3"/>
  <c r="L402" i="3"/>
  <c r="K402" i="3"/>
  <c r="Q401" i="3"/>
  <c r="P401" i="3"/>
  <c r="O401" i="3"/>
  <c r="N401" i="3"/>
  <c r="L401" i="3"/>
  <c r="K401" i="3"/>
  <c r="Q400" i="3"/>
  <c r="P400" i="3"/>
  <c r="O400" i="3"/>
  <c r="N400" i="3"/>
  <c r="L400" i="3"/>
  <c r="K400" i="3"/>
  <c r="Q399" i="3"/>
  <c r="P399" i="3"/>
  <c r="O399" i="3"/>
  <c r="N399" i="3"/>
  <c r="L399" i="3"/>
  <c r="K399" i="3"/>
  <c r="Q398" i="3"/>
  <c r="P398" i="3"/>
  <c r="O398" i="3"/>
  <c r="N398" i="3"/>
  <c r="L398" i="3"/>
  <c r="K398" i="3"/>
  <c r="Q397" i="3"/>
  <c r="P397" i="3"/>
  <c r="O397" i="3"/>
  <c r="N397" i="3"/>
  <c r="L397" i="3"/>
  <c r="K397" i="3"/>
  <c r="Q396" i="3"/>
  <c r="P396" i="3"/>
  <c r="O396" i="3"/>
  <c r="N396" i="3"/>
  <c r="L396" i="3"/>
  <c r="K396" i="3"/>
  <c r="Q395" i="3"/>
  <c r="P395" i="3"/>
  <c r="O395" i="3"/>
  <c r="N395" i="3"/>
  <c r="L395" i="3"/>
  <c r="K395" i="3"/>
  <c r="Q394" i="3"/>
  <c r="P394" i="3"/>
  <c r="O394" i="3"/>
  <c r="N394" i="3"/>
  <c r="L394" i="3"/>
  <c r="K394" i="3"/>
  <c r="Q393" i="3"/>
  <c r="P393" i="3"/>
  <c r="O393" i="3"/>
  <c r="N393" i="3"/>
  <c r="L393" i="3"/>
  <c r="K393" i="3"/>
  <c r="Q392" i="3"/>
  <c r="P392" i="3"/>
  <c r="O392" i="3"/>
  <c r="N392" i="3"/>
  <c r="L392" i="3"/>
  <c r="K392" i="3"/>
  <c r="Q391" i="3"/>
  <c r="P391" i="3"/>
  <c r="O391" i="3"/>
  <c r="N391" i="3"/>
  <c r="L391" i="3"/>
  <c r="K391" i="3"/>
  <c r="Q390" i="3"/>
  <c r="P390" i="3"/>
  <c r="O390" i="3"/>
  <c r="N390" i="3"/>
  <c r="L390" i="3"/>
  <c r="K390" i="3"/>
  <c r="Q389" i="3"/>
  <c r="P389" i="3"/>
  <c r="O389" i="3"/>
  <c r="N389" i="3"/>
  <c r="L389" i="3"/>
  <c r="K389" i="3"/>
  <c r="Q388" i="3"/>
  <c r="P388" i="3"/>
  <c r="O388" i="3"/>
  <c r="N388" i="3"/>
  <c r="L388" i="3"/>
  <c r="K388" i="3"/>
  <c r="Q387" i="3"/>
  <c r="P387" i="3"/>
  <c r="O387" i="3"/>
  <c r="N387" i="3"/>
  <c r="L387" i="3"/>
  <c r="K387" i="3"/>
  <c r="Q386" i="3"/>
  <c r="P386" i="3"/>
  <c r="O386" i="3"/>
  <c r="N386" i="3"/>
  <c r="L386" i="3"/>
  <c r="K386" i="3"/>
  <c r="Q385" i="3"/>
  <c r="P385" i="3"/>
  <c r="O385" i="3"/>
  <c r="N385" i="3"/>
  <c r="L385" i="3"/>
  <c r="K385" i="3"/>
  <c r="Q384" i="3"/>
  <c r="P384" i="3"/>
  <c r="O384" i="3"/>
  <c r="N384" i="3"/>
  <c r="L384" i="3"/>
  <c r="K384" i="3"/>
  <c r="Q383" i="3"/>
  <c r="P383" i="3"/>
  <c r="O383" i="3"/>
  <c r="N383" i="3"/>
  <c r="L383" i="3"/>
  <c r="K383" i="3"/>
  <c r="Q382" i="3"/>
  <c r="P382" i="3"/>
  <c r="O382" i="3"/>
  <c r="N382" i="3"/>
  <c r="L382" i="3"/>
  <c r="K382" i="3"/>
  <c r="Q381" i="3"/>
  <c r="P381" i="3"/>
  <c r="O381" i="3"/>
  <c r="N381" i="3"/>
  <c r="L381" i="3"/>
  <c r="K381" i="3"/>
  <c r="Q380" i="3"/>
  <c r="P380" i="3"/>
  <c r="O380" i="3"/>
  <c r="N380" i="3"/>
  <c r="L380" i="3"/>
  <c r="K380" i="3"/>
  <c r="Q379" i="3"/>
  <c r="P379" i="3"/>
  <c r="O379" i="3"/>
  <c r="N379" i="3"/>
  <c r="L379" i="3"/>
  <c r="K379" i="3"/>
  <c r="Q378" i="3"/>
  <c r="P378" i="3"/>
  <c r="O378" i="3"/>
  <c r="N378" i="3"/>
  <c r="L378" i="3"/>
  <c r="K378" i="3"/>
  <c r="Q377" i="3"/>
  <c r="P377" i="3"/>
  <c r="O377" i="3"/>
  <c r="N377" i="3"/>
  <c r="L377" i="3"/>
  <c r="K377" i="3"/>
  <c r="Q376" i="3"/>
  <c r="P376" i="3"/>
  <c r="O376" i="3"/>
  <c r="N376" i="3"/>
  <c r="L376" i="3"/>
  <c r="K376" i="3"/>
  <c r="Q375" i="3"/>
  <c r="P375" i="3"/>
  <c r="O375" i="3"/>
  <c r="N375" i="3"/>
  <c r="L375" i="3"/>
  <c r="K375" i="3"/>
  <c r="Q374" i="3"/>
  <c r="P374" i="3"/>
  <c r="O374" i="3"/>
  <c r="N374" i="3"/>
  <c r="L374" i="3"/>
  <c r="K374" i="3"/>
  <c r="Q373" i="3"/>
  <c r="P373" i="3"/>
  <c r="O373" i="3"/>
  <c r="N373" i="3"/>
  <c r="L373" i="3"/>
  <c r="K373" i="3"/>
  <c r="Q372" i="3"/>
  <c r="P372" i="3"/>
  <c r="O372" i="3"/>
  <c r="N372" i="3"/>
  <c r="L372" i="3"/>
  <c r="K372" i="3"/>
  <c r="Q371" i="3"/>
  <c r="P371" i="3"/>
  <c r="O371" i="3"/>
  <c r="N371" i="3"/>
  <c r="L371" i="3"/>
  <c r="K371" i="3"/>
  <c r="Q370" i="3"/>
  <c r="P370" i="3"/>
  <c r="O370" i="3"/>
  <c r="N370" i="3"/>
  <c r="L370" i="3"/>
  <c r="K370" i="3"/>
  <c r="Q369" i="3"/>
  <c r="P369" i="3"/>
  <c r="O369" i="3"/>
  <c r="N369" i="3"/>
  <c r="L369" i="3"/>
  <c r="K369" i="3"/>
  <c r="Q368" i="3"/>
  <c r="P368" i="3"/>
  <c r="O368" i="3"/>
  <c r="N368" i="3"/>
  <c r="L368" i="3"/>
  <c r="K368" i="3"/>
  <c r="Q367" i="3"/>
  <c r="P367" i="3"/>
  <c r="O367" i="3"/>
  <c r="N367" i="3"/>
  <c r="L367" i="3"/>
  <c r="K367" i="3"/>
  <c r="Q366" i="3"/>
  <c r="P366" i="3"/>
  <c r="O366" i="3"/>
  <c r="N366" i="3"/>
  <c r="L366" i="3"/>
  <c r="K366" i="3"/>
  <c r="Q365" i="3"/>
  <c r="P365" i="3"/>
  <c r="O365" i="3"/>
  <c r="N365" i="3"/>
  <c r="L365" i="3"/>
  <c r="K365" i="3"/>
  <c r="Q364" i="3"/>
  <c r="P364" i="3"/>
  <c r="O364" i="3"/>
  <c r="N364" i="3"/>
  <c r="L364" i="3"/>
  <c r="K364" i="3"/>
  <c r="Q363" i="3"/>
  <c r="P363" i="3"/>
  <c r="O363" i="3"/>
  <c r="N363" i="3"/>
  <c r="L363" i="3"/>
  <c r="K363" i="3"/>
  <c r="Q362" i="3"/>
  <c r="P362" i="3"/>
  <c r="O362" i="3"/>
  <c r="N362" i="3"/>
  <c r="L362" i="3"/>
  <c r="K362" i="3"/>
  <c r="Q361" i="3"/>
  <c r="P361" i="3"/>
  <c r="O361" i="3"/>
  <c r="N361" i="3"/>
  <c r="L361" i="3"/>
  <c r="K361" i="3"/>
  <c r="Q360" i="3"/>
  <c r="P360" i="3"/>
  <c r="O360" i="3"/>
  <c r="N360" i="3"/>
  <c r="L360" i="3"/>
  <c r="K360" i="3"/>
  <c r="Q359" i="3"/>
  <c r="P359" i="3"/>
  <c r="O359" i="3"/>
  <c r="N359" i="3"/>
  <c r="L359" i="3"/>
  <c r="K359" i="3"/>
  <c r="Q358" i="3"/>
  <c r="P358" i="3"/>
  <c r="O358" i="3"/>
  <c r="N358" i="3"/>
  <c r="L358" i="3"/>
  <c r="K358" i="3"/>
  <c r="Q357" i="3"/>
  <c r="P357" i="3"/>
  <c r="O357" i="3"/>
  <c r="N357" i="3"/>
  <c r="L357" i="3"/>
  <c r="K357" i="3"/>
  <c r="Q356" i="3"/>
  <c r="P356" i="3"/>
  <c r="O356" i="3"/>
  <c r="N356" i="3"/>
  <c r="L356" i="3"/>
  <c r="K356" i="3"/>
  <c r="Q355" i="3"/>
  <c r="P355" i="3"/>
  <c r="O355" i="3"/>
  <c r="N355" i="3"/>
  <c r="L355" i="3"/>
  <c r="K355" i="3"/>
  <c r="Q354" i="3"/>
  <c r="P354" i="3"/>
  <c r="O354" i="3"/>
  <c r="N354" i="3"/>
  <c r="L354" i="3"/>
  <c r="K354" i="3"/>
  <c r="Q353" i="3"/>
  <c r="P353" i="3"/>
  <c r="O353" i="3"/>
  <c r="N353" i="3"/>
  <c r="L353" i="3"/>
  <c r="K353" i="3"/>
  <c r="Q352" i="3"/>
  <c r="P352" i="3"/>
  <c r="O352" i="3"/>
  <c r="N352" i="3"/>
  <c r="L352" i="3"/>
  <c r="K352" i="3"/>
  <c r="Q351" i="3"/>
  <c r="P351" i="3"/>
  <c r="O351" i="3"/>
  <c r="N351" i="3"/>
  <c r="L351" i="3"/>
  <c r="K351" i="3"/>
  <c r="Q350" i="3"/>
  <c r="P350" i="3"/>
  <c r="O350" i="3"/>
  <c r="N350" i="3"/>
  <c r="L350" i="3"/>
  <c r="K350" i="3"/>
  <c r="Q349" i="3"/>
  <c r="P349" i="3"/>
  <c r="O349" i="3"/>
  <c r="N349" i="3"/>
  <c r="L349" i="3"/>
  <c r="K349" i="3"/>
  <c r="Q348" i="3"/>
  <c r="P348" i="3"/>
  <c r="O348" i="3"/>
  <c r="N348" i="3"/>
  <c r="L348" i="3"/>
  <c r="K348" i="3"/>
  <c r="Q347" i="3"/>
  <c r="P347" i="3"/>
  <c r="O347" i="3"/>
  <c r="N347" i="3"/>
  <c r="L347" i="3"/>
  <c r="K347" i="3"/>
  <c r="Q346" i="3"/>
  <c r="P346" i="3"/>
  <c r="O346" i="3"/>
  <c r="N346" i="3"/>
  <c r="L346" i="3"/>
  <c r="K346" i="3"/>
  <c r="Q345" i="3"/>
  <c r="P345" i="3"/>
  <c r="O345" i="3"/>
  <c r="N345" i="3"/>
  <c r="L345" i="3"/>
  <c r="K345" i="3"/>
  <c r="Q344" i="3"/>
  <c r="P344" i="3"/>
  <c r="O344" i="3"/>
  <c r="N344" i="3"/>
  <c r="L344" i="3"/>
  <c r="K344" i="3"/>
  <c r="Q343" i="3"/>
  <c r="P343" i="3"/>
  <c r="O343" i="3"/>
  <c r="N343" i="3"/>
  <c r="L343" i="3"/>
  <c r="K343" i="3"/>
  <c r="Q342" i="3"/>
  <c r="P342" i="3"/>
  <c r="O342" i="3"/>
  <c r="N342" i="3"/>
  <c r="L342" i="3"/>
  <c r="K342" i="3"/>
  <c r="Q341" i="3"/>
  <c r="P341" i="3"/>
  <c r="O341" i="3"/>
  <c r="N341" i="3"/>
  <c r="L341" i="3"/>
  <c r="K341" i="3"/>
  <c r="Q340" i="3"/>
  <c r="P340" i="3"/>
  <c r="O340" i="3"/>
  <c r="N340" i="3"/>
  <c r="L340" i="3"/>
  <c r="K340" i="3"/>
  <c r="Q339" i="3"/>
  <c r="P339" i="3"/>
  <c r="O339" i="3"/>
  <c r="N339" i="3"/>
  <c r="L339" i="3"/>
  <c r="K339" i="3"/>
  <c r="Q338" i="3"/>
  <c r="P338" i="3"/>
  <c r="O338" i="3"/>
  <c r="N338" i="3"/>
  <c r="L338" i="3"/>
  <c r="K338" i="3"/>
  <c r="Q337" i="3"/>
  <c r="P337" i="3"/>
  <c r="O337" i="3"/>
  <c r="N337" i="3"/>
  <c r="L337" i="3"/>
  <c r="K337" i="3"/>
  <c r="Q336" i="3"/>
  <c r="P336" i="3"/>
  <c r="O336" i="3"/>
  <c r="N336" i="3"/>
  <c r="L336" i="3"/>
  <c r="K336" i="3"/>
  <c r="Q335" i="3"/>
  <c r="P335" i="3"/>
  <c r="O335" i="3"/>
  <c r="N335" i="3"/>
  <c r="L335" i="3"/>
  <c r="K335" i="3"/>
  <c r="Q334" i="3"/>
  <c r="P334" i="3"/>
  <c r="O334" i="3"/>
  <c r="N334" i="3"/>
  <c r="L334" i="3"/>
  <c r="K334" i="3"/>
  <c r="Q333" i="3"/>
  <c r="P333" i="3"/>
  <c r="O333" i="3"/>
  <c r="N333" i="3"/>
  <c r="L333" i="3"/>
  <c r="K333" i="3"/>
  <c r="Q332" i="3"/>
  <c r="P332" i="3"/>
  <c r="O332" i="3"/>
  <c r="N332" i="3"/>
  <c r="L332" i="3"/>
  <c r="K332" i="3"/>
  <c r="Q331" i="3"/>
  <c r="P331" i="3"/>
  <c r="O331" i="3"/>
  <c r="N331" i="3"/>
  <c r="L331" i="3"/>
  <c r="K331" i="3"/>
  <c r="Q330" i="3"/>
  <c r="P330" i="3"/>
  <c r="O330" i="3"/>
  <c r="N330" i="3"/>
  <c r="L330" i="3"/>
  <c r="K330" i="3"/>
  <c r="Q329" i="3"/>
  <c r="P329" i="3"/>
  <c r="O329" i="3"/>
  <c r="N329" i="3"/>
  <c r="L329" i="3"/>
  <c r="K329" i="3"/>
  <c r="Q328" i="3"/>
  <c r="P328" i="3"/>
  <c r="O328" i="3"/>
  <c r="N328" i="3"/>
  <c r="L328" i="3"/>
  <c r="K328" i="3"/>
  <c r="Q327" i="3"/>
  <c r="P327" i="3"/>
  <c r="O327" i="3"/>
  <c r="N327" i="3"/>
  <c r="L327" i="3"/>
  <c r="K327" i="3"/>
  <c r="Q326" i="3"/>
  <c r="P326" i="3"/>
  <c r="O326" i="3"/>
  <c r="N326" i="3"/>
  <c r="L326" i="3"/>
  <c r="K326" i="3"/>
  <c r="Q325" i="3"/>
  <c r="P325" i="3"/>
  <c r="O325" i="3"/>
  <c r="N325" i="3"/>
  <c r="L325" i="3"/>
  <c r="K325" i="3"/>
  <c r="Q324" i="3"/>
  <c r="P324" i="3"/>
  <c r="O324" i="3"/>
  <c r="N324" i="3"/>
  <c r="L324" i="3"/>
  <c r="K324" i="3"/>
  <c r="Q323" i="3"/>
  <c r="P323" i="3"/>
  <c r="O323" i="3"/>
  <c r="N323" i="3"/>
  <c r="L323" i="3"/>
  <c r="K323" i="3"/>
  <c r="Q322" i="3"/>
  <c r="P322" i="3"/>
  <c r="O322" i="3"/>
  <c r="N322" i="3"/>
  <c r="L322" i="3"/>
  <c r="K322" i="3"/>
  <c r="Q321" i="3"/>
  <c r="P321" i="3"/>
  <c r="O321" i="3"/>
  <c r="N321" i="3"/>
  <c r="L321" i="3"/>
  <c r="K321" i="3"/>
  <c r="Q320" i="3"/>
  <c r="P320" i="3"/>
  <c r="O320" i="3"/>
  <c r="N320" i="3"/>
  <c r="L320" i="3"/>
  <c r="K320" i="3"/>
  <c r="Q319" i="3"/>
  <c r="P319" i="3"/>
  <c r="O319" i="3"/>
  <c r="N319" i="3"/>
  <c r="L319" i="3"/>
  <c r="K319" i="3"/>
  <c r="Q318" i="3"/>
  <c r="P318" i="3"/>
  <c r="O318" i="3"/>
  <c r="N318" i="3"/>
  <c r="L318" i="3"/>
  <c r="K318" i="3"/>
  <c r="Q317" i="3"/>
  <c r="P317" i="3"/>
  <c r="O317" i="3"/>
  <c r="N317" i="3"/>
  <c r="L317" i="3"/>
  <c r="K317" i="3"/>
  <c r="Q316" i="3"/>
  <c r="P316" i="3"/>
  <c r="O316" i="3"/>
  <c r="N316" i="3"/>
  <c r="L316" i="3"/>
  <c r="K316" i="3"/>
  <c r="Q315" i="3"/>
  <c r="P315" i="3"/>
  <c r="O315" i="3"/>
  <c r="N315" i="3"/>
  <c r="L315" i="3"/>
  <c r="K315" i="3"/>
  <c r="Q314" i="3"/>
  <c r="P314" i="3"/>
  <c r="O314" i="3"/>
  <c r="N314" i="3"/>
  <c r="L314" i="3"/>
  <c r="K314" i="3"/>
  <c r="Q313" i="3"/>
  <c r="P313" i="3"/>
  <c r="O313" i="3"/>
  <c r="N313" i="3"/>
  <c r="L313" i="3"/>
  <c r="K313" i="3"/>
  <c r="Q312" i="3"/>
  <c r="P312" i="3"/>
  <c r="O312" i="3"/>
  <c r="N312" i="3"/>
  <c r="L312" i="3"/>
  <c r="K312" i="3"/>
  <c r="Q311" i="3"/>
  <c r="P311" i="3"/>
  <c r="O311" i="3"/>
  <c r="N311" i="3"/>
  <c r="L311" i="3"/>
  <c r="K311" i="3"/>
  <c r="Q310" i="3"/>
  <c r="P310" i="3"/>
  <c r="O310" i="3"/>
  <c r="N310" i="3"/>
  <c r="L310" i="3"/>
  <c r="K310" i="3"/>
  <c r="Q309" i="3"/>
  <c r="P309" i="3"/>
  <c r="O309" i="3"/>
  <c r="N309" i="3"/>
  <c r="L309" i="3"/>
  <c r="K309" i="3"/>
  <c r="Q308" i="3"/>
  <c r="P308" i="3"/>
  <c r="O308" i="3"/>
  <c r="N308" i="3"/>
  <c r="L308" i="3"/>
  <c r="K308" i="3"/>
  <c r="Q307" i="3"/>
  <c r="P307" i="3"/>
  <c r="O307" i="3"/>
  <c r="N307" i="3"/>
  <c r="L307" i="3"/>
  <c r="K307" i="3"/>
  <c r="Q306" i="3"/>
  <c r="P306" i="3"/>
  <c r="O306" i="3"/>
  <c r="N306" i="3"/>
  <c r="L306" i="3"/>
  <c r="K306" i="3"/>
  <c r="Q305" i="3"/>
  <c r="P305" i="3"/>
  <c r="O305" i="3"/>
  <c r="N305" i="3"/>
  <c r="L305" i="3"/>
  <c r="K305" i="3"/>
  <c r="Q304" i="3"/>
  <c r="P304" i="3"/>
  <c r="O304" i="3"/>
  <c r="N304" i="3"/>
  <c r="L304" i="3"/>
  <c r="K304" i="3"/>
  <c r="Q303" i="3"/>
  <c r="P303" i="3"/>
  <c r="O303" i="3"/>
  <c r="N303" i="3"/>
  <c r="L303" i="3"/>
  <c r="K303" i="3"/>
  <c r="Q302" i="3"/>
  <c r="P302" i="3"/>
  <c r="O302" i="3"/>
  <c r="N302" i="3"/>
  <c r="L302" i="3"/>
  <c r="K302" i="3"/>
  <c r="Q301" i="3"/>
  <c r="P301" i="3"/>
  <c r="O301" i="3"/>
  <c r="N301" i="3"/>
  <c r="L301" i="3"/>
  <c r="K301" i="3"/>
  <c r="Q300" i="3"/>
  <c r="P300" i="3"/>
  <c r="O300" i="3"/>
  <c r="N300" i="3"/>
  <c r="L300" i="3"/>
  <c r="K300" i="3"/>
  <c r="Q299" i="3"/>
  <c r="P299" i="3"/>
  <c r="O299" i="3"/>
  <c r="N299" i="3"/>
  <c r="L299" i="3"/>
  <c r="K299" i="3"/>
  <c r="Q298" i="3"/>
  <c r="P298" i="3"/>
  <c r="O298" i="3"/>
  <c r="N298" i="3"/>
  <c r="L298" i="3"/>
  <c r="K298" i="3"/>
  <c r="Q297" i="3"/>
  <c r="P297" i="3"/>
  <c r="O297" i="3"/>
  <c r="N297" i="3"/>
  <c r="L297" i="3"/>
  <c r="K297" i="3"/>
  <c r="Q296" i="3"/>
  <c r="P296" i="3"/>
  <c r="O296" i="3"/>
  <c r="N296" i="3"/>
  <c r="L296" i="3"/>
  <c r="K296" i="3"/>
  <c r="Q295" i="3"/>
  <c r="P295" i="3"/>
  <c r="O295" i="3"/>
  <c r="N295" i="3"/>
  <c r="L295" i="3"/>
  <c r="K295" i="3"/>
  <c r="Q294" i="3"/>
  <c r="P294" i="3"/>
  <c r="O294" i="3"/>
  <c r="N294" i="3"/>
  <c r="L294" i="3"/>
  <c r="K294" i="3"/>
  <c r="Q293" i="3"/>
  <c r="P293" i="3"/>
  <c r="O293" i="3"/>
  <c r="N293" i="3"/>
  <c r="L293" i="3"/>
  <c r="K293" i="3"/>
  <c r="Q292" i="3"/>
  <c r="P292" i="3"/>
  <c r="O292" i="3"/>
  <c r="N292" i="3"/>
  <c r="L292" i="3"/>
  <c r="K292" i="3"/>
  <c r="Q291" i="3"/>
  <c r="P291" i="3"/>
  <c r="O291" i="3"/>
  <c r="N291" i="3"/>
  <c r="L291" i="3"/>
  <c r="K291" i="3"/>
  <c r="Q290" i="3"/>
  <c r="P290" i="3"/>
  <c r="O290" i="3"/>
  <c r="N290" i="3"/>
  <c r="L290" i="3"/>
  <c r="K290" i="3"/>
  <c r="Q289" i="3"/>
  <c r="P289" i="3"/>
  <c r="O289" i="3"/>
  <c r="N289" i="3"/>
  <c r="L289" i="3"/>
  <c r="K289" i="3"/>
  <c r="Q288" i="3"/>
  <c r="P288" i="3"/>
  <c r="O288" i="3"/>
  <c r="N288" i="3"/>
  <c r="L288" i="3"/>
  <c r="K288" i="3"/>
  <c r="Q287" i="3"/>
  <c r="P287" i="3"/>
  <c r="O287" i="3"/>
  <c r="N287" i="3"/>
  <c r="L287" i="3"/>
  <c r="K287" i="3"/>
  <c r="Q286" i="3"/>
  <c r="P286" i="3"/>
  <c r="O286" i="3"/>
  <c r="N286" i="3"/>
  <c r="L286" i="3"/>
  <c r="K286" i="3"/>
  <c r="Q285" i="3"/>
  <c r="P285" i="3"/>
  <c r="O285" i="3"/>
  <c r="N285" i="3"/>
  <c r="L285" i="3"/>
  <c r="K285" i="3"/>
  <c r="Q284" i="3"/>
  <c r="P284" i="3"/>
  <c r="O284" i="3"/>
  <c r="N284" i="3"/>
  <c r="L284" i="3"/>
  <c r="K284" i="3"/>
  <c r="Q283" i="3"/>
  <c r="P283" i="3"/>
  <c r="O283" i="3"/>
  <c r="N283" i="3"/>
  <c r="L283" i="3"/>
  <c r="K283" i="3"/>
  <c r="Q282" i="3"/>
  <c r="P282" i="3"/>
  <c r="O282" i="3"/>
  <c r="N282" i="3"/>
  <c r="L282" i="3"/>
  <c r="K282" i="3"/>
  <c r="Q281" i="3"/>
  <c r="P281" i="3"/>
  <c r="O281" i="3"/>
  <c r="N281" i="3"/>
  <c r="L281" i="3"/>
  <c r="K281" i="3"/>
  <c r="Q280" i="3"/>
  <c r="P280" i="3"/>
  <c r="O280" i="3"/>
  <c r="N280" i="3"/>
  <c r="L280" i="3"/>
  <c r="K280" i="3"/>
  <c r="Q279" i="3"/>
  <c r="P279" i="3"/>
  <c r="O279" i="3"/>
  <c r="N279" i="3"/>
  <c r="L279" i="3"/>
  <c r="K279" i="3"/>
  <c r="Q278" i="3"/>
  <c r="P278" i="3"/>
  <c r="O278" i="3"/>
  <c r="N278" i="3"/>
  <c r="L278" i="3"/>
  <c r="K278" i="3"/>
  <c r="Q277" i="3"/>
  <c r="P277" i="3"/>
  <c r="O277" i="3"/>
  <c r="N277" i="3"/>
  <c r="L277" i="3"/>
  <c r="K277" i="3"/>
  <c r="Q276" i="3"/>
  <c r="P276" i="3"/>
  <c r="O276" i="3"/>
  <c r="N276" i="3"/>
  <c r="L276" i="3"/>
  <c r="K276" i="3"/>
  <c r="Q275" i="3"/>
  <c r="P275" i="3"/>
  <c r="O275" i="3"/>
  <c r="N275" i="3"/>
  <c r="L275" i="3"/>
  <c r="K275" i="3"/>
  <c r="Q274" i="3"/>
  <c r="P274" i="3"/>
  <c r="O274" i="3"/>
  <c r="N274" i="3"/>
  <c r="L274" i="3"/>
  <c r="K274" i="3"/>
  <c r="Q273" i="3"/>
  <c r="P273" i="3"/>
  <c r="O273" i="3"/>
  <c r="N273" i="3"/>
  <c r="L273" i="3"/>
  <c r="K273" i="3"/>
  <c r="Q272" i="3"/>
  <c r="P272" i="3"/>
  <c r="O272" i="3"/>
  <c r="N272" i="3"/>
  <c r="L272" i="3"/>
  <c r="K272" i="3"/>
  <c r="Q271" i="3"/>
  <c r="P271" i="3"/>
  <c r="O271" i="3"/>
  <c r="N271" i="3"/>
  <c r="L271" i="3"/>
  <c r="K271" i="3"/>
  <c r="Q270" i="3"/>
  <c r="P270" i="3"/>
  <c r="O270" i="3"/>
  <c r="N270" i="3"/>
  <c r="L270" i="3"/>
  <c r="K270" i="3"/>
  <c r="Q269" i="3"/>
  <c r="P269" i="3"/>
  <c r="O269" i="3"/>
  <c r="N269" i="3"/>
  <c r="L269" i="3"/>
  <c r="K269" i="3"/>
  <c r="Q268" i="3"/>
  <c r="P268" i="3"/>
  <c r="O268" i="3"/>
  <c r="N268" i="3"/>
  <c r="L268" i="3"/>
  <c r="K268" i="3"/>
  <c r="Q267" i="3"/>
  <c r="P267" i="3"/>
  <c r="O267" i="3"/>
  <c r="N267" i="3"/>
  <c r="L267" i="3"/>
  <c r="K267" i="3"/>
  <c r="Q266" i="3"/>
  <c r="P266" i="3"/>
  <c r="O266" i="3"/>
  <c r="N266" i="3"/>
  <c r="L266" i="3"/>
  <c r="K266" i="3"/>
  <c r="Q265" i="3"/>
  <c r="P265" i="3"/>
  <c r="O265" i="3"/>
  <c r="N265" i="3"/>
  <c r="L265" i="3"/>
  <c r="K265" i="3"/>
  <c r="Q264" i="3"/>
  <c r="P264" i="3"/>
  <c r="O264" i="3"/>
  <c r="N264" i="3"/>
  <c r="L264" i="3"/>
  <c r="K264" i="3"/>
  <c r="Q263" i="3"/>
  <c r="P263" i="3"/>
  <c r="O263" i="3"/>
  <c r="N263" i="3"/>
  <c r="L263" i="3"/>
  <c r="K263" i="3"/>
  <c r="Q262" i="3"/>
  <c r="P262" i="3"/>
  <c r="O262" i="3"/>
  <c r="N262" i="3"/>
  <c r="L262" i="3"/>
  <c r="K262" i="3"/>
  <c r="Q261" i="3"/>
  <c r="P261" i="3"/>
  <c r="O261" i="3"/>
  <c r="N261" i="3"/>
  <c r="L261" i="3"/>
  <c r="K261" i="3"/>
  <c r="Q260" i="3"/>
  <c r="P260" i="3"/>
  <c r="O260" i="3"/>
  <c r="N260" i="3"/>
  <c r="L260" i="3"/>
  <c r="K260" i="3"/>
  <c r="Q259" i="3"/>
  <c r="P259" i="3"/>
  <c r="O259" i="3"/>
  <c r="N259" i="3"/>
  <c r="L259" i="3"/>
  <c r="K259" i="3"/>
  <c r="Q258" i="3"/>
  <c r="P258" i="3"/>
  <c r="O258" i="3"/>
  <c r="N258" i="3"/>
  <c r="L258" i="3"/>
  <c r="K258" i="3"/>
  <c r="Q257" i="3"/>
  <c r="P257" i="3"/>
  <c r="O257" i="3"/>
  <c r="N257" i="3"/>
  <c r="L257" i="3"/>
  <c r="K257" i="3"/>
  <c r="Q256" i="3"/>
  <c r="P256" i="3"/>
  <c r="O256" i="3"/>
  <c r="N256" i="3"/>
  <c r="L256" i="3"/>
  <c r="K256" i="3"/>
  <c r="Q255" i="3"/>
  <c r="P255" i="3"/>
  <c r="O255" i="3"/>
  <c r="N255" i="3"/>
  <c r="L255" i="3"/>
  <c r="K255" i="3"/>
  <c r="Q254" i="3"/>
  <c r="P254" i="3"/>
  <c r="O254" i="3"/>
  <c r="N254" i="3"/>
  <c r="L254" i="3"/>
  <c r="K254" i="3"/>
  <c r="Q253" i="3"/>
  <c r="P253" i="3"/>
  <c r="O253" i="3"/>
  <c r="N253" i="3"/>
  <c r="L253" i="3"/>
  <c r="K253" i="3"/>
  <c r="Q252" i="3"/>
  <c r="P252" i="3"/>
  <c r="O252" i="3"/>
  <c r="N252" i="3"/>
  <c r="L252" i="3"/>
  <c r="K252" i="3"/>
  <c r="Q251" i="3"/>
  <c r="P251" i="3"/>
  <c r="O251" i="3"/>
  <c r="N251" i="3"/>
  <c r="L251" i="3"/>
  <c r="K251" i="3"/>
  <c r="Q250" i="3"/>
  <c r="P250" i="3"/>
  <c r="O250" i="3"/>
  <c r="N250" i="3"/>
  <c r="L250" i="3"/>
  <c r="K250" i="3"/>
  <c r="Q249" i="3"/>
  <c r="P249" i="3"/>
  <c r="O249" i="3"/>
  <c r="N249" i="3"/>
  <c r="L249" i="3"/>
  <c r="K249" i="3"/>
  <c r="Q248" i="3"/>
  <c r="P248" i="3"/>
  <c r="O248" i="3"/>
  <c r="N248" i="3"/>
  <c r="L248" i="3"/>
  <c r="K248" i="3"/>
  <c r="Q247" i="3"/>
  <c r="P247" i="3"/>
  <c r="O247" i="3"/>
  <c r="N247" i="3"/>
  <c r="L247" i="3"/>
  <c r="K247" i="3"/>
  <c r="Q246" i="3"/>
  <c r="P246" i="3"/>
  <c r="O246" i="3"/>
  <c r="N246" i="3"/>
  <c r="L246" i="3"/>
  <c r="K246" i="3"/>
  <c r="Q245" i="3"/>
  <c r="P245" i="3"/>
  <c r="O245" i="3"/>
  <c r="N245" i="3"/>
  <c r="L245" i="3"/>
  <c r="K245" i="3"/>
  <c r="Q244" i="3"/>
  <c r="P244" i="3"/>
  <c r="O244" i="3"/>
  <c r="N244" i="3"/>
  <c r="L244" i="3"/>
  <c r="K244" i="3"/>
  <c r="Q243" i="3"/>
  <c r="P243" i="3"/>
  <c r="O243" i="3"/>
  <c r="N243" i="3"/>
  <c r="L243" i="3"/>
  <c r="K243" i="3"/>
  <c r="Q242" i="3"/>
  <c r="P242" i="3"/>
  <c r="O242" i="3"/>
  <c r="N242" i="3"/>
  <c r="L242" i="3"/>
  <c r="K242" i="3"/>
  <c r="Q241" i="3"/>
  <c r="P241" i="3"/>
  <c r="O241" i="3"/>
  <c r="N241" i="3"/>
  <c r="L241" i="3"/>
  <c r="K241" i="3"/>
  <c r="Q240" i="3"/>
  <c r="P240" i="3"/>
  <c r="O240" i="3"/>
  <c r="N240" i="3"/>
  <c r="L240" i="3"/>
  <c r="K240" i="3"/>
  <c r="Q239" i="3"/>
  <c r="P239" i="3"/>
  <c r="O239" i="3"/>
  <c r="N239" i="3"/>
  <c r="L239" i="3"/>
  <c r="K239" i="3"/>
  <c r="Q238" i="3"/>
  <c r="P238" i="3"/>
  <c r="O238" i="3"/>
  <c r="N238" i="3"/>
  <c r="L238" i="3"/>
  <c r="K238" i="3"/>
  <c r="Q237" i="3"/>
  <c r="P237" i="3"/>
  <c r="O237" i="3"/>
  <c r="N237" i="3"/>
  <c r="L237" i="3"/>
  <c r="K237" i="3"/>
  <c r="Q236" i="3"/>
  <c r="P236" i="3"/>
  <c r="O236" i="3"/>
  <c r="N236" i="3"/>
  <c r="L236" i="3"/>
  <c r="K236" i="3"/>
  <c r="Q235" i="3"/>
  <c r="P235" i="3"/>
  <c r="O235" i="3"/>
  <c r="N235" i="3"/>
  <c r="L235" i="3"/>
  <c r="K235" i="3"/>
  <c r="Q234" i="3"/>
  <c r="P234" i="3"/>
  <c r="O234" i="3"/>
  <c r="N234" i="3"/>
  <c r="L234" i="3"/>
  <c r="K234" i="3"/>
  <c r="Q233" i="3"/>
  <c r="P233" i="3"/>
  <c r="O233" i="3"/>
  <c r="N233" i="3"/>
  <c r="L233" i="3"/>
  <c r="K233" i="3"/>
  <c r="Q232" i="3"/>
  <c r="P232" i="3"/>
  <c r="O232" i="3"/>
  <c r="N232" i="3"/>
  <c r="L232" i="3"/>
  <c r="K232" i="3"/>
  <c r="Q231" i="3"/>
  <c r="P231" i="3"/>
  <c r="O231" i="3"/>
  <c r="N231" i="3"/>
  <c r="L231" i="3"/>
  <c r="K231" i="3"/>
  <c r="Q230" i="3"/>
  <c r="P230" i="3"/>
  <c r="O230" i="3"/>
  <c r="N230" i="3"/>
  <c r="L230" i="3"/>
  <c r="K230" i="3"/>
  <c r="Q229" i="3"/>
  <c r="P229" i="3"/>
  <c r="O229" i="3"/>
  <c r="N229" i="3"/>
  <c r="L229" i="3"/>
  <c r="K229" i="3"/>
  <c r="Q228" i="3"/>
  <c r="P228" i="3"/>
  <c r="O228" i="3"/>
  <c r="N228" i="3"/>
  <c r="L228" i="3"/>
  <c r="K228" i="3"/>
  <c r="Q227" i="3"/>
  <c r="P227" i="3"/>
  <c r="O227" i="3"/>
  <c r="N227" i="3"/>
  <c r="L227" i="3"/>
  <c r="K227" i="3"/>
  <c r="Q226" i="3"/>
  <c r="P226" i="3"/>
  <c r="O226" i="3"/>
  <c r="N226" i="3"/>
  <c r="L226" i="3"/>
  <c r="K226" i="3"/>
  <c r="Q225" i="3"/>
  <c r="P225" i="3"/>
  <c r="O225" i="3"/>
  <c r="N225" i="3"/>
  <c r="L225" i="3"/>
  <c r="K225" i="3"/>
  <c r="Q224" i="3"/>
  <c r="P224" i="3"/>
  <c r="O224" i="3"/>
  <c r="N224" i="3"/>
  <c r="L224" i="3"/>
  <c r="K224" i="3"/>
  <c r="Q223" i="3"/>
  <c r="P223" i="3"/>
  <c r="O223" i="3"/>
  <c r="N223" i="3"/>
  <c r="L223" i="3"/>
  <c r="K223" i="3"/>
  <c r="Q222" i="3"/>
  <c r="P222" i="3"/>
  <c r="O222" i="3"/>
  <c r="N222" i="3"/>
  <c r="L222" i="3"/>
  <c r="K222" i="3"/>
  <c r="Q221" i="3"/>
  <c r="P221" i="3"/>
  <c r="O221" i="3"/>
  <c r="N221" i="3"/>
  <c r="L221" i="3"/>
  <c r="K221" i="3"/>
  <c r="Q220" i="3"/>
  <c r="P220" i="3"/>
  <c r="O220" i="3"/>
  <c r="N220" i="3"/>
  <c r="L220" i="3"/>
  <c r="K220" i="3"/>
  <c r="Q219" i="3"/>
  <c r="P219" i="3"/>
  <c r="O219" i="3"/>
  <c r="N219" i="3"/>
  <c r="L219" i="3"/>
  <c r="K219" i="3"/>
  <c r="Q218" i="3"/>
  <c r="P218" i="3"/>
  <c r="O218" i="3"/>
  <c r="N218" i="3"/>
  <c r="L218" i="3"/>
  <c r="K218" i="3"/>
  <c r="Q217" i="3"/>
  <c r="P217" i="3"/>
  <c r="O217" i="3"/>
  <c r="N217" i="3"/>
  <c r="L217" i="3"/>
  <c r="K217" i="3"/>
  <c r="Q216" i="3"/>
  <c r="P216" i="3"/>
  <c r="O216" i="3"/>
  <c r="N216" i="3"/>
  <c r="L216" i="3"/>
  <c r="K216" i="3"/>
  <c r="Q215" i="3"/>
  <c r="P215" i="3"/>
  <c r="O215" i="3"/>
  <c r="N215" i="3"/>
  <c r="L215" i="3"/>
  <c r="K215" i="3"/>
  <c r="Q214" i="3"/>
  <c r="P214" i="3"/>
  <c r="O214" i="3"/>
  <c r="N214" i="3"/>
  <c r="L214" i="3"/>
  <c r="K214" i="3"/>
  <c r="Q213" i="3"/>
  <c r="P213" i="3"/>
  <c r="O213" i="3"/>
  <c r="N213" i="3"/>
  <c r="L213" i="3"/>
  <c r="K213" i="3"/>
  <c r="Q212" i="3"/>
  <c r="P212" i="3"/>
  <c r="O212" i="3"/>
  <c r="N212" i="3"/>
  <c r="L212" i="3"/>
  <c r="K212" i="3"/>
  <c r="Q211" i="3"/>
  <c r="P211" i="3"/>
  <c r="O211" i="3"/>
  <c r="N211" i="3"/>
  <c r="L211" i="3"/>
  <c r="K211" i="3"/>
  <c r="Q210" i="3"/>
  <c r="P210" i="3"/>
  <c r="O210" i="3"/>
  <c r="N210" i="3"/>
  <c r="L210" i="3"/>
  <c r="K210" i="3"/>
  <c r="Q209" i="3"/>
  <c r="P209" i="3"/>
  <c r="O209" i="3"/>
  <c r="N209" i="3"/>
  <c r="L209" i="3"/>
  <c r="K209" i="3"/>
  <c r="Q208" i="3"/>
  <c r="P208" i="3"/>
  <c r="O208" i="3"/>
  <c r="N208" i="3"/>
  <c r="L208" i="3"/>
  <c r="K208" i="3"/>
  <c r="Q207" i="3"/>
  <c r="P207" i="3"/>
  <c r="O207" i="3"/>
  <c r="N207" i="3"/>
  <c r="L207" i="3"/>
  <c r="K207" i="3"/>
  <c r="Q206" i="3"/>
  <c r="P206" i="3"/>
  <c r="O206" i="3"/>
  <c r="N206" i="3"/>
  <c r="L206" i="3"/>
  <c r="K206" i="3"/>
  <c r="Q205" i="3"/>
  <c r="P205" i="3"/>
  <c r="O205" i="3"/>
  <c r="N205" i="3"/>
  <c r="L205" i="3"/>
  <c r="K205" i="3"/>
  <c r="Q204" i="3"/>
  <c r="P204" i="3"/>
  <c r="O204" i="3"/>
  <c r="N204" i="3"/>
  <c r="L204" i="3"/>
  <c r="K204" i="3"/>
  <c r="Q203" i="3"/>
  <c r="P203" i="3"/>
  <c r="O203" i="3"/>
  <c r="N203" i="3"/>
  <c r="L203" i="3"/>
  <c r="K203" i="3"/>
  <c r="Q202" i="3"/>
  <c r="P202" i="3"/>
  <c r="O202" i="3"/>
  <c r="N202" i="3"/>
  <c r="L202" i="3"/>
  <c r="K202" i="3"/>
  <c r="Q201" i="3"/>
  <c r="P201" i="3"/>
  <c r="O201" i="3"/>
  <c r="N201" i="3"/>
  <c r="L201" i="3"/>
  <c r="K201" i="3"/>
  <c r="Q200" i="3"/>
  <c r="P200" i="3"/>
  <c r="O200" i="3"/>
  <c r="N200" i="3"/>
  <c r="L200" i="3"/>
  <c r="K200" i="3"/>
  <c r="Q199" i="3"/>
  <c r="P199" i="3"/>
  <c r="O199" i="3"/>
  <c r="N199" i="3"/>
  <c r="L199" i="3"/>
  <c r="K199" i="3"/>
  <c r="Q198" i="3"/>
  <c r="P198" i="3"/>
  <c r="O198" i="3"/>
  <c r="N198" i="3"/>
  <c r="L198" i="3"/>
  <c r="K198" i="3"/>
  <c r="Q197" i="3"/>
  <c r="P197" i="3"/>
  <c r="O197" i="3"/>
  <c r="N197" i="3"/>
  <c r="L197" i="3"/>
  <c r="K197" i="3"/>
  <c r="Q196" i="3"/>
  <c r="P196" i="3"/>
  <c r="O196" i="3"/>
  <c r="N196" i="3"/>
  <c r="L196" i="3"/>
  <c r="K196" i="3"/>
  <c r="Q195" i="3"/>
  <c r="P195" i="3"/>
  <c r="O195" i="3"/>
  <c r="N195" i="3"/>
  <c r="L195" i="3"/>
  <c r="K195" i="3"/>
  <c r="Q194" i="3"/>
  <c r="P194" i="3"/>
  <c r="O194" i="3"/>
  <c r="N194" i="3"/>
  <c r="L194" i="3"/>
  <c r="K194" i="3"/>
  <c r="Q193" i="3"/>
  <c r="P193" i="3"/>
  <c r="O193" i="3"/>
  <c r="N193" i="3"/>
  <c r="L193" i="3"/>
  <c r="K193" i="3"/>
  <c r="Q192" i="3"/>
  <c r="P192" i="3"/>
  <c r="O192" i="3"/>
  <c r="N192" i="3"/>
  <c r="L192" i="3"/>
  <c r="K192" i="3"/>
  <c r="Q191" i="3"/>
  <c r="P191" i="3"/>
  <c r="O191" i="3"/>
  <c r="N191" i="3"/>
  <c r="L191" i="3"/>
  <c r="K191" i="3"/>
  <c r="Q190" i="3"/>
  <c r="P190" i="3"/>
  <c r="O190" i="3"/>
  <c r="N190" i="3"/>
  <c r="L190" i="3"/>
  <c r="K190" i="3"/>
  <c r="Q189" i="3"/>
  <c r="P189" i="3"/>
  <c r="O189" i="3"/>
  <c r="N189" i="3"/>
  <c r="L189" i="3"/>
  <c r="K189" i="3"/>
  <c r="Q188" i="3"/>
  <c r="P188" i="3"/>
  <c r="O188" i="3"/>
  <c r="N188" i="3"/>
  <c r="L188" i="3"/>
  <c r="K188" i="3"/>
  <c r="Q187" i="3"/>
  <c r="P187" i="3"/>
  <c r="O187" i="3"/>
  <c r="N187" i="3"/>
  <c r="L187" i="3"/>
  <c r="K187" i="3"/>
  <c r="Q186" i="3"/>
  <c r="P186" i="3"/>
  <c r="O186" i="3"/>
  <c r="N186" i="3"/>
  <c r="L186" i="3"/>
  <c r="K186" i="3"/>
  <c r="Q185" i="3"/>
  <c r="P185" i="3"/>
  <c r="O185" i="3"/>
  <c r="N185" i="3"/>
  <c r="L185" i="3"/>
  <c r="K185" i="3"/>
  <c r="Q184" i="3"/>
  <c r="P184" i="3"/>
  <c r="O184" i="3"/>
  <c r="N184" i="3"/>
  <c r="L184" i="3"/>
  <c r="K184" i="3"/>
  <c r="Q183" i="3"/>
  <c r="P183" i="3"/>
  <c r="O183" i="3"/>
  <c r="N183" i="3"/>
  <c r="L183" i="3"/>
  <c r="K183" i="3"/>
  <c r="Q182" i="3"/>
  <c r="P182" i="3"/>
  <c r="O182" i="3"/>
  <c r="N182" i="3"/>
  <c r="L182" i="3"/>
  <c r="K182" i="3"/>
  <c r="Q181" i="3"/>
  <c r="P181" i="3"/>
  <c r="O181" i="3"/>
  <c r="N181" i="3"/>
  <c r="L181" i="3"/>
  <c r="K181" i="3"/>
  <c r="Q180" i="3"/>
  <c r="P180" i="3"/>
  <c r="O180" i="3"/>
  <c r="N180" i="3"/>
  <c r="L180" i="3"/>
  <c r="K180" i="3"/>
  <c r="Q179" i="3"/>
  <c r="P179" i="3"/>
  <c r="O179" i="3"/>
  <c r="N179" i="3"/>
  <c r="L179" i="3"/>
  <c r="K179" i="3"/>
  <c r="Q178" i="3"/>
  <c r="P178" i="3"/>
  <c r="O178" i="3"/>
  <c r="N178" i="3"/>
  <c r="L178" i="3"/>
  <c r="K178" i="3"/>
  <c r="Q177" i="3"/>
  <c r="P177" i="3"/>
  <c r="O177" i="3"/>
  <c r="N177" i="3"/>
  <c r="L177" i="3"/>
  <c r="K177" i="3"/>
  <c r="Q176" i="3"/>
  <c r="P176" i="3"/>
  <c r="O176" i="3"/>
  <c r="N176" i="3"/>
  <c r="L176" i="3"/>
  <c r="K176" i="3"/>
  <c r="Q175" i="3"/>
  <c r="P175" i="3"/>
  <c r="O175" i="3"/>
  <c r="N175" i="3"/>
  <c r="L175" i="3"/>
  <c r="K175" i="3"/>
  <c r="Q174" i="3"/>
  <c r="P174" i="3"/>
  <c r="O174" i="3"/>
  <c r="N174" i="3"/>
  <c r="L174" i="3"/>
  <c r="K174" i="3"/>
  <c r="Q173" i="3"/>
  <c r="P173" i="3"/>
  <c r="O173" i="3"/>
  <c r="N173" i="3"/>
  <c r="L173" i="3"/>
  <c r="K173" i="3"/>
  <c r="Q172" i="3"/>
  <c r="P172" i="3"/>
  <c r="O172" i="3"/>
  <c r="N172" i="3"/>
  <c r="L172" i="3"/>
  <c r="K172" i="3"/>
  <c r="Q171" i="3"/>
  <c r="P171" i="3"/>
  <c r="O171" i="3"/>
  <c r="N171" i="3"/>
  <c r="L171" i="3"/>
  <c r="K171" i="3"/>
  <c r="Q170" i="3"/>
  <c r="P170" i="3"/>
  <c r="O170" i="3"/>
  <c r="N170" i="3"/>
  <c r="L170" i="3"/>
  <c r="K170" i="3"/>
  <c r="Q169" i="3"/>
  <c r="P169" i="3"/>
  <c r="O169" i="3"/>
  <c r="N169" i="3"/>
  <c r="L169" i="3"/>
  <c r="K169" i="3"/>
  <c r="Q168" i="3"/>
  <c r="P168" i="3"/>
  <c r="O168" i="3"/>
  <c r="N168" i="3"/>
  <c r="L168" i="3"/>
  <c r="K168" i="3"/>
  <c r="Q167" i="3"/>
  <c r="P167" i="3"/>
  <c r="O167" i="3"/>
  <c r="N167" i="3"/>
  <c r="L167" i="3"/>
  <c r="K167" i="3"/>
  <c r="Q166" i="3"/>
  <c r="P166" i="3"/>
  <c r="O166" i="3"/>
  <c r="N166" i="3"/>
  <c r="L166" i="3"/>
  <c r="K166" i="3"/>
  <c r="Q165" i="3"/>
  <c r="P165" i="3"/>
  <c r="O165" i="3"/>
  <c r="N165" i="3"/>
  <c r="L165" i="3"/>
  <c r="K165" i="3"/>
  <c r="Q164" i="3"/>
  <c r="P164" i="3"/>
  <c r="O164" i="3"/>
  <c r="N164" i="3"/>
  <c r="L164" i="3"/>
  <c r="K164" i="3"/>
  <c r="Q163" i="3"/>
  <c r="P163" i="3"/>
  <c r="O163" i="3"/>
  <c r="N163" i="3"/>
  <c r="L163" i="3"/>
  <c r="K163" i="3"/>
  <c r="Q162" i="3"/>
  <c r="P162" i="3"/>
  <c r="O162" i="3"/>
  <c r="N162" i="3"/>
  <c r="L162" i="3"/>
  <c r="K162" i="3"/>
  <c r="Q161" i="3"/>
  <c r="P161" i="3"/>
  <c r="O161" i="3"/>
  <c r="N161" i="3"/>
  <c r="L161" i="3"/>
  <c r="K161" i="3"/>
  <c r="Q160" i="3"/>
  <c r="P160" i="3"/>
  <c r="O160" i="3"/>
  <c r="N160" i="3"/>
  <c r="L160" i="3"/>
  <c r="K160" i="3"/>
  <c r="Q159" i="3"/>
  <c r="P159" i="3"/>
  <c r="O159" i="3"/>
  <c r="N159" i="3"/>
  <c r="L159" i="3"/>
  <c r="K159" i="3"/>
  <c r="Q158" i="3"/>
  <c r="P158" i="3"/>
  <c r="O158" i="3"/>
  <c r="N158" i="3"/>
  <c r="L158" i="3"/>
  <c r="K158" i="3"/>
  <c r="Q157" i="3"/>
  <c r="P157" i="3"/>
  <c r="O157" i="3"/>
  <c r="N157" i="3"/>
  <c r="L157" i="3"/>
  <c r="K157" i="3"/>
  <c r="Q156" i="3"/>
  <c r="P156" i="3"/>
  <c r="O156" i="3"/>
  <c r="N156" i="3"/>
  <c r="L156" i="3"/>
  <c r="K156" i="3"/>
  <c r="Q155" i="3"/>
  <c r="P155" i="3"/>
  <c r="O155" i="3"/>
  <c r="N155" i="3"/>
  <c r="L155" i="3"/>
  <c r="K155" i="3"/>
  <c r="Q154" i="3"/>
  <c r="P154" i="3"/>
  <c r="O154" i="3"/>
  <c r="N154" i="3"/>
  <c r="L154" i="3"/>
  <c r="K154" i="3"/>
  <c r="Q153" i="3"/>
  <c r="P153" i="3"/>
  <c r="O153" i="3"/>
  <c r="N153" i="3"/>
  <c r="L153" i="3"/>
  <c r="K153" i="3"/>
  <c r="Q152" i="3"/>
  <c r="P152" i="3"/>
  <c r="O152" i="3"/>
  <c r="N152" i="3"/>
  <c r="L152" i="3"/>
  <c r="K152" i="3"/>
  <c r="Q151" i="3"/>
  <c r="P151" i="3"/>
  <c r="O151" i="3"/>
  <c r="N151" i="3"/>
  <c r="L151" i="3"/>
  <c r="K151" i="3"/>
  <c r="Q150" i="3"/>
  <c r="P150" i="3"/>
  <c r="O150" i="3"/>
  <c r="N150" i="3"/>
  <c r="L150" i="3"/>
  <c r="K150" i="3"/>
  <c r="Q149" i="3"/>
  <c r="P149" i="3"/>
  <c r="O149" i="3"/>
  <c r="N149" i="3"/>
  <c r="L149" i="3"/>
  <c r="K149" i="3"/>
  <c r="Q148" i="3"/>
  <c r="P148" i="3"/>
  <c r="O148" i="3"/>
  <c r="N148" i="3"/>
  <c r="L148" i="3"/>
  <c r="K148" i="3"/>
  <c r="Q147" i="3"/>
  <c r="P147" i="3"/>
  <c r="O147" i="3"/>
  <c r="N147" i="3"/>
  <c r="L147" i="3"/>
  <c r="K147" i="3"/>
  <c r="Q146" i="3"/>
  <c r="P146" i="3"/>
  <c r="O146" i="3"/>
  <c r="N146" i="3"/>
  <c r="L146" i="3"/>
  <c r="K146" i="3"/>
  <c r="Q145" i="3"/>
  <c r="P145" i="3"/>
  <c r="O145" i="3"/>
  <c r="N145" i="3"/>
  <c r="L145" i="3"/>
  <c r="K145" i="3"/>
  <c r="Q144" i="3"/>
  <c r="P144" i="3"/>
  <c r="O144" i="3"/>
  <c r="N144" i="3"/>
  <c r="L144" i="3"/>
  <c r="K144" i="3"/>
  <c r="Q143" i="3"/>
  <c r="P143" i="3"/>
  <c r="O143" i="3"/>
  <c r="N143" i="3"/>
  <c r="L143" i="3"/>
  <c r="K143" i="3"/>
  <c r="Q142" i="3"/>
  <c r="P142" i="3"/>
  <c r="O142" i="3"/>
  <c r="N142" i="3"/>
  <c r="L142" i="3"/>
  <c r="K142" i="3"/>
  <c r="Q141" i="3"/>
  <c r="P141" i="3"/>
  <c r="O141" i="3"/>
  <c r="N141" i="3"/>
  <c r="L141" i="3"/>
  <c r="K141" i="3"/>
  <c r="Q140" i="3"/>
  <c r="P140" i="3"/>
  <c r="O140" i="3"/>
  <c r="N140" i="3"/>
  <c r="L140" i="3"/>
  <c r="K140" i="3"/>
  <c r="Q139" i="3"/>
  <c r="P139" i="3"/>
  <c r="O139" i="3"/>
  <c r="N139" i="3"/>
  <c r="L139" i="3"/>
  <c r="K139" i="3"/>
  <c r="Q138" i="3"/>
  <c r="P138" i="3"/>
  <c r="O138" i="3"/>
  <c r="N138" i="3"/>
  <c r="L138" i="3"/>
  <c r="K138" i="3"/>
  <c r="Q137" i="3"/>
  <c r="P137" i="3"/>
  <c r="O137" i="3"/>
  <c r="N137" i="3"/>
  <c r="L137" i="3"/>
  <c r="K137" i="3"/>
  <c r="Q136" i="3"/>
  <c r="P136" i="3"/>
  <c r="O136" i="3"/>
  <c r="N136" i="3"/>
  <c r="L136" i="3"/>
  <c r="K136" i="3"/>
  <c r="Q135" i="3"/>
  <c r="P135" i="3"/>
  <c r="O135" i="3"/>
  <c r="N135" i="3"/>
  <c r="L135" i="3"/>
  <c r="K135" i="3"/>
  <c r="Q134" i="3"/>
  <c r="P134" i="3"/>
  <c r="O134" i="3"/>
  <c r="N134" i="3"/>
  <c r="L134" i="3"/>
  <c r="K134" i="3"/>
  <c r="Q133" i="3"/>
  <c r="P133" i="3"/>
  <c r="O133" i="3"/>
  <c r="N133" i="3"/>
  <c r="L133" i="3"/>
  <c r="K133" i="3"/>
  <c r="Q132" i="3"/>
  <c r="P132" i="3"/>
  <c r="O132" i="3"/>
  <c r="N132" i="3"/>
  <c r="L132" i="3"/>
  <c r="K132" i="3"/>
  <c r="Q131" i="3"/>
  <c r="P131" i="3"/>
  <c r="O131" i="3"/>
  <c r="N131" i="3"/>
  <c r="L131" i="3"/>
  <c r="K131" i="3"/>
  <c r="Q130" i="3"/>
  <c r="P130" i="3"/>
  <c r="O130" i="3"/>
  <c r="N130" i="3"/>
  <c r="L130" i="3"/>
  <c r="K130" i="3"/>
  <c r="Q129" i="3"/>
  <c r="P129" i="3"/>
  <c r="O129" i="3"/>
  <c r="N129" i="3"/>
  <c r="L129" i="3"/>
  <c r="K129" i="3"/>
  <c r="Q128" i="3"/>
  <c r="P128" i="3"/>
  <c r="O128" i="3"/>
  <c r="N128" i="3"/>
  <c r="L128" i="3"/>
  <c r="K128" i="3"/>
  <c r="Q127" i="3"/>
  <c r="P127" i="3"/>
  <c r="O127" i="3"/>
  <c r="N127" i="3"/>
  <c r="L127" i="3"/>
  <c r="K127" i="3"/>
  <c r="Q126" i="3"/>
  <c r="P126" i="3"/>
  <c r="O126" i="3"/>
  <c r="N126" i="3"/>
  <c r="L126" i="3"/>
  <c r="K126" i="3"/>
  <c r="Q125" i="3"/>
  <c r="P125" i="3"/>
  <c r="O125" i="3"/>
  <c r="N125" i="3"/>
  <c r="L125" i="3"/>
  <c r="K125" i="3"/>
  <c r="Q124" i="3"/>
  <c r="P124" i="3"/>
  <c r="O124" i="3"/>
  <c r="N124" i="3"/>
  <c r="L124" i="3"/>
  <c r="K124" i="3"/>
  <c r="Q123" i="3"/>
  <c r="P123" i="3"/>
  <c r="G6" i="6" s="1"/>
  <c r="O123" i="3"/>
  <c r="N123" i="3"/>
  <c r="F6" i="6" s="1"/>
  <c r="L123" i="3"/>
  <c r="K123" i="3"/>
  <c r="Q122" i="3"/>
  <c r="P122" i="3"/>
  <c r="G7" i="6" s="1"/>
  <c r="O122" i="3"/>
  <c r="N122" i="3"/>
  <c r="F7" i="6" s="1"/>
  <c r="L122" i="3"/>
  <c r="K122" i="3"/>
  <c r="Q121" i="3"/>
  <c r="P121" i="3"/>
  <c r="G5" i="6" s="1"/>
  <c r="O121" i="3"/>
  <c r="N121" i="3"/>
  <c r="F5" i="6" s="1"/>
  <c r="L121" i="3"/>
  <c r="K121" i="3"/>
  <c r="Q120" i="3"/>
  <c r="P120" i="3"/>
  <c r="G9" i="6" s="1"/>
  <c r="O120" i="3"/>
  <c r="N120" i="3"/>
  <c r="F9" i="6" s="1"/>
  <c r="L120" i="3"/>
  <c r="K120" i="3"/>
  <c r="Q119" i="3"/>
  <c r="P119" i="3"/>
  <c r="O119" i="3"/>
  <c r="N119" i="3"/>
  <c r="L119" i="3"/>
  <c r="K119" i="3"/>
  <c r="Q118" i="3"/>
  <c r="P118" i="3"/>
  <c r="G10" i="6" s="1"/>
  <c r="O118" i="3"/>
  <c r="N118" i="3"/>
  <c r="F10" i="6" s="1"/>
  <c r="L118" i="3"/>
  <c r="K118" i="3"/>
  <c r="Q117" i="3"/>
  <c r="P117" i="3"/>
  <c r="O117" i="3"/>
  <c r="N117" i="3"/>
  <c r="F8" i="6" s="1"/>
  <c r="L117" i="3"/>
  <c r="K117" i="3"/>
  <c r="Q116" i="3"/>
  <c r="P116" i="3"/>
  <c r="O116" i="3"/>
  <c r="N116" i="3"/>
  <c r="L116" i="3"/>
  <c r="K116" i="3"/>
  <c r="Q115" i="3"/>
  <c r="P115" i="3"/>
  <c r="O115" i="3"/>
  <c r="N115" i="3"/>
  <c r="L115" i="3"/>
  <c r="K115" i="3"/>
  <c r="Q114" i="3"/>
  <c r="P114" i="3"/>
  <c r="O114" i="3"/>
  <c r="N114" i="3"/>
  <c r="L114" i="3"/>
  <c r="K114" i="3"/>
  <c r="Q113" i="3"/>
  <c r="P113" i="3"/>
  <c r="O113" i="3"/>
  <c r="N113" i="3"/>
  <c r="L113" i="3"/>
  <c r="K113" i="3"/>
  <c r="Q112" i="3"/>
  <c r="P112" i="3"/>
  <c r="O112" i="3"/>
  <c r="N112" i="3"/>
  <c r="L112" i="3"/>
  <c r="K112" i="3"/>
  <c r="Q111" i="3"/>
  <c r="P111" i="3"/>
  <c r="O111" i="3"/>
  <c r="N111" i="3"/>
  <c r="L111" i="3"/>
  <c r="K111" i="3"/>
  <c r="Q110" i="3"/>
  <c r="P110" i="3"/>
  <c r="O110" i="3"/>
  <c r="N110" i="3"/>
  <c r="L110" i="3"/>
  <c r="K110" i="3"/>
  <c r="Q109" i="3"/>
  <c r="P109" i="3"/>
  <c r="O109" i="3"/>
  <c r="N109" i="3"/>
  <c r="L109" i="3"/>
  <c r="K109" i="3"/>
  <c r="Q108" i="3"/>
  <c r="P108" i="3"/>
  <c r="O108" i="3"/>
  <c r="N108" i="3"/>
  <c r="L108" i="3"/>
  <c r="K108" i="3"/>
  <c r="Q107" i="3"/>
  <c r="P107" i="3"/>
  <c r="O107" i="3"/>
  <c r="N107" i="3"/>
  <c r="L107" i="3"/>
  <c r="K107" i="3"/>
  <c r="Q106" i="3"/>
  <c r="P106" i="3"/>
  <c r="O106" i="3"/>
  <c r="N106" i="3"/>
  <c r="L106" i="3"/>
  <c r="K106" i="3"/>
  <c r="Q105" i="3"/>
  <c r="P105" i="3"/>
  <c r="O105" i="3"/>
  <c r="N105" i="3"/>
  <c r="L105" i="3"/>
  <c r="K105" i="3"/>
  <c r="Q104" i="3"/>
  <c r="P104" i="3"/>
  <c r="O104" i="3"/>
  <c r="N104" i="3"/>
  <c r="L104" i="3"/>
  <c r="K104" i="3"/>
  <c r="Q103" i="3"/>
  <c r="P103" i="3"/>
  <c r="O103" i="3"/>
  <c r="N103" i="3"/>
  <c r="L103" i="3"/>
  <c r="K103" i="3"/>
  <c r="Q102" i="3"/>
  <c r="P102" i="3"/>
  <c r="O102" i="3"/>
  <c r="N102" i="3"/>
  <c r="L102" i="3"/>
  <c r="K102" i="3"/>
  <c r="Q101" i="3"/>
  <c r="P101" i="3"/>
  <c r="O101" i="3"/>
  <c r="N101" i="3"/>
  <c r="L101" i="3"/>
  <c r="K101" i="3"/>
  <c r="Q100" i="3"/>
  <c r="P100" i="3"/>
  <c r="O100" i="3"/>
  <c r="N100" i="3"/>
  <c r="L100" i="3"/>
  <c r="K100" i="3"/>
  <c r="Q99" i="3"/>
  <c r="P99" i="3"/>
  <c r="O99" i="3"/>
  <c r="N99" i="3"/>
  <c r="L99" i="3"/>
  <c r="K99" i="3"/>
  <c r="Q98" i="3"/>
  <c r="P98" i="3"/>
  <c r="O98" i="3"/>
  <c r="N98" i="3"/>
  <c r="L98" i="3"/>
  <c r="K98" i="3"/>
  <c r="Q97" i="3"/>
  <c r="P97" i="3"/>
  <c r="O97" i="3"/>
  <c r="N97" i="3"/>
  <c r="L97" i="3"/>
  <c r="K97" i="3"/>
  <c r="Q96" i="3"/>
  <c r="P96" i="3"/>
  <c r="O96" i="3"/>
  <c r="N96" i="3"/>
  <c r="L96" i="3"/>
  <c r="K96" i="3"/>
  <c r="Q95" i="3"/>
  <c r="P95" i="3"/>
  <c r="O95" i="3"/>
  <c r="N95" i="3"/>
  <c r="L95" i="3"/>
  <c r="K95" i="3"/>
  <c r="Q94" i="3"/>
  <c r="P94" i="3"/>
  <c r="O94" i="3"/>
  <c r="N94" i="3"/>
  <c r="L94" i="3"/>
  <c r="K94" i="3"/>
  <c r="Q93" i="3"/>
  <c r="P93" i="3"/>
  <c r="O93" i="3"/>
  <c r="N93" i="3"/>
  <c r="L93" i="3"/>
  <c r="K93" i="3"/>
  <c r="Q92" i="3"/>
  <c r="P92" i="3"/>
  <c r="O92" i="3"/>
  <c r="N92" i="3"/>
  <c r="L92" i="3"/>
  <c r="K92" i="3"/>
  <c r="Q91" i="3"/>
  <c r="P91" i="3"/>
  <c r="O91" i="3"/>
  <c r="N91" i="3"/>
  <c r="L91" i="3"/>
  <c r="K91" i="3"/>
  <c r="Q90" i="3"/>
  <c r="P90" i="3"/>
  <c r="O90" i="3"/>
  <c r="N90" i="3"/>
  <c r="L90" i="3"/>
  <c r="K90" i="3"/>
  <c r="Q89" i="3"/>
  <c r="P89" i="3"/>
  <c r="O89" i="3"/>
  <c r="N89" i="3"/>
  <c r="L89" i="3"/>
  <c r="K89" i="3"/>
  <c r="Q88" i="3"/>
  <c r="P88" i="3"/>
  <c r="O88" i="3"/>
  <c r="N88" i="3"/>
  <c r="L88" i="3"/>
  <c r="K88" i="3"/>
  <c r="Q87" i="3"/>
  <c r="P87" i="3"/>
  <c r="O87" i="3"/>
  <c r="N87" i="3"/>
  <c r="L87" i="3"/>
  <c r="K87" i="3"/>
  <c r="Q86" i="3"/>
  <c r="P86" i="3"/>
  <c r="O86" i="3"/>
  <c r="N86" i="3"/>
  <c r="L86" i="3"/>
  <c r="K86" i="3"/>
  <c r="Q85" i="3"/>
  <c r="P85" i="3"/>
  <c r="O85" i="3"/>
  <c r="N85" i="3"/>
  <c r="L85" i="3"/>
  <c r="K85" i="3"/>
  <c r="Q84" i="3"/>
  <c r="P84" i="3"/>
  <c r="O84" i="3"/>
  <c r="N84" i="3"/>
  <c r="L84" i="3"/>
  <c r="K84" i="3"/>
  <c r="Q83" i="3"/>
  <c r="P83" i="3"/>
  <c r="O83" i="3"/>
  <c r="N83" i="3"/>
  <c r="L83" i="3"/>
  <c r="K83" i="3"/>
  <c r="Q82" i="3"/>
  <c r="P82" i="3"/>
  <c r="O82" i="3"/>
  <c r="N82" i="3"/>
  <c r="L82" i="3"/>
  <c r="K82" i="3"/>
  <c r="Q81" i="3"/>
  <c r="P81" i="3"/>
  <c r="O81" i="3"/>
  <c r="N81" i="3"/>
  <c r="L81" i="3"/>
  <c r="K81" i="3"/>
  <c r="Q80" i="3"/>
  <c r="P80" i="3"/>
  <c r="O80" i="3"/>
  <c r="N80" i="3"/>
  <c r="L80" i="3"/>
  <c r="K80" i="3"/>
  <c r="Q79" i="3"/>
  <c r="P79" i="3"/>
  <c r="O79" i="3"/>
  <c r="N79" i="3"/>
  <c r="L79" i="3"/>
  <c r="K79" i="3"/>
  <c r="Q78" i="3"/>
  <c r="P78" i="3"/>
  <c r="O78" i="3"/>
  <c r="N78" i="3"/>
  <c r="L78" i="3"/>
  <c r="K78" i="3"/>
  <c r="Q77" i="3"/>
  <c r="P77" i="3"/>
  <c r="O77" i="3"/>
  <c r="N77" i="3"/>
  <c r="L77" i="3"/>
  <c r="K77" i="3"/>
  <c r="Q76" i="3"/>
  <c r="P76" i="3"/>
  <c r="O76" i="3"/>
  <c r="N76" i="3"/>
  <c r="L76" i="3"/>
  <c r="K76" i="3"/>
  <c r="Q75" i="3"/>
  <c r="P75" i="3"/>
  <c r="O75" i="3"/>
  <c r="N75" i="3"/>
  <c r="L75" i="3"/>
  <c r="K75" i="3"/>
  <c r="Q74" i="3"/>
  <c r="P74" i="3"/>
  <c r="O74" i="3"/>
  <c r="N74" i="3"/>
  <c r="L74" i="3"/>
  <c r="K74" i="3"/>
  <c r="Q73" i="3"/>
  <c r="P73" i="3"/>
  <c r="O73" i="3"/>
  <c r="N73" i="3"/>
  <c r="L73" i="3"/>
  <c r="K73" i="3"/>
  <c r="Q72" i="3"/>
  <c r="P72" i="3"/>
  <c r="O72" i="3"/>
  <c r="N72" i="3"/>
  <c r="L72" i="3"/>
  <c r="K72" i="3"/>
  <c r="Q71" i="3"/>
  <c r="P71" i="3"/>
  <c r="O71" i="3"/>
  <c r="N71" i="3"/>
  <c r="L71" i="3"/>
  <c r="K71" i="3"/>
  <c r="Q70" i="3"/>
  <c r="P70" i="3"/>
  <c r="O70" i="3"/>
  <c r="N70" i="3"/>
  <c r="L70" i="3"/>
  <c r="K70" i="3"/>
  <c r="Q69" i="3"/>
  <c r="P69" i="3"/>
  <c r="O69" i="3"/>
  <c r="N69" i="3"/>
  <c r="L69" i="3"/>
  <c r="K69" i="3"/>
  <c r="Q68" i="3"/>
  <c r="P68" i="3"/>
  <c r="O68" i="3"/>
  <c r="N68" i="3"/>
  <c r="L68" i="3"/>
  <c r="K68" i="3"/>
  <c r="Q67" i="3"/>
  <c r="P67" i="3"/>
  <c r="O67" i="3"/>
  <c r="N67" i="3"/>
  <c r="L67" i="3"/>
  <c r="K67" i="3"/>
  <c r="Q66" i="3"/>
  <c r="P66" i="3"/>
  <c r="O66" i="3"/>
  <c r="N66" i="3"/>
  <c r="L66" i="3"/>
  <c r="K66" i="3"/>
  <c r="Q65" i="3"/>
  <c r="P65" i="3"/>
  <c r="O65" i="3"/>
  <c r="N65" i="3"/>
  <c r="L65" i="3"/>
  <c r="K65" i="3"/>
  <c r="Q64" i="3"/>
  <c r="P64" i="3"/>
  <c r="O64" i="3"/>
  <c r="N64" i="3"/>
  <c r="L64" i="3"/>
  <c r="K64" i="3"/>
  <c r="Q63" i="3"/>
  <c r="P63" i="3"/>
  <c r="O63" i="3"/>
  <c r="N63" i="3"/>
  <c r="L63" i="3"/>
  <c r="K63" i="3"/>
  <c r="Q62" i="3"/>
  <c r="P62" i="3"/>
  <c r="O62" i="3"/>
  <c r="N62" i="3"/>
  <c r="L62" i="3"/>
  <c r="K62" i="3"/>
  <c r="Q61" i="3"/>
  <c r="P61" i="3"/>
  <c r="O61" i="3"/>
  <c r="N61" i="3"/>
  <c r="L61" i="3"/>
  <c r="K61" i="3"/>
  <c r="Q60" i="3"/>
  <c r="P60" i="3"/>
  <c r="O60" i="3"/>
  <c r="N60" i="3"/>
  <c r="L60" i="3"/>
  <c r="K60" i="3"/>
  <c r="Q59" i="3"/>
  <c r="P59" i="3"/>
  <c r="O59" i="3"/>
  <c r="N59" i="3"/>
  <c r="L59" i="3"/>
  <c r="K59" i="3"/>
  <c r="Q58" i="3"/>
  <c r="P58" i="3"/>
  <c r="O58" i="3"/>
  <c r="N58" i="3"/>
  <c r="L58" i="3"/>
  <c r="K58" i="3"/>
  <c r="Q57" i="3"/>
  <c r="P57" i="3"/>
  <c r="O57" i="3"/>
  <c r="N57" i="3"/>
  <c r="L57" i="3"/>
  <c r="K57" i="3"/>
  <c r="Q56" i="3"/>
  <c r="P56" i="3"/>
  <c r="O56" i="3"/>
  <c r="N56" i="3"/>
  <c r="L56" i="3"/>
  <c r="K56" i="3"/>
  <c r="Q55" i="3"/>
  <c r="P55" i="3"/>
  <c r="O55" i="3"/>
  <c r="N55" i="3"/>
  <c r="L55" i="3"/>
  <c r="K55" i="3"/>
  <c r="Q54" i="3"/>
  <c r="P54" i="3"/>
  <c r="O54" i="3"/>
  <c r="N54" i="3"/>
  <c r="L54" i="3"/>
  <c r="K54" i="3"/>
  <c r="Q53" i="3"/>
  <c r="P53" i="3"/>
  <c r="O53" i="3"/>
  <c r="N53" i="3"/>
  <c r="L53" i="3"/>
  <c r="K53" i="3"/>
  <c r="Q52" i="3"/>
  <c r="P52" i="3"/>
  <c r="O52" i="3"/>
  <c r="N52" i="3"/>
  <c r="L52" i="3"/>
  <c r="K52" i="3"/>
  <c r="Q51" i="3"/>
  <c r="P51" i="3"/>
  <c r="O51" i="3"/>
  <c r="N51" i="3"/>
  <c r="L51" i="3"/>
  <c r="K51" i="3"/>
  <c r="Q50" i="3"/>
  <c r="P50" i="3"/>
  <c r="O50" i="3"/>
  <c r="N50" i="3"/>
  <c r="L50" i="3"/>
  <c r="K50" i="3"/>
  <c r="Q49" i="3"/>
  <c r="P49" i="3"/>
  <c r="O49" i="3"/>
  <c r="N49" i="3"/>
  <c r="L49" i="3"/>
  <c r="K49" i="3"/>
  <c r="Q48" i="3"/>
  <c r="P48" i="3"/>
  <c r="O48" i="3"/>
  <c r="N48" i="3"/>
  <c r="L48" i="3"/>
  <c r="K48" i="3"/>
  <c r="Q47" i="3"/>
  <c r="P47" i="3"/>
  <c r="O47" i="3"/>
  <c r="N47" i="3"/>
  <c r="L47" i="3"/>
  <c r="K47" i="3"/>
  <c r="Q46" i="3"/>
  <c r="P46" i="3"/>
  <c r="O46" i="3"/>
  <c r="N46" i="3"/>
  <c r="L46" i="3"/>
  <c r="K46" i="3"/>
  <c r="Q45" i="3"/>
  <c r="P45" i="3"/>
  <c r="O45" i="3"/>
  <c r="N45" i="3"/>
  <c r="L45" i="3"/>
  <c r="K45" i="3"/>
  <c r="Q44" i="3"/>
  <c r="P44" i="3"/>
  <c r="O44" i="3"/>
  <c r="N44" i="3"/>
  <c r="L44" i="3"/>
  <c r="K44" i="3"/>
  <c r="Q43" i="3"/>
  <c r="P43" i="3"/>
  <c r="O43" i="3"/>
  <c r="N43" i="3"/>
  <c r="L43" i="3"/>
  <c r="K43" i="3"/>
  <c r="Q42" i="3"/>
  <c r="P42" i="3"/>
  <c r="O42" i="3"/>
  <c r="N42" i="3"/>
  <c r="L42" i="3"/>
  <c r="K42" i="3"/>
  <c r="Q41" i="3"/>
  <c r="P41" i="3"/>
  <c r="O41" i="3"/>
  <c r="N41" i="3"/>
  <c r="L41" i="3"/>
  <c r="K41" i="3"/>
  <c r="Q40" i="3"/>
  <c r="P40" i="3"/>
  <c r="O40" i="3"/>
  <c r="N40" i="3"/>
  <c r="L40" i="3"/>
  <c r="K40" i="3"/>
  <c r="Q39" i="3"/>
  <c r="P39" i="3"/>
  <c r="O39" i="3"/>
  <c r="N39" i="3"/>
  <c r="L39" i="3"/>
  <c r="K39" i="3"/>
  <c r="Q38" i="3"/>
  <c r="P38" i="3"/>
  <c r="O38" i="3"/>
  <c r="N38" i="3"/>
  <c r="L38" i="3"/>
  <c r="K38" i="3"/>
  <c r="Q37" i="3"/>
  <c r="P37" i="3"/>
  <c r="O37" i="3"/>
  <c r="N37" i="3"/>
  <c r="L37" i="3"/>
  <c r="K37" i="3"/>
  <c r="Q36" i="3"/>
  <c r="P36" i="3"/>
  <c r="O36" i="3"/>
  <c r="N36" i="3"/>
  <c r="L36" i="3"/>
  <c r="K36" i="3"/>
  <c r="Q35" i="3"/>
  <c r="P35" i="3"/>
  <c r="O35" i="3"/>
  <c r="N35" i="3"/>
  <c r="L35" i="3"/>
  <c r="K35" i="3"/>
  <c r="Q34" i="3"/>
  <c r="P34" i="3"/>
  <c r="O34" i="3"/>
  <c r="N34" i="3"/>
  <c r="L34" i="3"/>
  <c r="K34" i="3"/>
  <c r="Q33" i="3"/>
  <c r="P33" i="3"/>
  <c r="O33" i="3"/>
  <c r="N33" i="3"/>
  <c r="L33" i="3"/>
  <c r="K33" i="3"/>
  <c r="Q32" i="3"/>
  <c r="P32" i="3"/>
  <c r="O32" i="3"/>
  <c r="N32" i="3"/>
  <c r="L32" i="3"/>
  <c r="K32" i="3"/>
  <c r="Q31" i="3"/>
  <c r="P31" i="3"/>
  <c r="O31" i="3"/>
  <c r="N31" i="3"/>
  <c r="L31" i="3"/>
  <c r="K31" i="3"/>
  <c r="Q30" i="3"/>
  <c r="P30" i="3"/>
  <c r="O30" i="3"/>
  <c r="N30" i="3"/>
  <c r="L30" i="3"/>
  <c r="K30" i="3"/>
  <c r="Q29" i="3"/>
  <c r="P29" i="3"/>
  <c r="O29" i="3"/>
  <c r="N29" i="3"/>
  <c r="L29" i="3"/>
  <c r="K29" i="3"/>
  <c r="Q28" i="3"/>
  <c r="P28" i="3"/>
  <c r="O28" i="3"/>
  <c r="N28" i="3"/>
  <c r="L28" i="3"/>
  <c r="K28" i="3"/>
  <c r="Q27" i="3"/>
  <c r="P27" i="3"/>
  <c r="O27" i="3"/>
  <c r="N27" i="3"/>
  <c r="L27" i="3"/>
  <c r="K27" i="3"/>
  <c r="Q26" i="3"/>
  <c r="P26" i="3"/>
  <c r="O26" i="3"/>
  <c r="N26" i="3"/>
  <c r="L26" i="3"/>
  <c r="K26" i="3"/>
  <c r="Q25" i="3"/>
  <c r="P25" i="3"/>
  <c r="O25" i="3"/>
  <c r="N25" i="3"/>
  <c r="L25" i="3"/>
  <c r="K25" i="3"/>
  <c r="Q24" i="3"/>
  <c r="P24" i="3"/>
  <c r="O24" i="3"/>
  <c r="N24" i="3"/>
  <c r="L24" i="3"/>
  <c r="K24" i="3"/>
  <c r="Q23" i="3"/>
  <c r="P23" i="3"/>
  <c r="O23" i="3"/>
  <c r="N23" i="3"/>
  <c r="L23" i="3"/>
  <c r="K23" i="3"/>
  <c r="Q22" i="3"/>
  <c r="P22" i="3"/>
  <c r="O22" i="3"/>
  <c r="N22" i="3"/>
  <c r="L22" i="3"/>
  <c r="K22" i="3"/>
  <c r="Q21" i="3"/>
  <c r="P21" i="3"/>
  <c r="O21" i="3"/>
  <c r="N21" i="3"/>
  <c r="L21" i="3"/>
  <c r="K21" i="3"/>
  <c r="Q20" i="3"/>
  <c r="P20" i="3"/>
  <c r="O20" i="3"/>
  <c r="N20" i="3"/>
  <c r="L20" i="3"/>
  <c r="K20" i="3"/>
  <c r="Q19" i="3"/>
  <c r="P19" i="3"/>
  <c r="O19" i="3"/>
  <c r="N19" i="3"/>
  <c r="L19" i="3"/>
  <c r="K19" i="3"/>
  <c r="Q18" i="3"/>
  <c r="P18" i="3"/>
  <c r="O18" i="3"/>
  <c r="N18" i="3"/>
  <c r="L18" i="3"/>
  <c r="K18" i="3"/>
  <c r="Q17" i="3"/>
  <c r="P17" i="3"/>
  <c r="O17" i="3"/>
  <c r="N17" i="3"/>
  <c r="L17" i="3"/>
  <c r="K17" i="3"/>
  <c r="Q16" i="3"/>
  <c r="P16" i="3"/>
  <c r="O16" i="3"/>
  <c r="N16" i="3"/>
  <c r="L16" i="3"/>
  <c r="K16" i="3"/>
  <c r="Q15" i="3"/>
  <c r="P15" i="3"/>
  <c r="O15" i="3"/>
  <c r="N15" i="3"/>
  <c r="L15" i="3"/>
  <c r="K15" i="3"/>
  <c r="Q14" i="3"/>
  <c r="P14" i="3"/>
  <c r="O14" i="3"/>
  <c r="N14" i="3"/>
  <c r="L14" i="3"/>
  <c r="K14" i="3"/>
  <c r="Q13" i="3"/>
  <c r="P13" i="3"/>
  <c r="O13" i="3"/>
  <c r="N13" i="3"/>
  <c r="L13" i="3"/>
  <c r="K13" i="3"/>
  <c r="Q12" i="3"/>
  <c r="P12" i="3"/>
  <c r="O12" i="3"/>
  <c r="N12" i="3"/>
  <c r="L12" i="3"/>
  <c r="K12" i="3"/>
  <c r="Q11" i="3"/>
  <c r="P11" i="3"/>
  <c r="O11" i="3"/>
  <c r="N11" i="3"/>
  <c r="L11" i="3"/>
  <c r="K11" i="3"/>
  <c r="Q10" i="3"/>
  <c r="P10" i="3"/>
  <c r="O10" i="3"/>
  <c r="N10" i="3"/>
  <c r="L10" i="3"/>
  <c r="K10" i="3"/>
  <c r="Q9" i="3"/>
  <c r="P9" i="3"/>
  <c r="O9" i="3"/>
  <c r="N9" i="3"/>
  <c r="L9" i="3"/>
  <c r="K9" i="3"/>
  <c r="Q8" i="3"/>
  <c r="P8" i="3"/>
  <c r="O8" i="3"/>
  <c r="N8" i="3"/>
  <c r="L8" i="3"/>
  <c r="K8" i="3"/>
  <c r="Q7" i="3"/>
  <c r="P7" i="3"/>
  <c r="O7" i="3"/>
  <c r="N7" i="3"/>
  <c r="L7" i="3"/>
  <c r="K7" i="3"/>
  <c r="Q6" i="3"/>
  <c r="P6" i="3"/>
  <c r="O6" i="3"/>
  <c r="N6" i="3"/>
  <c r="L6" i="3"/>
  <c r="K6" i="3"/>
  <c r="Q5" i="3"/>
  <c r="P5" i="3"/>
  <c r="O5" i="3"/>
  <c r="N5" i="3"/>
  <c r="L5" i="3"/>
  <c r="K5" i="3"/>
  <c r="Q4" i="3"/>
  <c r="P4" i="3"/>
  <c r="O4" i="3"/>
  <c r="N4" i="3"/>
  <c r="L4" i="3"/>
  <c r="K4" i="3"/>
  <c r="Q3" i="3"/>
  <c r="P3" i="3"/>
  <c r="O3" i="3"/>
  <c r="N3" i="3"/>
  <c r="L3" i="3"/>
  <c r="K3" i="3"/>
  <c r="Q2" i="3"/>
  <c r="P2" i="3"/>
  <c r="O2" i="3"/>
  <c r="N2" i="3"/>
  <c r="L2" i="3"/>
  <c r="K2" i="3"/>
  <c r="C20" i="1"/>
  <c r="B8" i="1"/>
  <c r="B7" i="1"/>
  <c r="M1534" i="3" l="1"/>
  <c r="R1534" i="3"/>
  <c r="M1533" i="3"/>
  <c r="R1533" i="3"/>
  <c r="M1532" i="3"/>
  <c r="R1532" i="3"/>
  <c r="M1531" i="3"/>
  <c r="R1531" i="3" s="1"/>
  <c r="M1530" i="3"/>
  <c r="R1530" i="3"/>
  <c r="M1529" i="3"/>
  <c r="R1529" i="3"/>
  <c r="M1528" i="3"/>
  <c r="R1528" i="3"/>
  <c r="M1527" i="3"/>
  <c r="R1527" i="3"/>
  <c r="M1526" i="3"/>
  <c r="R1526" i="3" s="1"/>
  <c r="M1525" i="3"/>
  <c r="R1525" i="3"/>
  <c r="M1524" i="3"/>
  <c r="R1524" i="3" s="1"/>
  <c r="M1523" i="3"/>
  <c r="R1523" i="3"/>
  <c r="M1522" i="3"/>
  <c r="R1522" i="3"/>
  <c r="M1521" i="3"/>
  <c r="R1521" i="3"/>
  <c r="M1520" i="3"/>
  <c r="R1520" i="3"/>
  <c r="M1519" i="3"/>
  <c r="R1519" i="3" s="1"/>
  <c r="M1518" i="3"/>
  <c r="R1518" i="3" s="1"/>
  <c r="M1517" i="3"/>
  <c r="R1517" i="3"/>
  <c r="M1516" i="3"/>
  <c r="R1516" i="3"/>
  <c r="M1515" i="3"/>
  <c r="R1515" i="3"/>
  <c r="M1514" i="3"/>
  <c r="R1514" i="3"/>
  <c r="M1513" i="3"/>
  <c r="R1513" i="3"/>
  <c r="M1512" i="3"/>
  <c r="R1512" i="3" s="1"/>
  <c r="M1511" i="3"/>
  <c r="R1511" i="3"/>
  <c r="M1510" i="3"/>
  <c r="R1510" i="3" s="1"/>
  <c r="M1509" i="3"/>
  <c r="R1509" i="3" s="1"/>
  <c r="M1508" i="3"/>
  <c r="R1508" i="3"/>
  <c r="M1507" i="3"/>
  <c r="R1507" i="3" s="1"/>
  <c r="M1506" i="3"/>
  <c r="R1506" i="3" s="1"/>
  <c r="M1505" i="3"/>
  <c r="R1505" i="3"/>
  <c r="M1504" i="3"/>
  <c r="R1504" i="3" s="1"/>
  <c r="M1503" i="3"/>
  <c r="R1503" i="3"/>
  <c r="M1502" i="3"/>
  <c r="R1502" i="3" s="1"/>
  <c r="M1501" i="3"/>
  <c r="R1501" i="3"/>
  <c r="M1500" i="3"/>
  <c r="R1500" i="3" s="1"/>
  <c r="M1499" i="3"/>
  <c r="R1499" i="3" s="1"/>
  <c r="M1498" i="3"/>
  <c r="R1498" i="3" s="1"/>
  <c r="M1497" i="3"/>
  <c r="R1497" i="3" s="1"/>
  <c r="M1496" i="3"/>
  <c r="R1496" i="3"/>
  <c r="M1495" i="3"/>
  <c r="R1495" i="3" s="1"/>
  <c r="M1494" i="3"/>
  <c r="R1494" i="3"/>
  <c r="M1493" i="3"/>
  <c r="R1493" i="3" s="1"/>
  <c r="M1492" i="3"/>
  <c r="R1492" i="3" s="1"/>
  <c r="M1491" i="3"/>
  <c r="R1491" i="3"/>
  <c r="M1490" i="3"/>
  <c r="R1490" i="3" s="1"/>
  <c r="M1489" i="3"/>
  <c r="R1489" i="3"/>
  <c r="M1488" i="3"/>
  <c r="R1488" i="3" s="1"/>
  <c r="M1487" i="3"/>
  <c r="R1487" i="3" s="1"/>
  <c r="M1486" i="3"/>
  <c r="R1486" i="3"/>
  <c r="M1485" i="3"/>
  <c r="R1485" i="3"/>
  <c r="M1484" i="3"/>
  <c r="R1484" i="3"/>
  <c r="M1483" i="3"/>
  <c r="R1483" i="3"/>
  <c r="M1482" i="3"/>
  <c r="R1482" i="3"/>
  <c r="M1481" i="3"/>
  <c r="R1481" i="3"/>
  <c r="M1480" i="3"/>
  <c r="R1480" i="3"/>
  <c r="M1479" i="3"/>
  <c r="R1479" i="3"/>
  <c r="M1478" i="3"/>
  <c r="R1478" i="3"/>
  <c r="M1477" i="3"/>
  <c r="R1477" i="3"/>
  <c r="M1476" i="3"/>
  <c r="R1476" i="3" s="1"/>
  <c r="M1475" i="3"/>
  <c r="R1475" i="3" s="1"/>
  <c r="M1474" i="3"/>
  <c r="R1474" i="3" s="1"/>
  <c r="M1473" i="3"/>
  <c r="R1473" i="3" s="1"/>
  <c r="M1472" i="3"/>
  <c r="R1472" i="3"/>
  <c r="M1471" i="3"/>
  <c r="R1471" i="3" s="1"/>
  <c r="M1470" i="3"/>
  <c r="R1470" i="3"/>
  <c r="M1469" i="3"/>
  <c r="R1469" i="3" s="1"/>
  <c r="M1468" i="3"/>
  <c r="R1468" i="3" s="1"/>
  <c r="M1467" i="3"/>
  <c r="R1467" i="3" s="1"/>
  <c r="M1466" i="3"/>
  <c r="R1466" i="3" s="1"/>
  <c r="M1465" i="3"/>
  <c r="R1465" i="3" s="1"/>
  <c r="M1464" i="3"/>
  <c r="R1464" i="3"/>
  <c r="M1463" i="3"/>
  <c r="R1463" i="3"/>
  <c r="M1462" i="3"/>
  <c r="R1462" i="3" s="1"/>
  <c r="M1461" i="3"/>
  <c r="R1461" i="3"/>
  <c r="M1460" i="3"/>
  <c r="R1460" i="3"/>
  <c r="M1459" i="3"/>
  <c r="R1459" i="3"/>
  <c r="M1458" i="3"/>
  <c r="R1458" i="3" s="1"/>
  <c r="M1457" i="3"/>
  <c r="R1457" i="3"/>
  <c r="M1456" i="3"/>
  <c r="R1456" i="3"/>
  <c r="M1455" i="3"/>
  <c r="R1455" i="3" s="1"/>
  <c r="M1454" i="3"/>
  <c r="R1454" i="3"/>
  <c r="M1453" i="3"/>
  <c r="R1453" i="3"/>
  <c r="M1452" i="3"/>
  <c r="R1452" i="3" s="1"/>
  <c r="M1451" i="3"/>
  <c r="R1451" i="3" s="1"/>
  <c r="M1450" i="3"/>
  <c r="R1450" i="3" s="1"/>
  <c r="M1449" i="3"/>
  <c r="R1449" i="3" s="1"/>
  <c r="M1448" i="3"/>
  <c r="R1448" i="3" s="1"/>
  <c r="M1447" i="3"/>
  <c r="R1447" i="3"/>
  <c r="M1446" i="3"/>
  <c r="R1446" i="3"/>
  <c r="M1445" i="3"/>
  <c r="R1445" i="3"/>
  <c r="M1444" i="3"/>
  <c r="R1444" i="3"/>
  <c r="M1443" i="3"/>
  <c r="R1443" i="3" s="1"/>
  <c r="M1442" i="3"/>
  <c r="R1442" i="3" s="1"/>
  <c r="M1441" i="3"/>
  <c r="R1441" i="3" s="1"/>
  <c r="M1440" i="3"/>
  <c r="R1440" i="3"/>
  <c r="M1439" i="3"/>
  <c r="R1439" i="3"/>
  <c r="M1438" i="3"/>
  <c r="R1438" i="3" s="1"/>
  <c r="M1437" i="3"/>
  <c r="R1437" i="3" s="1"/>
  <c r="M1436" i="3"/>
  <c r="R1436" i="3" s="1"/>
  <c r="M1435" i="3"/>
  <c r="R1435" i="3" s="1"/>
  <c r="M1434" i="3"/>
  <c r="R1434" i="3"/>
  <c r="M1433" i="3"/>
  <c r="R1433" i="3"/>
  <c r="M1432" i="3"/>
  <c r="R1432" i="3"/>
  <c r="M1431" i="3"/>
  <c r="R1431" i="3"/>
  <c r="M1430" i="3"/>
  <c r="R1430" i="3" s="1"/>
  <c r="M1429" i="3"/>
  <c r="R1429" i="3"/>
  <c r="M1428" i="3"/>
  <c r="R1428" i="3"/>
  <c r="M1427" i="3"/>
  <c r="R1427" i="3"/>
  <c r="M1426" i="3"/>
  <c r="R1426" i="3" s="1"/>
  <c r="M1425" i="3"/>
  <c r="R1425" i="3"/>
  <c r="M1424" i="3"/>
  <c r="R1424" i="3" s="1"/>
  <c r="M1423" i="3"/>
  <c r="R1423" i="3" s="1"/>
  <c r="M1422" i="3"/>
  <c r="R1422" i="3" s="1"/>
  <c r="M1421" i="3"/>
  <c r="R1421" i="3"/>
  <c r="M1420" i="3"/>
  <c r="R1420" i="3" s="1"/>
  <c r="M1419" i="3"/>
  <c r="R1419" i="3"/>
  <c r="M1418" i="3"/>
  <c r="R1418" i="3" s="1"/>
  <c r="M1417" i="3"/>
  <c r="R1417" i="3" s="1"/>
  <c r="M1416" i="3"/>
  <c r="R1416" i="3"/>
  <c r="M1415" i="3"/>
  <c r="R1415" i="3" s="1"/>
  <c r="M1414" i="3"/>
  <c r="R1414" i="3" s="1"/>
  <c r="M1413" i="3"/>
  <c r="R1413" i="3" s="1"/>
  <c r="M1412" i="3"/>
  <c r="R1412" i="3"/>
  <c r="M1411" i="3"/>
  <c r="R1411" i="3"/>
  <c r="M1410" i="3"/>
  <c r="R1410" i="3"/>
  <c r="M1409" i="3"/>
  <c r="R1409" i="3"/>
  <c r="M1408" i="3"/>
  <c r="R1408" i="3"/>
  <c r="M1407" i="3"/>
  <c r="R1407" i="3" s="1"/>
  <c r="M1406" i="3"/>
  <c r="R1406" i="3" s="1"/>
  <c r="M1405" i="3"/>
  <c r="R1405" i="3" s="1"/>
  <c r="M1404" i="3"/>
  <c r="R1404" i="3" s="1"/>
  <c r="M1403" i="3"/>
  <c r="R1403" i="3"/>
  <c r="M1402" i="3"/>
  <c r="R1402" i="3" s="1"/>
  <c r="M1401" i="3"/>
  <c r="R1401" i="3" s="1"/>
  <c r="M1400" i="3"/>
  <c r="R1400" i="3" s="1"/>
  <c r="M1399" i="3"/>
  <c r="R1399" i="3" s="1"/>
  <c r="M1398" i="3"/>
  <c r="R1398" i="3"/>
  <c r="M1397" i="3"/>
  <c r="R1397" i="3" s="1"/>
  <c r="M1396" i="3"/>
  <c r="R1396" i="3"/>
  <c r="M1395" i="3"/>
  <c r="R1395" i="3" s="1"/>
  <c r="M1394" i="3"/>
  <c r="R1394" i="3"/>
  <c r="M1393" i="3"/>
  <c r="R1393" i="3" s="1"/>
  <c r="M1392" i="3"/>
  <c r="R1392" i="3" s="1"/>
  <c r="M1391" i="3"/>
  <c r="R1391" i="3"/>
  <c r="M1390" i="3"/>
  <c r="R1390" i="3" s="1"/>
  <c r="M1389" i="3"/>
  <c r="R1389" i="3"/>
  <c r="M1388" i="3"/>
  <c r="R1388" i="3" s="1"/>
  <c r="M1387" i="3"/>
  <c r="R1387" i="3" s="1"/>
  <c r="M1386" i="3"/>
  <c r="R1386" i="3"/>
  <c r="M1385" i="3"/>
  <c r="R1385" i="3"/>
  <c r="M1384" i="3"/>
  <c r="R1384" i="3" s="1"/>
  <c r="M1383" i="3"/>
  <c r="R1383" i="3" s="1"/>
  <c r="M1382" i="3"/>
  <c r="R1382" i="3"/>
  <c r="B19" i="1"/>
  <c r="B7" i="2" s="1"/>
  <c r="C19" i="1"/>
  <c r="T1381" i="3"/>
  <c r="S1381" i="3"/>
  <c r="M1380" i="3"/>
  <c r="R1380" i="3"/>
  <c r="M1379" i="3"/>
  <c r="R1379" i="3" s="1"/>
  <c r="M1378" i="3"/>
  <c r="R1378" i="3"/>
  <c r="M1377" i="3"/>
  <c r="R1377" i="3" s="1"/>
  <c r="M1376" i="3"/>
  <c r="R1376" i="3" s="1"/>
  <c r="M1375" i="3"/>
  <c r="R1375" i="3" s="1"/>
  <c r="M1374" i="3"/>
  <c r="R1374" i="3" s="1"/>
  <c r="M1373" i="3"/>
  <c r="R1373" i="3" s="1"/>
  <c r="M1372" i="3"/>
  <c r="R1372" i="3" s="1"/>
  <c r="M1371" i="3"/>
  <c r="R1371" i="3"/>
  <c r="M1370" i="3"/>
  <c r="R1370" i="3"/>
  <c r="M1369" i="3"/>
  <c r="R1369" i="3"/>
  <c r="M1368" i="3"/>
  <c r="R1368" i="3"/>
  <c r="M1367" i="3"/>
  <c r="R1367" i="3" s="1"/>
  <c r="M1366" i="3"/>
  <c r="R1366" i="3" s="1"/>
  <c r="M1365" i="3"/>
  <c r="R1365" i="3" s="1"/>
  <c r="M1364" i="3"/>
  <c r="R1364" i="3" s="1"/>
  <c r="M1363" i="3"/>
  <c r="R1363" i="3" s="1"/>
  <c r="M1362" i="3"/>
  <c r="R1362" i="3" s="1"/>
  <c r="M1361" i="3"/>
  <c r="R1361" i="3" s="1"/>
  <c r="M1360" i="3"/>
  <c r="R1360" i="3" s="1"/>
  <c r="M1359" i="3"/>
  <c r="R1359" i="3" s="1"/>
  <c r="M1358" i="3"/>
  <c r="R1358" i="3" s="1"/>
  <c r="M1357" i="3"/>
  <c r="R1357" i="3" s="1"/>
  <c r="M1356" i="3"/>
  <c r="R1356" i="3" s="1"/>
  <c r="M1355" i="3"/>
  <c r="R1355" i="3" s="1"/>
  <c r="M1354" i="3"/>
  <c r="R1354" i="3" s="1"/>
  <c r="M1353" i="3"/>
  <c r="R1353" i="3" s="1"/>
  <c r="M1352" i="3"/>
  <c r="R1352" i="3" s="1"/>
  <c r="M1351" i="3"/>
  <c r="R1351" i="3" s="1"/>
  <c r="M1350" i="3"/>
  <c r="R1350" i="3" s="1"/>
  <c r="M1349" i="3"/>
  <c r="R1349" i="3" s="1"/>
  <c r="M1348" i="3"/>
  <c r="R1348" i="3" s="1"/>
  <c r="M1347" i="3"/>
  <c r="R1347" i="3" s="1"/>
  <c r="M1346" i="3"/>
  <c r="R1346" i="3" s="1"/>
  <c r="M1345" i="3"/>
  <c r="R1345" i="3" s="1"/>
  <c r="M1344" i="3"/>
  <c r="R1344" i="3" s="1"/>
  <c r="M1343" i="3"/>
  <c r="R1343" i="3" s="1"/>
  <c r="M1342" i="3"/>
  <c r="R1342" i="3" s="1"/>
  <c r="M1341" i="3"/>
  <c r="R1341" i="3" s="1"/>
  <c r="M1340" i="3"/>
  <c r="R1340" i="3" s="1"/>
  <c r="M1339" i="3"/>
  <c r="R1339" i="3" s="1"/>
  <c r="R1338" i="3"/>
  <c r="M1338" i="3"/>
  <c r="M1337" i="3"/>
  <c r="R1337" i="3" s="1"/>
  <c r="M1336" i="3"/>
  <c r="R1336" i="3"/>
  <c r="M1335" i="3"/>
  <c r="R1335" i="3"/>
  <c r="M1334" i="3"/>
  <c r="R1334" i="3"/>
  <c r="M1333" i="3"/>
  <c r="R1333" i="3"/>
  <c r="M1332" i="3"/>
  <c r="R1332" i="3"/>
  <c r="M1331" i="3"/>
  <c r="R1331" i="3"/>
  <c r="M1330" i="3"/>
  <c r="R1330" i="3"/>
  <c r="M1329" i="3"/>
  <c r="R1329" i="3"/>
  <c r="M1328" i="3"/>
  <c r="R1328" i="3"/>
  <c r="M1327" i="3"/>
  <c r="R1327" i="3" s="1"/>
  <c r="M1326" i="3"/>
  <c r="R1326" i="3" s="1"/>
  <c r="M1325" i="3"/>
  <c r="R1325" i="3" s="1"/>
  <c r="M1324" i="3"/>
  <c r="R1324" i="3" s="1"/>
  <c r="M1323" i="3"/>
  <c r="R1323" i="3" s="1"/>
  <c r="M1322" i="3"/>
  <c r="R1322" i="3" s="1"/>
  <c r="M1321" i="3"/>
  <c r="R1321" i="3" s="1"/>
  <c r="M1320" i="3"/>
  <c r="R1320" i="3"/>
  <c r="M1319" i="3"/>
  <c r="R1319" i="3" s="1"/>
  <c r="M1318" i="3"/>
  <c r="R1318" i="3" s="1"/>
  <c r="M1317" i="3"/>
  <c r="R1317" i="3" s="1"/>
  <c r="M1316" i="3"/>
  <c r="R1316" i="3" s="1"/>
  <c r="M1315" i="3"/>
  <c r="R1315" i="3"/>
  <c r="M1314" i="3"/>
  <c r="R1314" i="3" s="1"/>
  <c r="M1313" i="3"/>
  <c r="R1313" i="3" s="1"/>
  <c r="M1312" i="3"/>
  <c r="R1312" i="3" s="1"/>
  <c r="M1311" i="3"/>
  <c r="R1311" i="3" s="1"/>
  <c r="M1310" i="3"/>
  <c r="R1310" i="3" s="1"/>
  <c r="M1309" i="3"/>
  <c r="R1309" i="3" s="1"/>
  <c r="M1308" i="3"/>
  <c r="R1308" i="3"/>
  <c r="M1307" i="3"/>
  <c r="R1307" i="3"/>
  <c r="M1306" i="3"/>
  <c r="R1306" i="3"/>
  <c r="M1305" i="3"/>
  <c r="R1305" i="3" s="1"/>
  <c r="M1304" i="3"/>
  <c r="R1304" i="3" s="1"/>
  <c r="M1303" i="3"/>
  <c r="R1303" i="3"/>
  <c r="M1302" i="3"/>
  <c r="R1302" i="3" s="1"/>
  <c r="M1301" i="3"/>
  <c r="R1301" i="3" s="1"/>
  <c r="M1300" i="3"/>
  <c r="R1300" i="3" s="1"/>
  <c r="M1299" i="3"/>
  <c r="R1299" i="3"/>
  <c r="M1298" i="3"/>
  <c r="R1298" i="3"/>
  <c r="M1297" i="3"/>
  <c r="R1297" i="3" s="1"/>
  <c r="M1296" i="3"/>
  <c r="R1296" i="3" s="1"/>
  <c r="M1295" i="3"/>
  <c r="R1295" i="3" s="1"/>
  <c r="M1294" i="3"/>
  <c r="R1294" i="3" s="1"/>
  <c r="M1293" i="3"/>
  <c r="R1293" i="3" s="1"/>
  <c r="M1292" i="3"/>
  <c r="R1292" i="3" s="1"/>
  <c r="M1291" i="3"/>
  <c r="R1291" i="3" s="1"/>
  <c r="M1290" i="3"/>
  <c r="R1290" i="3" s="1"/>
  <c r="M1289" i="3"/>
  <c r="R1289" i="3" s="1"/>
  <c r="M1288" i="3"/>
  <c r="R1288" i="3" s="1"/>
  <c r="M1287" i="3"/>
  <c r="R1287" i="3"/>
  <c r="M1286" i="3"/>
  <c r="R1286" i="3" s="1"/>
  <c r="M1285" i="3"/>
  <c r="R1285" i="3" s="1"/>
  <c r="M1284" i="3"/>
  <c r="R1284" i="3"/>
  <c r="M1283" i="3"/>
  <c r="R1283" i="3" s="1"/>
  <c r="M1282" i="3"/>
  <c r="R1282" i="3" s="1"/>
  <c r="M1281" i="3"/>
  <c r="R1281" i="3" s="1"/>
  <c r="M1280" i="3"/>
  <c r="R1280" i="3" s="1"/>
  <c r="M1279" i="3"/>
  <c r="R1279" i="3" s="1"/>
  <c r="M1278" i="3"/>
  <c r="R1278" i="3" s="1"/>
  <c r="M1277" i="3"/>
  <c r="R1277" i="3" s="1"/>
  <c r="M1276" i="3"/>
  <c r="R1276" i="3"/>
  <c r="M1275" i="3"/>
  <c r="R1275" i="3"/>
  <c r="M1274" i="3"/>
  <c r="R1274" i="3"/>
  <c r="M1273" i="3"/>
  <c r="R1273" i="3"/>
  <c r="M1272" i="3"/>
  <c r="R1272" i="3"/>
  <c r="M1271" i="3"/>
  <c r="R1271" i="3"/>
  <c r="M1270" i="3"/>
  <c r="R1270" i="3"/>
  <c r="M1269" i="3"/>
  <c r="R1269" i="3"/>
  <c r="M1268" i="3"/>
  <c r="R1268" i="3"/>
  <c r="M1267" i="3"/>
  <c r="R1267" i="3" s="1"/>
  <c r="M1266" i="3"/>
  <c r="R1266" i="3"/>
  <c r="M1265" i="3"/>
  <c r="R1265" i="3" s="1"/>
  <c r="M1264" i="3"/>
  <c r="R1264" i="3" s="1"/>
  <c r="M1263" i="3"/>
  <c r="R1263" i="3"/>
  <c r="M1262" i="3"/>
  <c r="R1262" i="3"/>
  <c r="M1261" i="3"/>
  <c r="R1261" i="3"/>
  <c r="M1260" i="3"/>
  <c r="R1260" i="3"/>
  <c r="M1259" i="3"/>
  <c r="R1259" i="3"/>
  <c r="M1258" i="3"/>
  <c r="R1258" i="3"/>
  <c r="M1257" i="3"/>
  <c r="R1257" i="3"/>
  <c r="M1256" i="3"/>
  <c r="R1256" i="3"/>
  <c r="M1255" i="3"/>
  <c r="R1255" i="3" s="1"/>
  <c r="M1254" i="3"/>
  <c r="R1254" i="3" s="1"/>
  <c r="M1253" i="3"/>
  <c r="R1253" i="3" s="1"/>
  <c r="M1252" i="3"/>
  <c r="R1252" i="3" s="1"/>
  <c r="M1251" i="3"/>
  <c r="R1251" i="3"/>
  <c r="M1250" i="3"/>
  <c r="R1250" i="3" s="1"/>
  <c r="M1249" i="3"/>
  <c r="R1249" i="3"/>
  <c r="M1248" i="3"/>
  <c r="R1248" i="3"/>
  <c r="M1247" i="3"/>
  <c r="R1247" i="3"/>
  <c r="M1246" i="3"/>
  <c r="R1246" i="3"/>
  <c r="M1245" i="3"/>
  <c r="R1245" i="3"/>
  <c r="M1244" i="3"/>
  <c r="R1244" i="3"/>
  <c r="M1243" i="3"/>
  <c r="R1243" i="3"/>
  <c r="M1242" i="3"/>
  <c r="R1242" i="3" s="1"/>
  <c r="M1241" i="3"/>
  <c r="R1241" i="3" s="1"/>
  <c r="M1240" i="3"/>
  <c r="R1240" i="3" s="1"/>
  <c r="M1239" i="3"/>
  <c r="R1239" i="3" s="1"/>
  <c r="M1238" i="3"/>
  <c r="R1238" i="3" s="1"/>
  <c r="M1237" i="3"/>
  <c r="R1237" i="3" s="1"/>
  <c r="M1236" i="3"/>
  <c r="R1236" i="3" s="1"/>
  <c r="M1235" i="3"/>
  <c r="R1235" i="3" s="1"/>
  <c r="M1234" i="3"/>
  <c r="R1234" i="3" s="1"/>
  <c r="M1233" i="3"/>
  <c r="R1233" i="3" s="1"/>
  <c r="M1232" i="3"/>
  <c r="R1232" i="3" s="1"/>
  <c r="M1231" i="3"/>
  <c r="R1231" i="3" s="1"/>
  <c r="M1230" i="3"/>
  <c r="R1230" i="3" s="1"/>
  <c r="M1229" i="3"/>
  <c r="R1229" i="3"/>
  <c r="M1228" i="3"/>
  <c r="R1228" i="3" s="1"/>
  <c r="M1227" i="3"/>
  <c r="R1227" i="3" s="1"/>
  <c r="M1226" i="3"/>
  <c r="R1226" i="3" s="1"/>
  <c r="M1225" i="3"/>
  <c r="R1225" i="3"/>
  <c r="M1224" i="3"/>
  <c r="R1224" i="3"/>
  <c r="M1223" i="3"/>
  <c r="R1223" i="3"/>
  <c r="M1222" i="3"/>
  <c r="R1222" i="3" s="1"/>
  <c r="M1221" i="3"/>
  <c r="R1221" i="3"/>
  <c r="M1220" i="3"/>
  <c r="R1220" i="3"/>
  <c r="M1219" i="3"/>
  <c r="R1219" i="3" s="1"/>
  <c r="M1218" i="3"/>
  <c r="R1218" i="3"/>
  <c r="M1217" i="3"/>
  <c r="R1217" i="3" s="1"/>
  <c r="M1216" i="3"/>
  <c r="R1216" i="3" s="1"/>
  <c r="M1215" i="3"/>
  <c r="R1215" i="3" s="1"/>
  <c r="M1214" i="3"/>
  <c r="R1214" i="3" s="1"/>
  <c r="M1213" i="3"/>
  <c r="R1213" i="3"/>
  <c r="M1212" i="3"/>
  <c r="R1212" i="3" s="1"/>
  <c r="M1211" i="3"/>
  <c r="R1211" i="3"/>
  <c r="M1210" i="3"/>
  <c r="R1210" i="3"/>
  <c r="M1209" i="3"/>
  <c r="R1209" i="3" s="1"/>
  <c r="M1208" i="3"/>
  <c r="R1208" i="3" s="1"/>
  <c r="M1207" i="3"/>
  <c r="R1207" i="3" s="1"/>
  <c r="M1206" i="3"/>
  <c r="R1206" i="3" s="1"/>
  <c r="M1205" i="3"/>
  <c r="R1205" i="3" s="1"/>
  <c r="M1204" i="3"/>
  <c r="R1204" i="3" s="1"/>
  <c r="M1203" i="3"/>
  <c r="R1203" i="3" s="1"/>
  <c r="M1202" i="3"/>
  <c r="R1202" i="3"/>
  <c r="M1201" i="3"/>
  <c r="R1201" i="3" s="1"/>
  <c r="M1200" i="3"/>
  <c r="R1200" i="3" s="1"/>
  <c r="M1199" i="3"/>
  <c r="R1199" i="3" s="1"/>
  <c r="M1198" i="3"/>
  <c r="R1198" i="3" s="1"/>
  <c r="M1197" i="3"/>
  <c r="R1197" i="3"/>
  <c r="M1196" i="3"/>
  <c r="R1196" i="3"/>
  <c r="M1195" i="3"/>
  <c r="R1195" i="3"/>
  <c r="M1194" i="3"/>
  <c r="R1194" i="3"/>
  <c r="M1193" i="3"/>
  <c r="R1193" i="3"/>
  <c r="M1192" i="3"/>
  <c r="R1192" i="3"/>
  <c r="M1191" i="3"/>
  <c r="R1191" i="3" s="1"/>
  <c r="M1190" i="3"/>
  <c r="R1190" i="3"/>
  <c r="M1189" i="3"/>
  <c r="R1189" i="3"/>
  <c r="M1188" i="3"/>
  <c r="R1188" i="3"/>
  <c r="M1187" i="3"/>
  <c r="R1187" i="3" s="1"/>
  <c r="M1186" i="3"/>
  <c r="R1186" i="3" s="1"/>
  <c r="M1185" i="3"/>
  <c r="R1185" i="3" s="1"/>
  <c r="M1184" i="3"/>
  <c r="R1184" i="3" s="1"/>
  <c r="M1183" i="3"/>
  <c r="R1183" i="3" s="1"/>
  <c r="M1182" i="3"/>
  <c r="R1182" i="3"/>
  <c r="M1181" i="3"/>
  <c r="R1181" i="3"/>
  <c r="M1180" i="3"/>
  <c r="R1180" i="3"/>
  <c r="M1179" i="3"/>
  <c r="R1179" i="3"/>
  <c r="M1178" i="3"/>
  <c r="R1178" i="3"/>
  <c r="M1177" i="3"/>
  <c r="R1177" i="3" s="1"/>
  <c r="M1176" i="3"/>
  <c r="R1176" i="3" s="1"/>
  <c r="M1175" i="3"/>
  <c r="R1175" i="3"/>
  <c r="M1174" i="3"/>
  <c r="R1174" i="3"/>
  <c r="M1173" i="3"/>
  <c r="R1173" i="3"/>
  <c r="M1172" i="3"/>
  <c r="R1172" i="3"/>
  <c r="M1171" i="3"/>
  <c r="R1171" i="3"/>
  <c r="S1170" i="3"/>
  <c r="I7" i="8" s="1"/>
  <c r="T1170" i="3"/>
  <c r="J7" i="8" s="1"/>
  <c r="H7" i="8"/>
  <c r="M1169" i="3"/>
  <c r="R1169" i="3" s="1"/>
  <c r="M1168" i="3"/>
  <c r="R1168" i="3" s="1"/>
  <c r="M1167" i="3"/>
  <c r="R1167" i="3"/>
  <c r="M1166" i="3"/>
  <c r="R1166" i="3"/>
  <c r="M1165" i="3"/>
  <c r="R1165" i="3" s="1"/>
  <c r="M1164" i="3"/>
  <c r="R1164" i="3" s="1"/>
  <c r="M1163" i="3"/>
  <c r="R1163" i="3" s="1"/>
  <c r="M1162" i="3"/>
  <c r="R1162" i="3" s="1"/>
  <c r="M1161" i="3"/>
  <c r="R1161" i="3" s="1"/>
  <c r="M1160" i="3"/>
  <c r="R1160" i="3" s="1"/>
  <c r="M1159" i="3"/>
  <c r="R1159" i="3" s="1"/>
  <c r="M1158" i="3"/>
  <c r="R1158" i="3" s="1"/>
  <c r="M1157" i="3"/>
  <c r="R1157" i="3" s="1"/>
  <c r="M1156" i="3"/>
  <c r="R1156" i="3" s="1"/>
  <c r="M1155" i="3"/>
  <c r="R1155" i="3" s="1"/>
  <c r="M1154" i="3"/>
  <c r="R1154" i="3" s="1"/>
  <c r="M1153" i="3"/>
  <c r="R1153" i="3" s="1"/>
  <c r="M1152" i="3"/>
  <c r="R1152" i="3" s="1"/>
  <c r="M1151" i="3"/>
  <c r="R1151" i="3" s="1"/>
  <c r="M1150" i="3"/>
  <c r="R1150" i="3" s="1"/>
  <c r="M1149" i="3"/>
  <c r="R1149" i="3" s="1"/>
  <c r="M1148" i="3"/>
  <c r="R1148" i="3" s="1"/>
  <c r="M1147" i="3"/>
  <c r="R1147" i="3" s="1"/>
  <c r="M1146" i="3"/>
  <c r="R1146" i="3" s="1"/>
  <c r="M1145" i="3"/>
  <c r="R1145" i="3" s="1"/>
  <c r="M1144" i="3"/>
  <c r="R1144" i="3" s="1"/>
  <c r="M1143" i="3"/>
  <c r="R1143" i="3" s="1"/>
  <c r="M1142" i="3"/>
  <c r="R1142" i="3" s="1"/>
  <c r="M1141" i="3"/>
  <c r="R1141" i="3" s="1"/>
  <c r="M1140" i="3"/>
  <c r="R1140" i="3" s="1"/>
  <c r="M1139" i="3"/>
  <c r="R1139" i="3" s="1"/>
  <c r="M1138" i="3"/>
  <c r="R1138" i="3"/>
  <c r="M1137" i="3"/>
  <c r="R1137" i="3" s="1"/>
  <c r="M1136" i="3"/>
  <c r="R1136" i="3" s="1"/>
  <c r="M1135" i="3"/>
  <c r="R1135" i="3" s="1"/>
  <c r="M1134" i="3"/>
  <c r="R1134" i="3" s="1"/>
  <c r="M1133" i="3"/>
  <c r="R1133" i="3" s="1"/>
  <c r="M1132" i="3"/>
  <c r="R1132" i="3"/>
  <c r="M1131" i="3"/>
  <c r="R1131" i="3"/>
  <c r="M1130" i="3"/>
  <c r="R1130" i="3"/>
  <c r="M1129" i="3"/>
  <c r="R1129" i="3"/>
  <c r="M1128" i="3"/>
  <c r="R1128" i="3"/>
  <c r="M1127" i="3"/>
  <c r="R1127" i="3"/>
  <c r="M1126" i="3"/>
  <c r="R1126" i="3"/>
  <c r="M1125" i="3"/>
  <c r="R1125" i="3"/>
  <c r="M1124" i="3"/>
  <c r="R1124" i="3" s="1"/>
  <c r="M1123" i="3"/>
  <c r="R1123" i="3"/>
  <c r="M1122" i="3"/>
  <c r="R1122" i="3"/>
  <c r="M1121" i="3"/>
  <c r="R1121" i="3"/>
  <c r="M1120" i="3"/>
  <c r="R1120" i="3"/>
  <c r="M1119" i="3"/>
  <c r="R1119" i="3"/>
  <c r="M1118" i="3"/>
  <c r="R1118" i="3" s="1"/>
  <c r="M1117" i="3"/>
  <c r="R1117" i="3" s="1"/>
  <c r="M1116" i="3"/>
  <c r="R1116" i="3" s="1"/>
  <c r="M1115" i="3"/>
  <c r="R1115" i="3" s="1"/>
  <c r="M1114" i="3"/>
  <c r="R1114" i="3" s="1"/>
  <c r="M1113" i="3"/>
  <c r="R1113" i="3"/>
  <c r="M1112" i="3"/>
  <c r="R1112" i="3"/>
  <c r="M1111" i="3"/>
  <c r="R1111" i="3"/>
  <c r="M1110" i="3"/>
  <c r="R1110" i="3"/>
  <c r="M1109" i="3"/>
  <c r="R1109" i="3"/>
  <c r="M1108" i="3"/>
  <c r="R1108" i="3" s="1"/>
  <c r="M1107" i="3"/>
  <c r="R1107" i="3"/>
  <c r="M1106" i="3"/>
  <c r="R1106" i="3"/>
  <c r="M1105" i="3"/>
  <c r="R1105" i="3"/>
  <c r="M1104" i="3"/>
  <c r="R1104" i="3"/>
  <c r="M1103" i="3"/>
  <c r="R1103" i="3"/>
  <c r="M1102" i="3"/>
  <c r="R1102" i="3" s="1"/>
  <c r="M1101" i="3"/>
  <c r="R1101" i="3" s="1"/>
  <c r="M1100" i="3"/>
  <c r="R1100" i="3"/>
  <c r="M1099" i="3"/>
  <c r="R1099" i="3"/>
  <c r="M1098" i="3"/>
  <c r="R1098" i="3" s="1"/>
  <c r="M1097" i="3"/>
  <c r="R1097" i="3" s="1"/>
  <c r="M1096" i="3"/>
  <c r="R1096" i="3" s="1"/>
  <c r="M1095" i="3"/>
  <c r="R1095" i="3" s="1"/>
  <c r="M1094" i="3"/>
  <c r="R1094" i="3"/>
  <c r="M1093" i="3"/>
  <c r="R1093" i="3" s="1"/>
  <c r="M1092" i="3"/>
  <c r="R1092" i="3" s="1"/>
  <c r="M1091" i="3"/>
  <c r="R1091" i="3"/>
  <c r="M1090" i="3"/>
  <c r="R1090" i="3" s="1"/>
  <c r="M1089" i="3"/>
  <c r="R1089" i="3"/>
  <c r="M1088" i="3"/>
  <c r="R1088" i="3"/>
  <c r="M1087" i="3"/>
  <c r="R1087" i="3" s="1"/>
  <c r="M1086" i="3"/>
  <c r="R1086" i="3" s="1"/>
  <c r="M1085" i="3"/>
  <c r="R1085" i="3" s="1"/>
  <c r="M1084" i="3"/>
  <c r="R1084" i="3" s="1"/>
  <c r="M1083" i="3"/>
  <c r="R1083" i="3" s="1"/>
  <c r="M1082" i="3"/>
  <c r="R1082" i="3" s="1"/>
  <c r="M1081" i="3"/>
  <c r="R1081" i="3" s="1"/>
  <c r="M1080" i="3"/>
  <c r="R1080" i="3" s="1"/>
  <c r="M1079" i="3"/>
  <c r="R1079" i="3" s="1"/>
  <c r="M1078" i="3"/>
  <c r="R1078" i="3" s="1"/>
  <c r="M1077" i="3"/>
  <c r="R1077" i="3" s="1"/>
  <c r="M1076" i="3"/>
  <c r="R1076" i="3" s="1"/>
  <c r="M1075" i="3"/>
  <c r="R1075" i="3" s="1"/>
  <c r="M1074" i="3"/>
  <c r="R1074" i="3" s="1"/>
  <c r="M1073" i="3"/>
  <c r="R1073" i="3" s="1"/>
  <c r="M1072" i="3"/>
  <c r="R1072" i="3" s="1"/>
  <c r="M1071" i="3"/>
  <c r="R1071" i="3" s="1"/>
  <c r="M1070" i="3"/>
  <c r="R1070" i="3" s="1"/>
  <c r="M1069" i="3"/>
  <c r="R1069" i="3" s="1"/>
  <c r="M1068" i="3"/>
  <c r="R1068" i="3" s="1"/>
  <c r="M1067" i="3"/>
  <c r="R1067" i="3" s="1"/>
  <c r="M1066" i="3"/>
  <c r="R1066" i="3" s="1"/>
  <c r="M1065" i="3"/>
  <c r="R1065" i="3" s="1"/>
  <c r="M1064" i="3"/>
  <c r="R1064" i="3" s="1"/>
  <c r="M1063" i="3"/>
  <c r="R1063" i="3" s="1"/>
  <c r="M1062" i="3"/>
  <c r="R1062" i="3" s="1"/>
  <c r="M1061" i="3"/>
  <c r="R1061" i="3" s="1"/>
  <c r="M1060" i="3"/>
  <c r="R1060" i="3" s="1"/>
  <c r="M1059" i="3"/>
  <c r="R1059" i="3" s="1"/>
  <c r="M1058" i="3"/>
  <c r="R1058" i="3" s="1"/>
  <c r="M1057" i="3"/>
  <c r="R1057" i="3" s="1"/>
  <c r="M1056" i="3"/>
  <c r="R1056" i="3" s="1"/>
  <c r="M1055" i="3"/>
  <c r="R1055" i="3" s="1"/>
  <c r="M1054" i="3"/>
  <c r="R1054" i="3" s="1"/>
  <c r="M1053" i="3"/>
  <c r="R1053" i="3" s="1"/>
  <c r="M1052" i="3"/>
  <c r="R1052" i="3" s="1"/>
  <c r="M1051" i="3"/>
  <c r="R1051" i="3" s="1"/>
  <c r="M1050" i="3"/>
  <c r="R1050" i="3" s="1"/>
  <c r="M1049" i="3"/>
  <c r="R1049" i="3" s="1"/>
  <c r="M1048" i="3"/>
  <c r="R1048" i="3" s="1"/>
  <c r="M1047" i="3"/>
  <c r="R1047" i="3" s="1"/>
  <c r="M1046" i="3"/>
  <c r="R1046" i="3" s="1"/>
  <c r="M1045" i="3"/>
  <c r="R1045" i="3" s="1"/>
  <c r="M1044" i="3"/>
  <c r="R1044" i="3" s="1"/>
  <c r="M1043" i="3"/>
  <c r="R1043" i="3" s="1"/>
  <c r="M1042" i="3"/>
  <c r="R1042" i="3" s="1"/>
  <c r="M1041" i="3"/>
  <c r="R1041" i="3" s="1"/>
  <c r="M1040" i="3"/>
  <c r="R1040" i="3" s="1"/>
  <c r="M1039" i="3"/>
  <c r="R1039" i="3" s="1"/>
  <c r="M1038" i="3"/>
  <c r="R1038" i="3" s="1"/>
  <c r="M1037" i="3"/>
  <c r="R1037" i="3" s="1"/>
  <c r="M1036" i="3"/>
  <c r="R1036" i="3" s="1"/>
  <c r="M1035" i="3"/>
  <c r="R1035" i="3" s="1"/>
  <c r="M1034" i="3"/>
  <c r="R1034" i="3" s="1"/>
  <c r="M1033" i="3"/>
  <c r="R1033" i="3" s="1"/>
  <c r="M1032" i="3"/>
  <c r="R1032" i="3" s="1"/>
  <c r="M1031" i="3"/>
  <c r="R1031" i="3" s="1"/>
  <c r="M1030" i="3"/>
  <c r="R1030" i="3" s="1"/>
  <c r="M1029" i="3"/>
  <c r="R1029" i="3" s="1"/>
  <c r="M1028" i="3"/>
  <c r="R1028" i="3" s="1"/>
  <c r="M1027" i="3"/>
  <c r="R1027" i="3" s="1"/>
  <c r="M1026" i="3"/>
  <c r="R1026" i="3" s="1"/>
  <c r="M1025" i="3"/>
  <c r="R1025" i="3" s="1"/>
  <c r="M1024" i="3"/>
  <c r="R1024" i="3" s="1"/>
  <c r="M1023" i="3"/>
  <c r="R1023" i="3" s="1"/>
  <c r="M1022" i="3"/>
  <c r="R1022" i="3" s="1"/>
  <c r="M1021" i="3"/>
  <c r="R1021" i="3" s="1"/>
  <c r="M1020" i="3"/>
  <c r="R1020" i="3" s="1"/>
  <c r="M1019" i="3"/>
  <c r="R1019" i="3" s="1"/>
  <c r="M1018" i="3"/>
  <c r="R1018" i="3" s="1"/>
  <c r="M1017" i="3"/>
  <c r="R1017" i="3" s="1"/>
  <c r="M1016" i="3"/>
  <c r="R1016" i="3" s="1"/>
  <c r="M1015" i="3"/>
  <c r="R1015" i="3" s="1"/>
  <c r="M1014" i="3"/>
  <c r="R1014" i="3" s="1"/>
  <c r="M1013" i="3"/>
  <c r="R1013" i="3" s="1"/>
  <c r="M1012" i="3"/>
  <c r="R1012" i="3" s="1"/>
  <c r="M1011" i="3"/>
  <c r="R1011" i="3" s="1"/>
  <c r="M1010" i="3"/>
  <c r="R1010" i="3" s="1"/>
  <c r="M1009" i="3"/>
  <c r="R1009" i="3" s="1"/>
  <c r="M1008" i="3"/>
  <c r="R1008" i="3" s="1"/>
  <c r="M1007" i="3"/>
  <c r="R1007" i="3" s="1"/>
  <c r="M1006" i="3"/>
  <c r="R1006" i="3" s="1"/>
  <c r="M1005" i="3"/>
  <c r="R1005" i="3" s="1"/>
  <c r="M1004" i="3"/>
  <c r="R1004" i="3" s="1"/>
  <c r="M1003" i="3"/>
  <c r="R1003" i="3" s="1"/>
  <c r="M1002" i="3"/>
  <c r="R1002" i="3" s="1"/>
  <c r="M1001" i="3"/>
  <c r="R1001" i="3" s="1"/>
  <c r="M1000" i="3"/>
  <c r="R1000" i="3" s="1"/>
  <c r="M999" i="3"/>
  <c r="R999" i="3" s="1"/>
  <c r="M998" i="3"/>
  <c r="R998" i="3" s="1"/>
  <c r="M997" i="3"/>
  <c r="R997" i="3" s="1"/>
  <c r="M996" i="3"/>
  <c r="R996" i="3" s="1"/>
  <c r="M995" i="3"/>
  <c r="R995" i="3" s="1"/>
  <c r="M994" i="3"/>
  <c r="R994" i="3" s="1"/>
  <c r="M993" i="3"/>
  <c r="R993" i="3" s="1"/>
  <c r="M992" i="3"/>
  <c r="R992" i="3" s="1"/>
  <c r="M991" i="3"/>
  <c r="R991" i="3" s="1"/>
  <c r="M990" i="3"/>
  <c r="R990" i="3" s="1"/>
  <c r="M989" i="3"/>
  <c r="R989" i="3" s="1"/>
  <c r="M988" i="3"/>
  <c r="R988" i="3" s="1"/>
  <c r="M987" i="3"/>
  <c r="R987" i="3" s="1"/>
  <c r="M986" i="3"/>
  <c r="R986" i="3" s="1"/>
  <c r="M985" i="3"/>
  <c r="R985" i="3" s="1"/>
  <c r="M984" i="3"/>
  <c r="R984" i="3" s="1"/>
  <c r="M983" i="3"/>
  <c r="R983" i="3" s="1"/>
  <c r="M982" i="3"/>
  <c r="R982" i="3" s="1"/>
  <c r="M981" i="3"/>
  <c r="R981" i="3" s="1"/>
  <c r="M980" i="3"/>
  <c r="R980" i="3" s="1"/>
  <c r="M979" i="3"/>
  <c r="R979" i="3" s="1"/>
  <c r="M978" i="3"/>
  <c r="R978" i="3" s="1"/>
  <c r="M977" i="3"/>
  <c r="R977" i="3" s="1"/>
  <c r="M976" i="3"/>
  <c r="R976" i="3" s="1"/>
  <c r="M975" i="3"/>
  <c r="R975" i="3" s="1"/>
  <c r="M974" i="3"/>
  <c r="R974" i="3" s="1"/>
  <c r="M973" i="3"/>
  <c r="R973" i="3" s="1"/>
  <c r="M972" i="3"/>
  <c r="R972" i="3" s="1"/>
  <c r="M971" i="3"/>
  <c r="R971" i="3" s="1"/>
  <c r="M970" i="3"/>
  <c r="R970" i="3" s="1"/>
  <c r="M969" i="3"/>
  <c r="R969" i="3" s="1"/>
  <c r="M968" i="3"/>
  <c r="R968" i="3" s="1"/>
  <c r="M967" i="3"/>
  <c r="R967" i="3" s="1"/>
  <c r="M966" i="3"/>
  <c r="R966" i="3" s="1"/>
  <c r="M965" i="3"/>
  <c r="R965" i="3" s="1"/>
  <c r="M964" i="3"/>
  <c r="R964" i="3" s="1"/>
  <c r="M963" i="3"/>
  <c r="R963" i="3" s="1"/>
  <c r="M962" i="3"/>
  <c r="R962" i="3" s="1"/>
  <c r="M961" i="3"/>
  <c r="R961" i="3" s="1"/>
  <c r="M960" i="3"/>
  <c r="R960" i="3" s="1"/>
  <c r="M959" i="3"/>
  <c r="R959" i="3" s="1"/>
  <c r="M958" i="3"/>
  <c r="R958" i="3" s="1"/>
  <c r="M957" i="3"/>
  <c r="R957" i="3" s="1"/>
  <c r="M956" i="3"/>
  <c r="R956" i="3" s="1"/>
  <c r="M955" i="3"/>
  <c r="R955" i="3" s="1"/>
  <c r="M954" i="3"/>
  <c r="R954" i="3" s="1"/>
  <c r="M953" i="3"/>
  <c r="R953" i="3" s="1"/>
  <c r="M952" i="3"/>
  <c r="R952" i="3" s="1"/>
  <c r="M951" i="3"/>
  <c r="R951" i="3" s="1"/>
  <c r="M950" i="3"/>
  <c r="R950" i="3" s="1"/>
  <c r="M949" i="3"/>
  <c r="R949" i="3" s="1"/>
  <c r="M948" i="3"/>
  <c r="R948" i="3" s="1"/>
  <c r="M947" i="3"/>
  <c r="R947" i="3" s="1"/>
  <c r="M946" i="3"/>
  <c r="R946" i="3" s="1"/>
  <c r="M945" i="3"/>
  <c r="R945" i="3" s="1"/>
  <c r="M944" i="3"/>
  <c r="R944" i="3" s="1"/>
  <c r="M943" i="3"/>
  <c r="R943" i="3" s="1"/>
  <c r="M942" i="3"/>
  <c r="R942" i="3" s="1"/>
  <c r="M941" i="3"/>
  <c r="R941" i="3"/>
  <c r="M940" i="3"/>
  <c r="R940" i="3" s="1"/>
  <c r="M939" i="3"/>
  <c r="R939" i="3" s="1"/>
  <c r="M938" i="3"/>
  <c r="R938" i="3" s="1"/>
  <c r="M937" i="3"/>
  <c r="R937" i="3"/>
  <c r="M936" i="3"/>
  <c r="R936" i="3" s="1"/>
  <c r="M935" i="3"/>
  <c r="R935" i="3" s="1"/>
  <c r="M934" i="3"/>
  <c r="R934" i="3"/>
  <c r="M933" i="3"/>
  <c r="R933" i="3"/>
  <c r="M932" i="3"/>
  <c r="R932" i="3"/>
  <c r="M931" i="3"/>
  <c r="R931" i="3"/>
  <c r="M930" i="3"/>
  <c r="R930" i="3" s="1"/>
  <c r="M929" i="3"/>
  <c r="R929" i="3" s="1"/>
  <c r="M928" i="3"/>
  <c r="R928" i="3" s="1"/>
  <c r="M927" i="3"/>
  <c r="R927" i="3" s="1"/>
  <c r="M926" i="3"/>
  <c r="R926" i="3" s="1"/>
  <c r="M925" i="3"/>
  <c r="R925" i="3" s="1"/>
  <c r="M924" i="3"/>
  <c r="R924" i="3"/>
  <c r="M923" i="3"/>
  <c r="R923" i="3"/>
  <c r="M922" i="3"/>
  <c r="R922" i="3"/>
  <c r="M921" i="3"/>
  <c r="R921" i="3" s="1"/>
  <c r="M920" i="3"/>
  <c r="R920" i="3" s="1"/>
  <c r="M919" i="3"/>
  <c r="R919" i="3" s="1"/>
  <c r="M918" i="3"/>
  <c r="R918" i="3"/>
  <c r="M917" i="3"/>
  <c r="R917" i="3" s="1"/>
  <c r="M916" i="3"/>
  <c r="R916" i="3" s="1"/>
  <c r="M915" i="3"/>
  <c r="R915" i="3" s="1"/>
  <c r="M914" i="3"/>
  <c r="R914" i="3"/>
  <c r="M913" i="3"/>
  <c r="R913" i="3" s="1"/>
  <c r="M912" i="3"/>
  <c r="R912" i="3"/>
  <c r="M911" i="3"/>
  <c r="R911" i="3" s="1"/>
  <c r="M910" i="3"/>
  <c r="R910" i="3" s="1"/>
  <c r="M909" i="3"/>
  <c r="R909" i="3"/>
  <c r="M908" i="3"/>
  <c r="R908" i="3"/>
  <c r="M907" i="3"/>
  <c r="R907" i="3"/>
  <c r="M906" i="3"/>
  <c r="R906" i="3"/>
  <c r="M905" i="3"/>
  <c r="R905" i="3"/>
  <c r="M904" i="3"/>
  <c r="R904" i="3"/>
  <c r="M903" i="3"/>
  <c r="R903" i="3"/>
  <c r="M902" i="3"/>
  <c r="R902" i="3"/>
  <c r="M901" i="3"/>
  <c r="R901" i="3"/>
  <c r="M900" i="3"/>
  <c r="R900" i="3"/>
  <c r="M899" i="3"/>
  <c r="R899" i="3"/>
  <c r="M898" i="3"/>
  <c r="R898" i="3" s="1"/>
  <c r="M897" i="3"/>
  <c r="R897" i="3" s="1"/>
  <c r="M896" i="3"/>
  <c r="R896" i="3"/>
  <c r="M895" i="3"/>
  <c r="R895" i="3" s="1"/>
  <c r="M894" i="3"/>
  <c r="R894" i="3" s="1"/>
  <c r="M893" i="3"/>
  <c r="R893" i="3" s="1"/>
  <c r="M892" i="3"/>
  <c r="R892" i="3" s="1"/>
  <c r="M891" i="3"/>
  <c r="R891" i="3" s="1"/>
  <c r="M890" i="3"/>
  <c r="R890" i="3" s="1"/>
  <c r="M889" i="3"/>
  <c r="R889" i="3" s="1"/>
  <c r="M888" i="3"/>
  <c r="R888" i="3"/>
  <c r="M887" i="3"/>
  <c r="R887" i="3"/>
  <c r="M886" i="3"/>
  <c r="R886" i="3" s="1"/>
  <c r="M885" i="3"/>
  <c r="R885" i="3" s="1"/>
  <c r="M884" i="3"/>
  <c r="R884" i="3" s="1"/>
  <c r="M883" i="3"/>
  <c r="R883" i="3" s="1"/>
  <c r="M882" i="3"/>
  <c r="R882" i="3"/>
  <c r="M881" i="3"/>
  <c r="R881" i="3" s="1"/>
  <c r="M880" i="3"/>
  <c r="R880" i="3" s="1"/>
  <c r="M879" i="3"/>
  <c r="R879" i="3" s="1"/>
  <c r="M878" i="3"/>
  <c r="R878" i="3" s="1"/>
  <c r="M877" i="3"/>
  <c r="R877" i="3" s="1"/>
  <c r="M876" i="3"/>
  <c r="R876" i="3"/>
  <c r="M875" i="3"/>
  <c r="R875" i="3"/>
  <c r="M874" i="3"/>
  <c r="R874" i="3" s="1"/>
  <c r="M873" i="3"/>
  <c r="R873" i="3" s="1"/>
  <c r="M872" i="3"/>
  <c r="R872" i="3"/>
  <c r="M871" i="3"/>
  <c r="R871" i="3"/>
  <c r="M870" i="3"/>
  <c r="R870" i="3"/>
  <c r="M869" i="3"/>
  <c r="R869" i="3"/>
  <c r="M868" i="3"/>
  <c r="R868" i="3"/>
  <c r="M867" i="3"/>
  <c r="R867" i="3" s="1"/>
  <c r="M866" i="3"/>
  <c r="R866" i="3"/>
  <c r="M865" i="3"/>
  <c r="R865" i="3"/>
  <c r="M864" i="3"/>
  <c r="R864" i="3"/>
  <c r="M863" i="3"/>
  <c r="R863" i="3" s="1"/>
  <c r="M862" i="3"/>
  <c r="R862" i="3" s="1"/>
  <c r="M861" i="3"/>
  <c r="R861" i="3" s="1"/>
  <c r="M860" i="3"/>
  <c r="R860" i="3" s="1"/>
  <c r="M859" i="3"/>
  <c r="R859" i="3" s="1"/>
  <c r="M858" i="3"/>
  <c r="R858" i="3" s="1"/>
  <c r="M857" i="3"/>
  <c r="R857" i="3" s="1"/>
  <c r="M856" i="3"/>
  <c r="R856" i="3" s="1"/>
  <c r="M855" i="3"/>
  <c r="R855" i="3"/>
  <c r="M854" i="3"/>
  <c r="R854" i="3" s="1"/>
  <c r="M853" i="3"/>
  <c r="R853" i="3" s="1"/>
  <c r="M852" i="3"/>
  <c r="R852" i="3"/>
  <c r="M851" i="3"/>
  <c r="R851" i="3"/>
  <c r="M850" i="3"/>
  <c r="R850" i="3"/>
  <c r="M849" i="3"/>
  <c r="R849" i="3" s="1"/>
  <c r="M848" i="3"/>
  <c r="R848" i="3" s="1"/>
  <c r="M847" i="3"/>
  <c r="R847" i="3" s="1"/>
  <c r="M846" i="3"/>
  <c r="R846" i="3"/>
  <c r="M845" i="3"/>
  <c r="R845" i="3"/>
  <c r="M844" i="3"/>
  <c r="R844" i="3" s="1"/>
  <c r="M843" i="3"/>
  <c r="R843" i="3" s="1"/>
  <c r="M842" i="3"/>
  <c r="R842" i="3"/>
  <c r="M841" i="3"/>
  <c r="R841" i="3"/>
  <c r="M840" i="3"/>
  <c r="R840" i="3" s="1"/>
  <c r="M839" i="3"/>
  <c r="R839" i="3"/>
  <c r="M838" i="3"/>
  <c r="R838" i="3"/>
  <c r="M837" i="3"/>
  <c r="R837" i="3" s="1"/>
  <c r="M836" i="3"/>
  <c r="R836" i="3" s="1"/>
  <c r="M835" i="3"/>
  <c r="R835" i="3"/>
  <c r="M834" i="3"/>
  <c r="R834" i="3"/>
  <c r="M833" i="3"/>
  <c r="R833" i="3"/>
  <c r="M832" i="3"/>
  <c r="R832" i="3" s="1"/>
  <c r="M831" i="3"/>
  <c r="R831" i="3"/>
  <c r="M830" i="3"/>
  <c r="R830" i="3" s="1"/>
  <c r="M829" i="3"/>
  <c r="R829" i="3"/>
  <c r="M828" i="3"/>
  <c r="R828" i="3"/>
  <c r="M827" i="3"/>
  <c r="R827" i="3"/>
  <c r="M826" i="3"/>
  <c r="R826" i="3"/>
  <c r="M825" i="3"/>
  <c r="R825" i="3"/>
  <c r="M824" i="3"/>
  <c r="R824" i="3"/>
  <c r="M823" i="3"/>
  <c r="R823" i="3"/>
  <c r="M822" i="3"/>
  <c r="R822" i="3" s="1"/>
  <c r="M821" i="3"/>
  <c r="R821" i="3"/>
  <c r="M820" i="3"/>
  <c r="R820" i="3"/>
  <c r="M819" i="3"/>
  <c r="R819" i="3"/>
  <c r="M818" i="3"/>
  <c r="R818" i="3" s="1"/>
  <c r="M817" i="3"/>
  <c r="R817" i="3"/>
  <c r="M816" i="3"/>
  <c r="R816" i="3" s="1"/>
  <c r="M815" i="3"/>
  <c r="R815" i="3"/>
  <c r="M814" i="3"/>
  <c r="R814" i="3"/>
  <c r="M813" i="3"/>
  <c r="R813" i="3"/>
  <c r="M812" i="3"/>
  <c r="R812" i="3"/>
  <c r="M811" i="3"/>
  <c r="R811" i="3"/>
  <c r="M810" i="3"/>
  <c r="R810" i="3" s="1"/>
  <c r="M809" i="3"/>
  <c r="R809" i="3" s="1"/>
  <c r="M808" i="3"/>
  <c r="R808" i="3" s="1"/>
  <c r="M807" i="3"/>
  <c r="R807" i="3"/>
  <c r="M806" i="3"/>
  <c r="R806" i="3" s="1"/>
  <c r="M805" i="3"/>
  <c r="R805" i="3" s="1"/>
  <c r="M804" i="3"/>
  <c r="R804" i="3" s="1"/>
  <c r="M803" i="3"/>
  <c r="R803" i="3" s="1"/>
  <c r="M802" i="3"/>
  <c r="R802" i="3" s="1"/>
  <c r="M801" i="3"/>
  <c r="R801" i="3"/>
  <c r="M800" i="3"/>
  <c r="R800" i="3"/>
  <c r="M799" i="3"/>
  <c r="R799" i="3" s="1"/>
  <c r="M798" i="3"/>
  <c r="R798" i="3" s="1"/>
  <c r="M797" i="3"/>
  <c r="R797" i="3" s="1"/>
  <c r="M796" i="3"/>
  <c r="R796" i="3"/>
  <c r="M795" i="3"/>
  <c r="R795" i="3"/>
  <c r="M794" i="3"/>
  <c r="R794" i="3"/>
  <c r="M793" i="3"/>
  <c r="R793" i="3"/>
  <c r="M792" i="3"/>
  <c r="R792" i="3"/>
  <c r="M791" i="3"/>
  <c r="R791" i="3" s="1"/>
  <c r="M790" i="3"/>
  <c r="R790" i="3"/>
  <c r="M789" i="3"/>
  <c r="R789" i="3" s="1"/>
  <c r="M788" i="3"/>
  <c r="R788" i="3" s="1"/>
  <c r="M787" i="3"/>
  <c r="R787" i="3"/>
  <c r="M786" i="3"/>
  <c r="R786" i="3"/>
  <c r="M785" i="3"/>
  <c r="R785" i="3" s="1"/>
  <c r="M784" i="3"/>
  <c r="R784" i="3" s="1"/>
  <c r="M783" i="3"/>
  <c r="R783" i="3" s="1"/>
  <c r="M782" i="3"/>
  <c r="R782" i="3" s="1"/>
  <c r="M781" i="3"/>
  <c r="R781" i="3" s="1"/>
  <c r="M780" i="3"/>
  <c r="R780" i="3" s="1"/>
  <c r="M779" i="3"/>
  <c r="R779" i="3"/>
  <c r="M778" i="3"/>
  <c r="R778" i="3"/>
  <c r="M777" i="3"/>
  <c r="R777" i="3"/>
  <c r="M776" i="3"/>
  <c r="R776" i="3"/>
  <c r="M775" i="3"/>
  <c r="R775" i="3" s="1"/>
  <c r="M774" i="3"/>
  <c r="R774" i="3"/>
  <c r="M773" i="3"/>
  <c r="R773" i="3"/>
  <c r="M772" i="3"/>
  <c r="R772" i="3" s="1"/>
  <c r="M771" i="3"/>
  <c r="R771" i="3" s="1"/>
  <c r="M770" i="3"/>
  <c r="R770" i="3" s="1"/>
  <c r="M769" i="3"/>
  <c r="R769" i="3" s="1"/>
  <c r="M768" i="3"/>
  <c r="R768" i="3" s="1"/>
  <c r="M767" i="3"/>
  <c r="R767" i="3" s="1"/>
  <c r="M766" i="3"/>
  <c r="R766" i="3" s="1"/>
  <c r="M765" i="3"/>
  <c r="R765" i="3" s="1"/>
  <c r="M764" i="3"/>
  <c r="R764" i="3" s="1"/>
  <c r="M763" i="3"/>
  <c r="R763" i="3" s="1"/>
  <c r="M762" i="3"/>
  <c r="R762" i="3" s="1"/>
  <c r="M761" i="3"/>
  <c r="R761" i="3" s="1"/>
  <c r="M760" i="3"/>
  <c r="R760" i="3" s="1"/>
  <c r="M759" i="3"/>
  <c r="R759" i="3" s="1"/>
  <c r="M758" i="3"/>
  <c r="R758" i="3" s="1"/>
  <c r="M757" i="3"/>
  <c r="R757" i="3" s="1"/>
  <c r="M756" i="3"/>
  <c r="R756" i="3" s="1"/>
  <c r="M755" i="3"/>
  <c r="R755" i="3" s="1"/>
  <c r="M754" i="3"/>
  <c r="R754" i="3" s="1"/>
  <c r="M753" i="3"/>
  <c r="R753" i="3" s="1"/>
  <c r="M752" i="3"/>
  <c r="R752" i="3" s="1"/>
  <c r="M751" i="3"/>
  <c r="R751" i="3" s="1"/>
  <c r="M750" i="3"/>
  <c r="R750" i="3" s="1"/>
  <c r="S749" i="3"/>
  <c r="T749" i="3"/>
  <c r="M748" i="3"/>
  <c r="R748" i="3" s="1"/>
  <c r="M747" i="3"/>
  <c r="R747" i="3" s="1"/>
  <c r="M746" i="3"/>
  <c r="R746" i="3" s="1"/>
  <c r="M745" i="3"/>
  <c r="R745" i="3" s="1"/>
  <c r="M744" i="3"/>
  <c r="R744" i="3" s="1"/>
  <c r="M743" i="3"/>
  <c r="R743" i="3" s="1"/>
  <c r="M742" i="3"/>
  <c r="R742" i="3"/>
  <c r="M741" i="3"/>
  <c r="R741" i="3" s="1"/>
  <c r="M740" i="3"/>
  <c r="R740" i="3" s="1"/>
  <c r="M739" i="3"/>
  <c r="R739" i="3" s="1"/>
  <c r="M738" i="3"/>
  <c r="R738" i="3" s="1"/>
  <c r="M737" i="3"/>
  <c r="R737" i="3" s="1"/>
  <c r="M736" i="3"/>
  <c r="R736" i="3" s="1"/>
  <c r="M735" i="3"/>
  <c r="R735" i="3" s="1"/>
  <c r="M734" i="3"/>
  <c r="R734" i="3"/>
  <c r="M733" i="3"/>
  <c r="R733" i="3" s="1"/>
  <c r="M732" i="3"/>
  <c r="R732" i="3" s="1"/>
  <c r="M731" i="3"/>
  <c r="R731" i="3" s="1"/>
  <c r="M730" i="3"/>
  <c r="R730" i="3"/>
  <c r="M729" i="3"/>
  <c r="R729" i="3"/>
  <c r="M728" i="3"/>
  <c r="R728" i="3" s="1"/>
  <c r="M727" i="3"/>
  <c r="R727" i="3"/>
  <c r="M726" i="3"/>
  <c r="R726" i="3"/>
  <c r="M725" i="3"/>
  <c r="R725" i="3"/>
  <c r="M724" i="3"/>
  <c r="R724" i="3"/>
  <c r="M723" i="3"/>
  <c r="R723" i="3"/>
  <c r="M722" i="3"/>
  <c r="R722" i="3" s="1"/>
  <c r="M721" i="3"/>
  <c r="R721" i="3" s="1"/>
  <c r="M720" i="3"/>
  <c r="R720" i="3"/>
  <c r="M719" i="3"/>
  <c r="R719" i="3" s="1"/>
  <c r="M718" i="3"/>
  <c r="R718" i="3" s="1"/>
  <c r="M717" i="3"/>
  <c r="R717" i="3" s="1"/>
  <c r="M716" i="3"/>
  <c r="R716" i="3" s="1"/>
  <c r="M715" i="3"/>
  <c r="R715" i="3" s="1"/>
  <c r="M714" i="3"/>
  <c r="R714" i="3" s="1"/>
  <c r="M713" i="3"/>
  <c r="R713" i="3" s="1"/>
  <c r="M712" i="3"/>
  <c r="R712" i="3"/>
  <c r="M711" i="3"/>
  <c r="R711" i="3" s="1"/>
  <c r="M710" i="3"/>
  <c r="R710" i="3" s="1"/>
  <c r="M709" i="3"/>
  <c r="R709" i="3" s="1"/>
  <c r="M708" i="3"/>
  <c r="R708" i="3" s="1"/>
  <c r="M707" i="3"/>
  <c r="R707" i="3"/>
  <c r="M706" i="3"/>
  <c r="R706" i="3" s="1"/>
  <c r="M705" i="3"/>
  <c r="R705" i="3"/>
  <c r="M704" i="3"/>
  <c r="R704" i="3"/>
  <c r="M703" i="3"/>
  <c r="R703" i="3" s="1"/>
  <c r="M702" i="3"/>
  <c r="R702" i="3" s="1"/>
  <c r="M701" i="3"/>
  <c r="R701" i="3" s="1"/>
  <c r="M700" i="3"/>
  <c r="R700" i="3" s="1"/>
  <c r="M699" i="3"/>
  <c r="R699" i="3" s="1"/>
  <c r="M698" i="3"/>
  <c r="R698" i="3" s="1"/>
  <c r="M697" i="3"/>
  <c r="R697" i="3" s="1"/>
  <c r="M696" i="3"/>
  <c r="R696" i="3" s="1"/>
  <c r="M695" i="3"/>
  <c r="R695" i="3" s="1"/>
  <c r="M694" i="3"/>
  <c r="R694" i="3" s="1"/>
  <c r="M693" i="3"/>
  <c r="R693" i="3"/>
  <c r="M692" i="3"/>
  <c r="R692" i="3" s="1"/>
  <c r="M691" i="3"/>
  <c r="R691" i="3" s="1"/>
  <c r="M690" i="3"/>
  <c r="R690" i="3"/>
  <c r="M689" i="3"/>
  <c r="R689" i="3"/>
  <c r="M688" i="3"/>
  <c r="R688" i="3"/>
  <c r="M687" i="3"/>
  <c r="R687" i="3" s="1"/>
  <c r="M686" i="3"/>
  <c r="R686" i="3" s="1"/>
  <c r="M685" i="3"/>
  <c r="R685" i="3" s="1"/>
  <c r="M684" i="3"/>
  <c r="R684" i="3" s="1"/>
  <c r="M683" i="3"/>
  <c r="R683" i="3" s="1"/>
  <c r="M682" i="3"/>
  <c r="R682" i="3" s="1"/>
  <c r="M681" i="3"/>
  <c r="R681" i="3"/>
  <c r="M680" i="3"/>
  <c r="R680" i="3" s="1"/>
  <c r="M679" i="3"/>
  <c r="R679" i="3" s="1"/>
  <c r="M678" i="3"/>
  <c r="R678" i="3" s="1"/>
  <c r="M677" i="3"/>
  <c r="R677" i="3" s="1"/>
  <c r="M676" i="3"/>
  <c r="R676" i="3" s="1"/>
  <c r="M675" i="3"/>
  <c r="R675" i="3" s="1"/>
  <c r="M674" i="3"/>
  <c r="R674" i="3" s="1"/>
  <c r="M673" i="3"/>
  <c r="R673" i="3" s="1"/>
  <c r="M672" i="3"/>
  <c r="R672" i="3" s="1"/>
  <c r="M671" i="3"/>
  <c r="R671" i="3" s="1"/>
  <c r="M670" i="3"/>
  <c r="R670" i="3" s="1"/>
  <c r="M669" i="3"/>
  <c r="R669" i="3" s="1"/>
  <c r="M668" i="3"/>
  <c r="R668" i="3" s="1"/>
  <c r="M667" i="3"/>
  <c r="R667" i="3" s="1"/>
  <c r="M666" i="3"/>
  <c r="R666" i="3" s="1"/>
  <c r="M665" i="3"/>
  <c r="R665" i="3" s="1"/>
  <c r="M664" i="3"/>
  <c r="R664" i="3" s="1"/>
  <c r="M663" i="3"/>
  <c r="R663" i="3" s="1"/>
  <c r="M662" i="3"/>
  <c r="R662" i="3" s="1"/>
  <c r="M661" i="3"/>
  <c r="R661" i="3" s="1"/>
  <c r="M660" i="3"/>
  <c r="R660" i="3"/>
  <c r="M659" i="3"/>
  <c r="R659" i="3" s="1"/>
  <c r="M658" i="3"/>
  <c r="R658" i="3" s="1"/>
  <c r="M657" i="3"/>
  <c r="R657" i="3" s="1"/>
  <c r="M656" i="3"/>
  <c r="R656" i="3" s="1"/>
  <c r="M655" i="3"/>
  <c r="R655" i="3"/>
  <c r="M654" i="3"/>
  <c r="R654" i="3" s="1"/>
  <c r="M653" i="3"/>
  <c r="R653" i="3" s="1"/>
  <c r="M652" i="3"/>
  <c r="R652" i="3"/>
  <c r="M651" i="3"/>
  <c r="R651" i="3"/>
  <c r="M650" i="3"/>
  <c r="R650" i="3"/>
  <c r="M649" i="3"/>
  <c r="R649" i="3" s="1"/>
  <c r="M648" i="3"/>
  <c r="R648" i="3"/>
  <c r="M647" i="3"/>
  <c r="R647" i="3" s="1"/>
  <c r="M646" i="3"/>
  <c r="R646" i="3"/>
  <c r="M645" i="3"/>
  <c r="R645" i="3"/>
  <c r="M644" i="3"/>
  <c r="R644" i="3" s="1"/>
  <c r="M643" i="3"/>
  <c r="R643" i="3" s="1"/>
  <c r="M642" i="3"/>
  <c r="R642" i="3" s="1"/>
  <c r="M641" i="3"/>
  <c r="R641" i="3" s="1"/>
  <c r="M640" i="3"/>
  <c r="R640" i="3"/>
  <c r="M639" i="3"/>
  <c r="R639" i="3"/>
  <c r="M638" i="3"/>
  <c r="R638" i="3" s="1"/>
  <c r="M637" i="3"/>
  <c r="R637" i="3" s="1"/>
  <c r="M636" i="3"/>
  <c r="R636" i="3"/>
  <c r="M635" i="3"/>
  <c r="R635" i="3" s="1"/>
  <c r="M634" i="3"/>
  <c r="R634" i="3"/>
  <c r="M633" i="3"/>
  <c r="R633" i="3"/>
  <c r="M632" i="3"/>
  <c r="R632" i="3"/>
  <c r="M631" i="3"/>
  <c r="R631" i="3" s="1"/>
  <c r="M630" i="3"/>
  <c r="R630" i="3"/>
  <c r="M629" i="3"/>
  <c r="R629" i="3" s="1"/>
  <c r="M628" i="3"/>
  <c r="R628" i="3"/>
  <c r="M627" i="3"/>
  <c r="R627" i="3"/>
  <c r="M626" i="3"/>
  <c r="R626" i="3" s="1"/>
  <c r="M625" i="3"/>
  <c r="R625" i="3"/>
  <c r="M624" i="3"/>
  <c r="R624" i="3"/>
  <c r="M623" i="3"/>
  <c r="R623" i="3"/>
  <c r="M622" i="3"/>
  <c r="R622" i="3" s="1"/>
  <c r="M621" i="3"/>
  <c r="R621" i="3"/>
  <c r="M620" i="3"/>
  <c r="R620" i="3"/>
  <c r="M619" i="3"/>
  <c r="R619" i="3" s="1"/>
  <c r="M618" i="3"/>
  <c r="R618" i="3"/>
  <c r="M617" i="3"/>
  <c r="R617" i="3"/>
  <c r="M616" i="3"/>
  <c r="R616" i="3"/>
  <c r="M615" i="3"/>
  <c r="R615" i="3" s="1"/>
  <c r="M614" i="3"/>
  <c r="R614" i="3" s="1"/>
  <c r="M613" i="3"/>
  <c r="R613" i="3" s="1"/>
  <c r="M612" i="3"/>
  <c r="R612" i="3" s="1"/>
  <c r="M611" i="3"/>
  <c r="R611" i="3" s="1"/>
  <c r="M610" i="3"/>
  <c r="R610" i="3" s="1"/>
  <c r="M609" i="3"/>
  <c r="R609" i="3" s="1"/>
  <c r="M608" i="3"/>
  <c r="R608" i="3" s="1"/>
  <c r="M607" i="3"/>
  <c r="R607" i="3" s="1"/>
  <c r="M606" i="3"/>
  <c r="R606" i="3" s="1"/>
  <c r="M605" i="3"/>
  <c r="R605" i="3" s="1"/>
  <c r="M604" i="3"/>
  <c r="R604" i="3" s="1"/>
  <c r="M603" i="3"/>
  <c r="R603" i="3"/>
  <c r="M602" i="3"/>
  <c r="R602" i="3"/>
  <c r="M601" i="3"/>
  <c r="R601" i="3" s="1"/>
  <c r="M600" i="3"/>
  <c r="R600" i="3"/>
  <c r="M599" i="3"/>
  <c r="R599" i="3" s="1"/>
  <c r="M598" i="3"/>
  <c r="R598" i="3" s="1"/>
  <c r="M597" i="3"/>
  <c r="R597" i="3" s="1"/>
  <c r="M596" i="3"/>
  <c r="R596" i="3"/>
  <c r="M595" i="3"/>
  <c r="R595" i="3" s="1"/>
  <c r="M594" i="3"/>
  <c r="R594" i="3"/>
  <c r="M593" i="3"/>
  <c r="R593" i="3"/>
  <c r="M592" i="3"/>
  <c r="R592" i="3"/>
  <c r="M591" i="3"/>
  <c r="R591" i="3"/>
  <c r="M590" i="3"/>
  <c r="R590" i="3"/>
  <c r="M589" i="3"/>
  <c r="R589" i="3" s="1"/>
  <c r="M588" i="3"/>
  <c r="R588" i="3" s="1"/>
  <c r="M587" i="3"/>
  <c r="R587" i="3"/>
  <c r="M586" i="3"/>
  <c r="R586" i="3" s="1"/>
  <c r="M585" i="3"/>
  <c r="R585" i="3"/>
  <c r="M584" i="3"/>
  <c r="R584" i="3" s="1"/>
  <c r="M583" i="3"/>
  <c r="R583" i="3"/>
  <c r="M582" i="3"/>
  <c r="R582" i="3"/>
  <c r="M581" i="3"/>
  <c r="R581" i="3" s="1"/>
  <c r="M580" i="3"/>
  <c r="R580" i="3" s="1"/>
  <c r="M579" i="3"/>
  <c r="R579" i="3" s="1"/>
  <c r="M578" i="3"/>
  <c r="R578" i="3" s="1"/>
  <c r="M577" i="3"/>
  <c r="R577" i="3"/>
  <c r="M576" i="3"/>
  <c r="R576" i="3" s="1"/>
  <c r="M575" i="3"/>
  <c r="R575" i="3" s="1"/>
  <c r="M574" i="3"/>
  <c r="R574" i="3"/>
  <c r="M573" i="3"/>
  <c r="R573" i="3"/>
  <c r="M572" i="3"/>
  <c r="R572" i="3"/>
  <c r="M571" i="3"/>
  <c r="R571" i="3"/>
  <c r="M570" i="3"/>
  <c r="R570" i="3" s="1"/>
  <c r="M569" i="3"/>
  <c r="R569" i="3" s="1"/>
  <c r="M568" i="3"/>
  <c r="R568" i="3" s="1"/>
  <c r="M567" i="3"/>
  <c r="R567" i="3" s="1"/>
  <c r="M566" i="3"/>
  <c r="R566" i="3"/>
  <c r="M565" i="3"/>
  <c r="R565" i="3" s="1"/>
  <c r="M564" i="3"/>
  <c r="R564" i="3"/>
  <c r="M563" i="3"/>
  <c r="R563" i="3" s="1"/>
  <c r="M562" i="3"/>
  <c r="R562" i="3"/>
  <c r="M561" i="3"/>
  <c r="R561" i="3"/>
  <c r="M560" i="3"/>
  <c r="R560" i="3" s="1"/>
  <c r="M559" i="3"/>
  <c r="R559" i="3"/>
  <c r="M558" i="3"/>
  <c r="R558" i="3"/>
  <c r="M557" i="3"/>
  <c r="R557" i="3" s="1"/>
  <c r="M556" i="3"/>
  <c r="R556" i="3" s="1"/>
  <c r="M555" i="3"/>
  <c r="R555" i="3" s="1"/>
  <c r="M554" i="3"/>
  <c r="R554" i="3" s="1"/>
  <c r="M553" i="3"/>
  <c r="R553" i="3" s="1"/>
  <c r="M552" i="3"/>
  <c r="R552" i="3" s="1"/>
  <c r="M551" i="3"/>
  <c r="R551" i="3"/>
  <c r="M550" i="3"/>
  <c r="R550" i="3" s="1"/>
  <c r="M549" i="3"/>
  <c r="R549" i="3" s="1"/>
  <c r="M548" i="3"/>
  <c r="R548" i="3"/>
  <c r="M547" i="3"/>
  <c r="R547" i="3" s="1"/>
  <c r="M546" i="3"/>
  <c r="R546" i="3" s="1"/>
  <c r="M545" i="3"/>
  <c r="R545" i="3"/>
  <c r="M544" i="3"/>
  <c r="R544" i="3" s="1"/>
  <c r="M543" i="3"/>
  <c r="R543" i="3" s="1"/>
  <c r="M542" i="3"/>
  <c r="R542" i="3"/>
  <c r="M541" i="3"/>
  <c r="R541" i="3"/>
  <c r="M540" i="3"/>
  <c r="R540" i="3" s="1"/>
  <c r="M539" i="3"/>
  <c r="R539" i="3" s="1"/>
  <c r="S538" i="3"/>
  <c r="T538" i="3"/>
  <c r="M537" i="3"/>
  <c r="R537" i="3" s="1"/>
  <c r="M536" i="3"/>
  <c r="R536" i="3" s="1"/>
  <c r="M535" i="3"/>
  <c r="R535" i="3" s="1"/>
  <c r="M534" i="3"/>
  <c r="R534" i="3" s="1"/>
  <c r="M533" i="3"/>
  <c r="R533" i="3"/>
  <c r="M532" i="3"/>
  <c r="R532" i="3" s="1"/>
  <c r="M531" i="3"/>
  <c r="R531" i="3"/>
  <c r="M530" i="3"/>
  <c r="R530" i="3"/>
  <c r="M529" i="3"/>
  <c r="R529" i="3"/>
  <c r="M528" i="3"/>
  <c r="R528" i="3"/>
  <c r="M527" i="3"/>
  <c r="R527" i="3"/>
  <c r="M526" i="3"/>
  <c r="R526" i="3"/>
  <c r="M525" i="3"/>
  <c r="R525" i="3"/>
  <c r="M524" i="3"/>
  <c r="R524" i="3"/>
  <c r="M523" i="3"/>
  <c r="R523" i="3" s="1"/>
  <c r="M522" i="3"/>
  <c r="R522" i="3"/>
  <c r="M521" i="3"/>
  <c r="R521" i="3"/>
  <c r="M520" i="3"/>
  <c r="R520" i="3" s="1"/>
  <c r="M519" i="3"/>
  <c r="R519" i="3"/>
  <c r="M518" i="3"/>
  <c r="R518" i="3"/>
  <c r="M517" i="3"/>
  <c r="R517" i="3" s="1"/>
  <c r="M516" i="3"/>
  <c r="R516" i="3" s="1"/>
  <c r="M515" i="3"/>
  <c r="R515" i="3" s="1"/>
  <c r="M514" i="3"/>
  <c r="R514" i="3" s="1"/>
  <c r="M513" i="3"/>
  <c r="R513" i="3" s="1"/>
  <c r="M512" i="3"/>
  <c r="R512" i="3" s="1"/>
  <c r="M511" i="3"/>
  <c r="R511" i="3" s="1"/>
  <c r="M510" i="3"/>
  <c r="R510" i="3"/>
  <c r="M509" i="3"/>
  <c r="R509" i="3"/>
  <c r="M508" i="3"/>
  <c r="R508" i="3"/>
  <c r="M507" i="3"/>
  <c r="R507" i="3" s="1"/>
  <c r="M506" i="3"/>
  <c r="R506" i="3"/>
  <c r="M505" i="3"/>
  <c r="R505" i="3"/>
  <c r="M504" i="3"/>
  <c r="R504" i="3"/>
  <c r="M503" i="3"/>
  <c r="R503" i="3"/>
  <c r="M502" i="3"/>
  <c r="R502" i="3" s="1"/>
  <c r="M501" i="3"/>
  <c r="R501" i="3" s="1"/>
  <c r="M500" i="3"/>
  <c r="R500" i="3" s="1"/>
  <c r="M499" i="3"/>
  <c r="R499" i="3"/>
  <c r="M498" i="3"/>
  <c r="R498" i="3"/>
  <c r="M497" i="3"/>
  <c r="R497" i="3"/>
  <c r="M496" i="3"/>
  <c r="R496" i="3"/>
  <c r="M495" i="3"/>
  <c r="R495" i="3" s="1"/>
  <c r="M494" i="3"/>
  <c r="R494" i="3"/>
  <c r="M493" i="3"/>
  <c r="R493" i="3"/>
  <c r="M492" i="3"/>
  <c r="R492" i="3"/>
  <c r="M491" i="3"/>
  <c r="R491" i="3" s="1"/>
  <c r="M490" i="3"/>
  <c r="R490" i="3" s="1"/>
  <c r="M489" i="3"/>
  <c r="R489" i="3" s="1"/>
  <c r="M488" i="3"/>
  <c r="R488" i="3" s="1"/>
  <c r="M487" i="3"/>
  <c r="R487" i="3"/>
  <c r="M486" i="3"/>
  <c r="R486" i="3"/>
  <c r="M485" i="3"/>
  <c r="R485" i="3"/>
  <c r="M484" i="3"/>
  <c r="R484" i="3" s="1"/>
  <c r="M483" i="3"/>
  <c r="R483" i="3"/>
  <c r="M482" i="3"/>
  <c r="R482" i="3" s="1"/>
  <c r="M481" i="3"/>
  <c r="R481" i="3"/>
  <c r="M480" i="3"/>
  <c r="R480" i="3" s="1"/>
  <c r="M479" i="3"/>
  <c r="R479" i="3" s="1"/>
  <c r="M478" i="3"/>
  <c r="R478" i="3" s="1"/>
  <c r="M477" i="3"/>
  <c r="R477" i="3"/>
  <c r="M476" i="3"/>
  <c r="R476" i="3"/>
  <c r="M475" i="3"/>
  <c r="R475" i="3"/>
  <c r="M474" i="3"/>
  <c r="R474" i="3" s="1"/>
  <c r="M473" i="3"/>
  <c r="R473" i="3" s="1"/>
  <c r="M472" i="3"/>
  <c r="R472" i="3" s="1"/>
  <c r="M471" i="3"/>
  <c r="R471" i="3"/>
  <c r="M470" i="3"/>
  <c r="R470" i="3"/>
  <c r="M469" i="3"/>
  <c r="R469" i="3" s="1"/>
  <c r="M468" i="3"/>
  <c r="R468" i="3"/>
  <c r="M467" i="3"/>
  <c r="R467" i="3"/>
  <c r="M466" i="3"/>
  <c r="R466" i="3" s="1"/>
  <c r="M465" i="3"/>
  <c r="R465" i="3" s="1"/>
  <c r="M464" i="3"/>
  <c r="R464" i="3" s="1"/>
  <c r="M463" i="3"/>
  <c r="R463" i="3"/>
  <c r="M462" i="3"/>
  <c r="R462" i="3" s="1"/>
  <c r="M461" i="3"/>
  <c r="R461" i="3"/>
  <c r="M460" i="3"/>
  <c r="R460" i="3" s="1"/>
  <c r="M459" i="3"/>
  <c r="R459" i="3"/>
  <c r="M458" i="3"/>
  <c r="R458" i="3"/>
  <c r="M457" i="3"/>
  <c r="R457" i="3" s="1"/>
  <c r="M456" i="3"/>
  <c r="R456" i="3" s="1"/>
  <c r="M455" i="3"/>
  <c r="R455" i="3"/>
  <c r="M454" i="3"/>
  <c r="R454" i="3"/>
  <c r="M453" i="3"/>
  <c r="R453" i="3"/>
  <c r="M452" i="3"/>
  <c r="R452" i="3"/>
  <c r="M451" i="3"/>
  <c r="R451" i="3"/>
  <c r="M450" i="3"/>
  <c r="R450" i="3"/>
  <c r="M449" i="3"/>
  <c r="R449" i="3"/>
  <c r="M448" i="3"/>
  <c r="R448" i="3"/>
  <c r="M447" i="3"/>
  <c r="R447" i="3"/>
  <c r="M446" i="3"/>
  <c r="R446" i="3"/>
  <c r="M445" i="3"/>
  <c r="R445" i="3" s="1"/>
  <c r="M444" i="3"/>
  <c r="R444" i="3" s="1"/>
  <c r="M443" i="3"/>
  <c r="R443" i="3" s="1"/>
  <c r="M442" i="3"/>
  <c r="R442" i="3" s="1"/>
  <c r="M441" i="3"/>
  <c r="R441" i="3" s="1"/>
  <c r="M440" i="3"/>
  <c r="R440" i="3" s="1"/>
  <c r="M439" i="3"/>
  <c r="R439" i="3"/>
  <c r="M438" i="3"/>
  <c r="R438" i="3" s="1"/>
  <c r="M437" i="3"/>
  <c r="R437" i="3" s="1"/>
  <c r="M436" i="3"/>
  <c r="R436" i="3" s="1"/>
  <c r="M435" i="3"/>
  <c r="R435" i="3" s="1"/>
  <c r="M434" i="3"/>
  <c r="R434" i="3"/>
  <c r="M433" i="3"/>
  <c r="R433" i="3" s="1"/>
  <c r="M432" i="3"/>
  <c r="R432" i="3"/>
  <c r="M431" i="3"/>
  <c r="R431" i="3"/>
  <c r="M430" i="3"/>
  <c r="R430" i="3"/>
  <c r="M429" i="3"/>
  <c r="R429" i="3"/>
  <c r="M428" i="3"/>
  <c r="R428" i="3"/>
  <c r="M427" i="3"/>
  <c r="R427" i="3"/>
  <c r="M426" i="3"/>
  <c r="R426" i="3" s="1"/>
  <c r="M425" i="3"/>
  <c r="R425" i="3"/>
  <c r="M424" i="3"/>
  <c r="R424" i="3" s="1"/>
  <c r="M423" i="3"/>
  <c r="R423" i="3" s="1"/>
  <c r="M422" i="3"/>
  <c r="R422" i="3" s="1"/>
  <c r="M421" i="3"/>
  <c r="R421" i="3" s="1"/>
  <c r="M420" i="3"/>
  <c r="R420" i="3" s="1"/>
  <c r="M419" i="3"/>
  <c r="R419" i="3"/>
  <c r="M418" i="3"/>
  <c r="R418" i="3"/>
  <c r="M417" i="3"/>
  <c r="R417" i="3" s="1"/>
  <c r="M416" i="3"/>
  <c r="R416" i="3" s="1"/>
  <c r="M415" i="3"/>
  <c r="R415" i="3"/>
  <c r="M414" i="3"/>
  <c r="R414" i="3" s="1"/>
  <c r="M413" i="3"/>
  <c r="R413" i="3" s="1"/>
  <c r="M412" i="3"/>
  <c r="R412" i="3"/>
  <c r="M411" i="3"/>
  <c r="R411" i="3"/>
  <c r="M410" i="3"/>
  <c r="R410" i="3"/>
  <c r="M409" i="3"/>
  <c r="R409" i="3"/>
  <c r="M408" i="3"/>
  <c r="R408" i="3"/>
  <c r="M407" i="3"/>
  <c r="R407" i="3" s="1"/>
  <c r="M406" i="3"/>
  <c r="R406" i="3"/>
  <c r="M405" i="3"/>
  <c r="R405" i="3" s="1"/>
  <c r="M404" i="3"/>
  <c r="R404" i="3"/>
  <c r="M403" i="3"/>
  <c r="R403" i="3" s="1"/>
  <c r="M402" i="3"/>
  <c r="R402" i="3"/>
  <c r="M401" i="3"/>
  <c r="R401" i="3"/>
  <c r="M400" i="3"/>
  <c r="R400" i="3"/>
  <c r="M399" i="3"/>
  <c r="R399" i="3"/>
  <c r="M398" i="3"/>
  <c r="R398" i="3" s="1"/>
  <c r="M397" i="3"/>
  <c r="R397" i="3"/>
  <c r="M396" i="3"/>
  <c r="R396" i="3"/>
  <c r="M395" i="3"/>
  <c r="R395" i="3" s="1"/>
  <c r="M394" i="3"/>
  <c r="R394" i="3" s="1"/>
  <c r="M393" i="3"/>
  <c r="R393" i="3" s="1"/>
  <c r="M392" i="3"/>
  <c r="R392" i="3"/>
  <c r="M391" i="3"/>
  <c r="R391" i="3"/>
  <c r="M390" i="3"/>
  <c r="R390" i="3"/>
  <c r="M389" i="3"/>
  <c r="R389" i="3"/>
  <c r="M388" i="3"/>
  <c r="R388" i="3"/>
  <c r="M387" i="3"/>
  <c r="R387" i="3"/>
  <c r="M386" i="3"/>
  <c r="R386" i="3"/>
  <c r="M385" i="3"/>
  <c r="R385" i="3" s="1"/>
  <c r="M384" i="3"/>
  <c r="R384" i="3"/>
  <c r="M383" i="3"/>
  <c r="R383" i="3"/>
  <c r="M382" i="3"/>
  <c r="R382" i="3" s="1"/>
  <c r="M381" i="3"/>
  <c r="R381" i="3"/>
  <c r="M380" i="3"/>
  <c r="R380" i="3"/>
  <c r="M379" i="3"/>
  <c r="R379" i="3"/>
  <c r="M378" i="3"/>
  <c r="R378" i="3"/>
  <c r="M377" i="3"/>
  <c r="R377" i="3"/>
  <c r="M376" i="3"/>
  <c r="R376" i="3" s="1"/>
  <c r="M375" i="3"/>
  <c r="R375" i="3" s="1"/>
  <c r="M374" i="3"/>
  <c r="R374" i="3" s="1"/>
  <c r="M373" i="3"/>
  <c r="R373" i="3" s="1"/>
  <c r="M372" i="3"/>
  <c r="R372" i="3" s="1"/>
  <c r="M371" i="3"/>
  <c r="R371" i="3" s="1"/>
  <c r="M370" i="3"/>
  <c r="R370" i="3" s="1"/>
  <c r="M369" i="3"/>
  <c r="R369" i="3" s="1"/>
  <c r="M368" i="3"/>
  <c r="R368" i="3" s="1"/>
  <c r="M367" i="3"/>
  <c r="R367" i="3" s="1"/>
  <c r="M366" i="3"/>
  <c r="R366" i="3" s="1"/>
  <c r="M365" i="3"/>
  <c r="R365" i="3" s="1"/>
  <c r="M364" i="3"/>
  <c r="R364" i="3" s="1"/>
  <c r="M363" i="3"/>
  <c r="R363" i="3"/>
  <c r="M362" i="3"/>
  <c r="R362" i="3"/>
  <c r="M361" i="3"/>
  <c r="R361" i="3" s="1"/>
  <c r="M360" i="3"/>
  <c r="R360" i="3" s="1"/>
  <c r="M359" i="3"/>
  <c r="R359" i="3" s="1"/>
  <c r="M358" i="3"/>
  <c r="R358" i="3"/>
  <c r="M357" i="3"/>
  <c r="R357" i="3" s="1"/>
  <c r="M356" i="3"/>
  <c r="R356" i="3" s="1"/>
  <c r="M355" i="3"/>
  <c r="R355" i="3" s="1"/>
  <c r="M354" i="3"/>
  <c r="R354" i="3" s="1"/>
  <c r="M353" i="3"/>
  <c r="R353" i="3" s="1"/>
  <c r="M352" i="3"/>
  <c r="R352" i="3" s="1"/>
  <c r="M351" i="3"/>
  <c r="R351" i="3" s="1"/>
  <c r="M350" i="3"/>
  <c r="R350" i="3" s="1"/>
  <c r="M349" i="3"/>
  <c r="R349" i="3"/>
  <c r="M348" i="3"/>
  <c r="R348" i="3" s="1"/>
  <c r="M347" i="3"/>
  <c r="R347" i="3"/>
  <c r="M346" i="3"/>
  <c r="R346" i="3"/>
  <c r="M345" i="3"/>
  <c r="R345" i="3"/>
  <c r="M344" i="3"/>
  <c r="R344" i="3"/>
  <c r="M343" i="3"/>
  <c r="R343" i="3" s="1"/>
  <c r="M342" i="3"/>
  <c r="R342" i="3"/>
  <c r="M341" i="3"/>
  <c r="R341" i="3"/>
  <c r="M340" i="3"/>
  <c r="R340" i="3"/>
  <c r="M339" i="3"/>
  <c r="R339" i="3" s="1"/>
  <c r="M338" i="3"/>
  <c r="R338" i="3" s="1"/>
  <c r="M337" i="3"/>
  <c r="R337" i="3" s="1"/>
  <c r="M336" i="3"/>
  <c r="R336" i="3" s="1"/>
  <c r="M335" i="3"/>
  <c r="R335" i="3" s="1"/>
  <c r="M334" i="3"/>
  <c r="R334" i="3" s="1"/>
  <c r="M333" i="3"/>
  <c r="R333" i="3"/>
  <c r="M332" i="3"/>
  <c r="R332" i="3" s="1"/>
  <c r="M331" i="3"/>
  <c r="R331" i="3" s="1"/>
  <c r="M330" i="3"/>
  <c r="R330" i="3" s="1"/>
  <c r="M329" i="3"/>
  <c r="R329" i="3" s="1"/>
  <c r="M328" i="3"/>
  <c r="R328" i="3"/>
  <c r="M327" i="3"/>
  <c r="R327" i="3" s="1"/>
  <c r="M326" i="3"/>
  <c r="R326" i="3" s="1"/>
  <c r="M325" i="3"/>
  <c r="R325" i="3"/>
  <c r="M324" i="3"/>
  <c r="R324" i="3"/>
  <c r="M323" i="3"/>
  <c r="R323" i="3"/>
  <c r="M322" i="3"/>
  <c r="R322" i="3"/>
  <c r="M321" i="3"/>
  <c r="R321" i="3"/>
  <c r="M320" i="3"/>
  <c r="R320" i="3"/>
  <c r="M319" i="3"/>
  <c r="R319" i="3" s="1"/>
  <c r="M318" i="3"/>
  <c r="R318" i="3"/>
  <c r="M317" i="3"/>
  <c r="R317" i="3"/>
  <c r="M316" i="3"/>
  <c r="R316" i="3" s="1"/>
  <c r="M315" i="3"/>
  <c r="R315" i="3" s="1"/>
  <c r="M314" i="3"/>
  <c r="R314" i="3"/>
  <c r="M313" i="3"/>
  <c r="R313" i="3" s="1"/>
  <c r="M312" i="3"/>
  <c r="R312" i="3"/>
  <c r="M311" i="3"/>
  <c r="R311" i="3" s="1"/>
  <c r="M310" i="3"/>
  <c r="R310" i="3" s="1"/>
  <c r="M309" i="3"/>
  <c r="R309" i="3" s="1"/>
  <c r="M308" i="3"/>
  <c r="R308" i="3" s="1"/>
  <c r="M307" i="3"/>
  <c r="R307" i="3" s="1"/>
  <c r="M306" i="3"/>
  <c r="R306" i="3" s="1"/>
  <c r="M305" i="3"/>
  <c r="R305" i="3" s="1"/>
  <c r="M304" i="3"/>
  <c r="R304" i="3" s="1"/>
  <c r="M303" i="3"/>
  <c r="R303" i="3" s="1"/>
  <c r="M302" i="3"/>
  <c r="R302" i="3" s="1"/>
  <c r="M301" i="3"/>
  <c r="R301" i="3" s="1"/>
  <c r="M300" i="3"/>
  <c r="R300" i="3" s="1"/>
  <c r="M299" i="3"/>
  <c r="R299" i="3" s="1"/>
  <c r="M298" i="3"/>
  <c r="R298" i="3" s="1"/>
  <c r="M297" i="3"/>
  <c r="R297" i="3" s="1"/>
  <c r="M296" i="3"/>
  <c r="R296" i="3" s="1"/>
  <c r="M295" i="3"/>
  <c r="R295" i="3" s="1"/>
  <c r="M294" i="3"/>
  <c r="R294" i="3" s="1"/>
  <c r="M293" i="3"/>
  <c r="R293" i="3" s="1"/>
  <c r="M292" i="3"/>
  <c r="R292" i="3" s="1"/>
  <c r="M291" i="3"/>
  <c r="R291" i="3" s="1"/>
  <c r="M290" i="3"/>
  <c r="R290" i="3"/>
  <c r="M289" i="3"/>
  <c r="R289" i="3" s="1"/>
  <c r="M288" i="3"/>
  <c r="R288" i="3" s="1"/>
  <c r="M287" i="3"/>
  <c r="R287" i="3" s="1"/>
  <c r="M286" i="3"/>
  <c r="R286" i="3"/>
  <c r="M285" i="3"/>
  <c r="R285" i="3" s="1"/>
  <c r="M284" i="3"/>
  <c r="R284" i="3" s="1"/>
  <c r="M283" i="3"/>
  <c r="R283" i="3"/>
  <c r="M282" i="3"/>
  <c r="R282" i="3"/>
  <c r="M281" i="3"/>
  <c r="R281" i="3" s="1"/>
  <c r="M280" i="3"/>
  <c r="R280" i="3" s="1"/>
  <c r="M279" i="3"/>
  <c r="R279" i="3" s="1"/>
  <c r="M278" i="3"/>
  <c r="R278" i="3" s="1"/>
  <c r="M277" i="3"/>
  <c r="R277" i="3" s="1"/>
  <c r="M276" i="3"/>
  <c r="R276" i="3"/>
  <c r="M275" i="3"/>
  <c r="R275" i="3"/>
  <c r="M274" i="3"/>
  <c r="R274" i="3" s="1"/>
  <c r="M273" i="3"/>
  <c r="R273" i="3"/>
  <c r="M272" i="3"/>
  <c r="R272" i="3"/>
  <c r="M271" i="3"/>
  <c r="R271" i="3"/>
  <c r="M270" i="3"/>
  <c r="R270" i="3" s="1"/>
  <c r="M269" i="3"/>
  <c r="R269" i="3" s="1"/>
  <c r="M268" i="3"/>
  <c r="R268" i="3" s="1"/>
  <c r="M267" i="3"/>
  <c r="R267" i="3" s="1"/>
  <c r="M266" i="3"/>
  <c r="R266" i="3" s="1"/>
  <c r="M265" i="3"/>
  <c r="R265" i="3" s="1"/>
  <c r="M264" i="3"/>
  <c r="R264" i="3"/>
  <c r="M263" i="3"/>
  <c r="R263" i="3" s="1"/>
  <c r="M262" i="3"/>
  <c r="R262" i="3" s="1"/>
  <c r="M261" i="3"/>
  <c r="R261" i="3"/>
  <c r="M260" i="3"/>
  <c r="R260" i="3"/>
  <c r="M259" i="3"/>
  <c r="R259" i="3"/>
  <c r="M258" i="3"/>
  <c r="R258" i="3" s="1"/>
  <c r="M257" i="3"/>
  <c r="R257" i="3"/>
  <c r="M256" i="3"/>
  <c r="R256" i="3" s="1"/>
  <c r="M255" i="3"/>
  <c r="R255" i="3"/>
  <c r="M254" i="3"/>
  <c r="R254" i="3"/>
  <c r="M253" i="3"/>
  <c r="R253" i="3" s="1"/>
  <c r="M252" i="3"/>
  <c r="R252" i="3"/>
  <c r="M251" i="3"/>
  <c r="R251" i="3" s="1"/>
  <c r="M250" i="3"/>
  <c r="R250" i="3"/>
  <c r="M249" i="3"/>
  <c r="R249" i="3"/>
  <c r="M248" i="3"/>
  <c r="R248" i="3"/>
  <c r="M247" i="3"/>
  <c r="R247" i="3"/>
  <c r="M246" i="3"/>
  <c r="R246" i="3" s="1"/>
  <c r="M245" i="3"/>
  <c r="R245" i="3"/>
  <c r="M244" i="3"/>
  <c r="R244" i="3" s="1"/>
  <c r="M243" i="3"/>
  <c r="R243" i="3" s="1"/>
  <c r="M242" i="3"/>
  <c r="R242" i="3"/>
  <c r="M241" i="3"/>
  <c r="R241" i="3" s="1"/>
  <c r="M240" i="3"/>
  <c r="R240" i="3"/>
  <c r="M239" i="3"/>
  <c r="R239" i="3" s="1"/>
  <c r="M238" i="3"/>
  <c r="R238" i="3" s="1"/>
  <c r="M237" i="3"/>
  <c r="R237" i="3" s="1"/>
  <c r="M236" i="3"/>
  <c r="R236" i="3" s="1"/>
  <c r="M235" i="3"/>
  <c r="R235" i="3" s="1"/>
  <c r="M234" i="3"/>
  <c r="R234" i="3" s="1"/>
  <c r="M233" i="3"/>
  <c r="R233" i="3" s="1"/>
  <c r="M232" i="3"/>
  <c r="R232" i="3" s="1"/>
  <c r="M231" i="3"/>
  <c r="R231" i="3"/>
  <c r="M230" i="3"/>
  <c r="R230" i="3" s="1"/>
  <c r="M229" i="3"/>
  <c r="R229" i="3" s="1"/>
  <c r="M228" i="3"/>
  <c r="R228" i="3" s="1"/>
  <c r="M227" i="3"/>
  <c r="R227" i="3" s="1"/>
  <c r="M226" i="3"/>
  <c r="R226" i="3"/>
  <c r="M225" i="3"/>
  <c r="R225" i="3" s="1"/>
  <c r="M224" i="3"/>
  <c r="R224" i="3"/>
  <c r="M223" i="3"/>
  <c r="R223" i="3"/>
  <c r="M222" i="3"/>
  <c r="R222" i="3"/>
  <c r="M221" i="3"/>
  <c r="R221" i="3" s="1"/>
  <c r="M220" i="3"/>
  <c r="R220" i="3"/>
  <c r="M219" i="3"/>
  <c r="R219" i="3"/>
  <c r="M218" i="3"/>
  <c r="R218" i="3"/>
  <c r="M217" i="3"/>
  <c r="R217" i="3"/>
  <c r="M216" i="3"/>
  <c r="R216" i="3" s="1"/>
  <c r="M215" i="3"/>
  <c r="R215" i="3" s="1"/>
  <c r="M214" i="3"/>
  <c r="R214" i="3" s="1"/>
  <c r="M213" i="3"/>
  <c r="R213" i="3" s="1"/>
  <c r="M212" i="3"/>
  <c r="R212" i="3" s="1"/>
  <c r="M211" i="3"/>
  <c r="R211" i="3" s="1"/>
  <c r="M210" i="3"/>
  <c r="R210" i="3" s="1"/>
  <c r="M209" i="3"/>
  <c r="R209" i="3"/>
  <c r="M208" i="3"/>
  <c r="R208" i="3" s="1"/>
  <c r="M207" i="3"/>
  <c r="R207" i="3" s="1"/>
  <c r="M206" i="3"/>
  <c r="R206" i="3"/>
  <c r="M205" i="3"/>
  <c r="R205" i="3"/>
  <c r="M204" i="3"/>
  <c r="R204" i="3"/>
  <c r="M203" i="3"/>
  <c r="R203" i="3"/>
  <c r="M202" i="3"/>
  <c r="R202" i="3"/>
  <c r="M201" i="3"/>
  <c r="R201" i="3"/>
  <c r="M200" i="3"/>
  <c r="R200" i="3"/>
  <c r="M199" i="3"/>
  <c r="R199" i="3"/>
  <c r="M198" i="3"/>
  <c r="R198" i="3"/>
  <c r="M197" i="3"/>
  <c r="R197" i="3"/>
  <c r="M196" i="3"/>
  <c r="R196" i="3" s="1"/>
  <c r="M195" i="3"/>
  <c r="R195" i="3" s="1"/>
  <c r="M194" i="3"/>
  <c r="R194" i="3"/>
  <c r="M193" i="3"/>
  <c r="R193" i="3"/>
  <c r="M192" i="3"/>
  <c r="R192" i="3"/>
  <c r="M191" i="3"/>
  <c r="R191" i="3"/>
  <c r="M190" i="3"/>
  <c r="R190" i="3"/>
  <c r="M189" i="3"/>
  <c r="R189" i="3"/>
  <c r="M188" i="3"/>
  <c r="R188" i="3"/>
  <c r="M187" i="3"/>
  <c r="R187" i="3" s="1"/>
  <c r="M186" i="3"/>
  <c r="R186" i="3"/>
  <c r="M185" i="3"/>
  <c r="R185" i="3"/>
  <c r="M184" i="3"/>
  <c r="R184" i="3" s="1"/>
  <c r="M183" i="3"/>
  <c r="R183" i="3" s="1"/>
  <c r="M182" i="3"/>
  <c r="R182" i="3" s="1"/>
  <c r="M181" i="3"/>
  <c r="R181" i="3" s="1"/>
  <c r="M180" i="3"/>
  <c r="R180" i="3" s="1"/>
  <c r="M179" i="3"/>
  <c r="R179" i="3" s="1"/>
  <c r="M178" i="3"/>
  <c r="R178" i="3" s="1"/>
  <c r="M177" i="3"/>
  <c r="R177" i="3"/>
  <c r="M176" i="3"/>
  <c r="R176" i="3" s="1"/>
  <c r="M175" i="3"/>
  <c r="R175" i="3" s="1"/>
  <c r="M174" i="3"/>
  <c r="R174" i="3" s="1"/>
  <c r="M173" i="3"/>
  <c r="R173" i="3"/>
  <c r="M172" i="3"/>
  <c r="R172" i="3" s="1"/>
  <c r="M171" i="3"/>
  <c r="R171" i="3"/>
  <c r="M170" i="3"/>
  <c r="R170" i="3" s="1"/>
  <c r="M169" i="3"/>
  <c r="R169" i="3"/>
  <c r="M168" i="3"/>
  <c r="R168" i="3"/>
  <c r="M167" i="3"/>
  <c r="R167" i="3"/>
  <c r="M166" i="3"/>
  <c r="R166" i="3"/>
  <c r="M165" i="3"/>
  <c r="R165" i="3"/>
  <c r="M164" i="3"/>
  <c r="R164" i="3" s="1"/>
  <c r="M163" i="3"/>
  <c r="R163" i="3"/>
  <c r="M162" i="3"/>
  <c r="R162" i="3" s="1"/>
  <c r="M161" i="3"/>
  <c r="R161" i="3" s="1"/>
  <c r="M160" i="3"/>
  <c r="R160" i="3" s="1"/>
  <c r="M159" i="3"/>
  <c r="R159" i="3" s="1"/>
  <c r="M158" i="3"/>
  <c r="R158" i="3" s="1"/>
  <c r="M157" i="3"/>
  <c r="R157" i="3" s="1"/>
  <c r="M156" i="3"/>
  <c r="R156" i="3" s="1"/>
  <c r="M155" i="3"/>
  <c r="R155" i="3" s="1"/>
  <c r="M154" i="3"/>
  <c r="R154" i="3" s="1"/>
  <c r="M153" i="3"/>
  <c r="R153" i="3"/>
  <c r="M152" i="3"/>
  <c r="R152" i="3" s="1"/>
  <c r="M151" i="3"/>
  <c r="R151" i="3" s="1"/>
  <c r="M150" i="3"/>
  <c r="R150" i="3" s="1"/>
  <c r="M149" i="3"/>
  <c r="R149" i="3" s="1"/>
  <c r="M148" i="3"/>
  <c r="R148" i="3" s="1"/>
  <c r="M147" i="3"/>
  <c r="R147" i="3"/>
  <c r="M146" i="3"/>
  <c r="R146" i="3"/>
  <c r="M145" i="3"/>
  <c r="R145" i="3"/>
  <c r="M144" i="3"/>
  <c r="R144" i="3"/>
  <c r="M143" i="3"/>
  <c r="R143" i="3"/>
  <c r="M142" i="3"/>
  <c r="R142" i="3"/>
  <c r="M141" i="3"/>
  <c r="R141" i="3"/>
  <c r="M140" i="3"/>
  <c r="R140" i="3"/>
  <c r="M139" i="3"/>
  <c r="R139" i="3"/>
  <c r="M138" i="3"/>
  <c r="R138" i="3" s="1"/>
  <c r="M137" i="3"/>
  <c r="R137" i="3" s="1"/>
  <c r="M136" i="3"/>
  <c r="R136" i="3"/>
  <c r="M135" i="3"/>
  <c r="R135" i="3"/>
  <c r="M134" i="3"/>
  <c r="R134" i="3"/>
  <c r="M133" i="3"/>
  <c r="R133" i="3" s="1"/>
  <c r="M132" i="3"/>
  <c r="R132" i="3"/>
  <c r="M131" i="3"/>
  <c r="R131" i="3" s="1"/>
  <c r="M130" i="3"/>
  <c r="R130" i="3"/>
  <c r="M129" i="3"/>
  <c r="R129" i="3"/>
  <c r="M128" i="3"/>
  <c r="R128" i="3"/>
  <c r="M127" i="3"/>
  <c r="R127" i="3" s="1"/>
  <c r="M126" i="3"/>
  <c r="R126" i="3" s="1"/>
  <c r="M125" i="3"/>
  <c r="R125" i="3" s="1"/>
  <c r="M124" i="3"/>
  <c r="R124" i="3"/>
  <c r="M123" i="3"/>
  <c r="R123" i="3" s="1"/>
  <c r="M122" i="3"/>
  <c r="R122" i="3"/>
  <c r="M121" i="3"/>
  <c r="R121" i="3"/>
  <c r="M120" i="3"/>
  <c r="R120" i="3" s="1"/>
  <c r="M119" i="3"/>
  <c r="R119" i="3" s="1"/>
  <c r="M118" i="3"/>
  <c r="R118" i="3"/>
  <c r="C7" i="7"/>
  <c r="C6" i="7"/>
  <c r="C5" i="7"/>
  <c r="C10" i="7"/>
  <c r="C8" i="7"/>
  <c r="C12" i="7"/>
  <c r="C13" i="7"/>
  <c r="C11" i="7"/>
  <c r="C9" i="7"/>
  <c r="D9" i="7" s="1"/>
  <c r="E9" i="7" s="1"/>
  <c r="F9" i="7" s="1"/>
  <c r="C22" i="1"/>
  <c r="B22" i="1"/>
  <c r="B10" i="2" s="1"/>
  <c r="G8" i="6"/>
  <c r="B21" i="1"/>
  <c r="C21" i="1"/>
  <c r="M117" i="3"/>
  <c r="R117" i="3"/>
  <c r="B17" i="1"/>
  <c r="C17" i="1"/>
  <c r="M116" i="3"/>
  <c r="R116" i="3" s="1"/>
  <c r="M115" i="3"/>
  <c r="R115" i="3" s="1"/>
  <c r="M114" i="3"/>
  <c r="R114" i="3" s="1"/>
  <c r="M113" i="3"/>
  <c r="R113" i="3" s="1"/>
  <c r="M112" i="3"/>
  <c r="R112" i="3" s="1"/>
  <c r="M111" i="3"/>
  <c r="R111" i="3" s="1"/>
  <c r="M110" i="3"/>
  <c r="R110" i="3" s="1"/>
  <c r="M109" i="3"/>
  <c r="R109" i="3" s="1"/>
  <c r="M108" i="3"/>
  <c r="R108" i="3" s="1"/>
  <c r="M107" i="3"/>
  <c r="R107" i="3" s="1"/>
  <c r="M106" i="3"/>
  <c r="R106" i="3" s="1"/>
  <c r="M105" i="3"/>
  <c r="R105" i="3" s="1"/>
  <c r="M104" i="3"/>
  <c r="R104" i="3" s="1"/>
  <c r="M103" i="3"/>
  <c r="R103" i="3" s="1"/>
  <c r="M102" i="3"/>
  <c r="R102" i="3" s="1"/>
  <c r="M101" i="3"/>
  <c r="R101" i="3" s="1"/>
  <c r="M100" i="3"/>
  <c r="R100" i="3" s="1"/>
  <c r="M99" i="3"/>
  <c r="R99" i="3" s="1"/>
  <c r="M98" i="3"/>
  <c r="R98" i="3" s="1"/>
  <c r="M97" i="3"/>
  <c r="R97" i="3" s="1"/>
  <c r="M96" i="3"/>
  <c r="R96" i="3" s="1"/>
  <c r="M95" i="3"/>
  <c r="R95" i="3" s="1"/>
  <c r="M94" i="3"/>
  <c r="R94" i="3" s="1"/>
  <c r="M93" i="3"/>
  <c r="R93" i="3" s="1"/>
  <c r="M92" i="3"/>
  <c r="R92" i="3" s="1"/>
  <c r="M91" i="3"/>
  <c r="R91" i="3" s="1"/>
  <c r="M90" i="3"/>
  <c r="R90" i="3" s="1"/>
  <c r="M89" i="3"/>
  <c r="R89" i="3" s="1"/>
  <c r="M88" i="3"/>
  <c r="R88" i="3" s="1"/>
  <c r="M87" i="3"/>
  <c r="R87" i="3" s="1"/>
  <c r="M86" i="3"/>
  <c r="R86" i="3" s="1"/>
  <c r="M85" i="3"/>
  <c r="R85" i="3" s="1"/>
  <c r="M84" i="3"/>
  <c r="R84" i="3" s="1"/>
  <c r="M83" i="3"/>
  <c r="R83" i="3" s="1"/>
  <c r="M82" i="3"/>
  <c r="R82" i="3" s="1"/>
  <c r="M81" i="3"/>
  <c r="R81" i="3" s="1"/>
  <c r="M80" i="3"/>
  <c r="R80" i="3" s="1"/>
  <c r="M79" i="3"/>
  <c r="R79" i="3" s="1"/>
  <c r="M78" i="3"/>
  <c r="R78" i="3" s="1"/>
  <c r="M77" i="3"/>
  <c r="R77" i="3" s="1"/>
  <c r="M76" i="3"/>
  <c r="R76" i="3" s="1"/>
  <c r="M75" i="3"/>
  <c r="R75" i="3" s="1"/>
  <c r="M74" i="3"/>
  <c r="R74" i="3" s="1"/>
  <c r="M73" i="3"/>
  <c r="R73" i="3" s="1"/>
  <c r="M72" i="3"/>
  <c r="R72" i="3" s="1"/>
  <c r="M71" i="3"/>
  <c r="R71" i="3" s="1"/>
  <c r="M70" i="3"/>
  <c r="R70" i="3" s="1"/>
  <c r="M69" i="3"/>
  <c r="R69" i="3" s="1"/>
  <c r="M68" i="3"/>
  <c r="R68" i="3" s="1"/>
  <c r="M67" i="3"/>
  <c r="R67" i="3" s="1"/>
  <c r="M66" i="3"/>
  <c r="R66" i="3" s="1"/>
  <c r="M65" i="3"/>
  <c r="R65" i="3" s="1"/>
  <c r="M64" i="3"/>
  <c r="R64" i="3" s="1"/>
  <c r="M63" i="3"/>
  <c r="R63" i="3" s="1"/>
  <c r="M62" i="3"/>
  <c r="R62" i="3" s="1"/>
  <c r="M61" i="3"/>
  <c r="R61" i="3" s="1"/>
  <c r="M60" i="3"/>
  <c r="R60" i="3" s="1"/>
  <c r="M59" i="3"/>
  <c r="R59" i="3" s="1"/>
  <c r="M58" i="3"/>
  <c r="R58" i="3" s="1"/>
  <c r="M57" i="3"/>
  <c r="R57" i="3" s="1"/>
  <c r="M56" i="3"/>
  <c r="R56" i="3" s="1"/>
  <c r="M55" i="3"/>
  <c r="R55" i="3" s="1"/>
  <c r="M54" i="3"/>
  <c r="R54" i="3" s="1"/>
  <c r="M53" i="3"/>
  <c r="R53" i="3" s="1"/>
  <c r="M52" i="3"/>
  <c r="R52" i="3" s="1"/>
  <c r="M51" i="3"/>
  <c r="R51" i="3" s="1"/>
  <c r="M50" i="3"/>
  <c r="R50" i="3" s="1"/>
  <c r="M49" i="3"/>
  <c r="R49" i="3" s="1"/>
  <c r="M48" i="3"/>
  <c r="R48" i="3" s="1"/>
  <c r="M47" i="3"/>
  <c r="R47" i="3" s="1"/>
  <c r="M46" i="3"/>
  <c r="R46" i="3" s="1"/>
  <c r="M45" i="3"/>
  <c r="R45" i="3" s="1"/>
  <c r="M44" i="3"/>
  <c r="R44" i="3" s="1"/>
  <c r="M43" i="3"/>
  <c r="R43" i="3" s="1"/>
  <c r="M42" i="3"/>
  <c r="R42" i="3" s="1"/>
  <c r="M41" i="3"/>
  <c r="R41" i="3" s="1"/>
  <c r="M40" i="3"/>
  <c r="R40" i="3" s="1"/>
  <c r="M39" i="3"/>
  <c r="R39" i="3" s="1"/>
  <c r="M38" i="3"/>
  <c r="R38" i="3" s="1"/>
  <c r="M37" i="3"/>
  <c r="R37" i="3" s="1"/>
  <c r="M36" i="3"/>
  <c r="R36" i="3" s="1"/>
  <c r="M35" i="3"/>
  <c r="R35" i="3" s="1"/>
  <c r="M34" i="3"/>
  <c r="R34" i="3" s="1"/>
  <c r="M33" i="3"/>
  <c r="R33" i="3" s="1"/>
  <c r="M32" i="3"/>
  <c r="R32" i="3" s="1"/>
  <c r="M31" i="3"/>
  <c r="R31" i="3" s="1"/>
  <c r="M30" i="3"/>
  <c r="R30" i="3" s="1"/>
  <c r="M29" i="3"/>
  <c r="R29" i="3" s="1"/>
  <c r="M28" i="3"/>
  <c r="R28" i="3" s="1"/>
  <c r="M27" i="3"/>
  <c r="R27" i="3" s="1"/>
  <c r="M26" i="3"/>
  <c r="R26" i="3" s="1"/>
  <c r="M25" i="3"/>
  <c r="R25" i="3" s="1"/>
  <c r="M24" i="3"/>
  <c r="R24" i="3" s="1"/>
  <c r="M23" i="3"/>
  <c r="R23" i="3" s="1"/>
  <c r="M22" i="3"/>
  <c r="R22" i="3" s="1"/>
  <c r="M21" i="3"/>
  <c r="R21" i="3" s="1"/>
  <c r="M20" i="3"/>
  <c r="R20" i="3" s="1"/>
  <c r="M19" i="3"/>
  <c r="R19" i="3" s="1"/>
  <c r="M18" i="3"/>
  <c r="R18" i="3" s="1"/>
  <c r="M17" i="3"/>
  <c r="R17" i="3" s="1"/>
  <c r="M16" i="3"/>
  <c r="R16" i="3" s="1"/>
  <c r="M15" i="3"/>
  <c r="R15" i="3" s="1"/>
  <c r="M14" i="3"/>
  <c r="R14" i="3" s="1"/>
  <c r="M13" i="3"/>
  <c r="R13" i="3" s="1"/>
  <c r="M12" i="3"/>
  <c r="R12" i="3" s="1"/>
  <c r="M11" i="3"/>
  <c r="R11" i="3" s="1"/>
  <c r="M10" i="3"/>
  <c r="R10" i="3" s="1"/>
  <c r="M9" i="3"/>
  <c r="R9" i="3" s="1"/>
  <c r="M8" i="3"/>
  <c r="R8" i="3" s="1"/>
  <c r="M7" i="3"/>
  <c r="R7" i="3" s="1"/>
  <c r="M6" i="3"/>
  <c r="R6" i="3" s="1"/>
  <c r="M5" i="3"/>
  <c r="R5" i="3" s="1"/>
  <c r="M4" i="3"/>
  <c r="R4" i="3" s="1"/>
  <c r="M3" i="3"/>
  <c r="R3" i="3" s="1"/>
  <c r="M2" i="3"/>
  <c r="R2" i="3" s="1"/>
  <c r="D22" i="1"/>
  <c r="D21" i="1"/>
  <c r="D17" i="1"/>
  <c r="D19" i="1"/>
  <c r="D20" i="1"/>
  <c r="S1534" i="3" l="1"/>
  <c r="T1534" i="3"/>
  <c r="S1533" i="3"/>
  <c r="T1533" i="3"/>
  <c r="S1532" i="3"/>
  <c r="T1532" i="3"/>
  <c r="S1531" i="3"/>
  <c r="T1531" i="3"/>
  <c r="S1530" i="3"/>
  <c r="T1530" i="3"/>
  <c r="S1529" i="3"/>
  <c r="T1529" i="3"/>
  <c r="S1528" i="3"/>
  <c r="T1528" i="3"/>
  <c r="S1527" i="3"/>
  <c r="T1527" i="3"/>
  <c r="S1526" i="3"/>
  <c r="T1526" i="3"/>
  <c r="S1525" i="3"/>
  <c r="T1525" i="3"/>
  <c r="S1524" i="3"/>
  <c r="T1524" i="3"/>
  <c r="S1523" i="3"/>
  <c r="T1523" i="3"/>
  <c r="S1522" i="3"/>
  <c r="T1522" i="3"/>
  <c r="S1521" i="3"/>
  <c r="T1521" i="3"/>
  <c r="S1520" i="3"/>
  <c r="T1520" i="3"/>
  <c r="S1519" i="3"/>
  <c r="T1519" i="3"/>
  <c r="T1518" i="3"/>
  <c r="S1518" i="3"/>
  <c r="T1517" i="3"/>
  <c r="S1517" i="3"/>
  <c r="S1516" i="3"/>
  <c r="T1516" i="3"/>
  <c r="S1515" i="3"/>
  <c r="T1515" i="3"/>
  <c r="S1514" i="3"/>
  <c r="T1514" i="3"/>
  <c r="S1513" i="3"/>
  <c r="T1513" i="3"/>
  <c r="S1512" i="3"/>
  <c r="T1512" i="3"/>
  <c r="S1511" i="3"/>
  <c r="T1511" i="3"/>
  <c r="S1510" i="3"/>
  <c r="T1510" i="3"/>
  <c r="S1509" i="3"/>
  <c r="T1509" i="3"/>
  <c r="S1508" i="3"/>
  <c r="T1508" i="3"/>
  <c r="S1507" i="3"/>
  <c r="T1507" i="3"/>
  <c r="S1506" i="3"/>
  <c r="T1506" i="3"/>
  <c r="T1505" i="3"/>
  <c r="S1505" i="3"/>
  <c r="S1504" i="3"/>
  <c r="T1504" i="3"/>
  <c r="S1503" i="3"/>
  <c r="T1503" i="3"/>
  <c r="S1502" i="3"/>
  <c r="T1502" i="3"/>
  <c r="S1501" i="3"/>
  <c r="T1501" i="3"/>
  <c r="S1500" i="3"/>
  <c r="T1500" i="3"/>
  <c r="S1499" i="3"/>
  <c r="T1499" i="3"/>
  <c r="S1498" i="3"/>
  <c r="T1498" i="3"/>
  <c r="S1497" i="3"/>
  <c r="T1497" i="3"/>
  <c r="S1496" i="3"/>
  <c r="T1496" i="3"/>
  <c r="S1495" i="3"/>
  <c r="T1495" i="3"/>
  <c r="T1494" i="3"/>
  <c r="S1494" i="3"/>
  <c r="S1493" i="3"/>
  <c r="T1493" i="3"/>
  <c r="S1492" i="3"/>
  <c r="T1492" i="3"/>
  <c r="S1491" i="3"/>
  <c r="T1491" i="3"/>
  <c r="S1490" i="3"/>
  <c r="T1490" i="3"/>
  <c r="S1489" i="3"/>
  <c r="T1489" i="3"/>
  <c r="S1488" i="3"/>
  <c r="T1488" i="3"/>
  <c r="S1487" i="3"/>
  <c r="T1487" i="3"/>
  <c r="S1486" i="3"/>
  <c r="T1486" i="3"/>
  <c r="S1485" i="3"/>
  <c r="T1485" i="3"/>
  <c r="S1484" i="3"/>
  <c r="T1484" i="3"/>
  <c r="S1483" i="3"/>
  <c r="T1483" i="3"/>
  <c r="S1482" i="3"/>
  <c r="T1482" i="3"/>
  <c r="S1481" i="3"/>
  <c r="T1481" i="3"/>
  <c r="S1480" i="3"/>
  <c r="T1480" i="3"/>
  <c r="S1479" i="3"/>
  <c r="T1479" i="3"/>
  <c r="S1478" i="3"/>
  <c r="T1478" i="3"/>
  <c r="S1477" i="3"/>
  <c r="T1477" i="3"/>
  <c r="S1476" i="3"/>
  <c r="T1476" i="3"/>
  <c r="S1475" i="3"/>
  <c r="T1475" i="3"/>
  <c r="S1474" i="3"/>
  <c r="T1474" i="3"/>
  <c r="S1473" i="3"/>
  <c r="T1473" i="3"/>
  <c r="S1472" i="3"/>
  <c r="T1472" i="3"/>
  <c r="S1471" i="3"/>
  <c r="T1471" i="3"/>
  <c r="S1470" i="3"/>
  <c r="T1470" i="3"/>
  <c r="S1469" i="3"/>
  <c r="T1469" i="3"/>
  <c r="S1468" i="3"/>
  <c r="T1468" i="3"/>
  <c r="S1467" i="3"/>
  <c r="T1467" i="3"/>
  <c r="S1466" i="3"/>
  <c r="T1466" i="3"/>
  <c r="S1465" i="3"/>
  <c r="T1465" i="3"/>
  <c r="S1464" i="3"/>
  <c r="T1464" i="3"/>
  <c r="S1463" i="3"/>
  <c r="T1463" i="3"/>
  <c r="S1462" i="3"/>
  <c r="T1462" i="3"/>
  <c r="S1461" i="3"/>
  <c r="T1461" i="3"/>
  <c r="S1460" i="3"/>
  <c r="T1460" i="3"/>
  <c r="S1459" i="3"/>
  <c r="I26" i="8" s="1"/>
  <c r="T1459" i="3"/>
  <c r="J26" i="8" s="1"/>
  <c r="H26" i="8"/>
  <c r="S1458" i="3"/>
  <c r="T1458" i="3"/>
  <c r="S1457" i="3"/>
  <c r="T1457" i="3"/>
  <c r="S1456" i="3"/>
  <c r="T1456" i="3"/>
  <c r="S1455" i="3"/>
  <c r="T1455" i="3"/>
  <c r="S1454" i="3"/>
  <c r="T1454" i="3"/>
  <c r="S1453" i="3"/>
  <c r="T1453" i="3"/>
  <c r="S1452" i="3"/>
  <c r="T1452" i="3"/>
  <c r="S1451" i="3"/>
  <c r="T1451" i="3"/>
  <c r="S1450" i="3"/>
  <c r="T1450" i="3"/>
  <c r="S1449" i="3"/>
  <c r="T1449" i="3"/>
  <c r="S1448" i="3"/>
  <c r="T1448" i="3"/>
  <c r="S1447" i="3"/>
  <c r="T1447" i="3"/>
  <c r="S1446" i="3"/>
  <c r="T1446" i="3"/>
  <c r="S1445" i="3"/>
  <c r="T1445" i="3"/>
  <c r="S1444" i="3"/>
  <c r="T1444" i="3"/>
  <c r="S1443" i="3"/>
  <c r="T1443" i="3"/>
  <c r="S1442" i="3"/>
  <c r="T1442" i="3"/>
  <c r="S1441" i="3"/>
  <c r="T1441" i="3"/>
  <c r="S1440" i="3"/>
  <c r="T1440" i="3"/>
  <c r="S1439" i="3"/>
  <c r="T1439" i="3"/>
  <c r="S1438" i="3"/>
  <c r="T1438" i="3"/>
  <c r="S1437" i="3"/>
  <c r="T1437" i="3"/>
  <c r="S1436" i="3"/>
  <c r="T1436" i="3"/>
  <c r="S1435" i="3"/>
  <c r="T1435" i="3"/>
  <c r="S1434" i="3"/>
  <c r="T1434" i="3"/>
  <c r="S1433" i="3"/>
  <c r="T1433" i="3"/>
  <c r="S1432" i="3"/>
  <c r="T1432" i="3"/>
  <c r="S1431" i="3"/>
  <c r="T1431" i="3"/>
  <c r="S1430" i="3"/>
  <c r="T1430" i="3"/>
  <c r="S1429" i="3"/>
  <c r="T1429" i="3"/>
  <c r="S1428" i="3"/>
  <c r="T1428" i="3"/>
  <c r="S1427" i="3"/>
  <c r="T1427" i="3"/>
  <c r="S1426" i="3"/>
  <c r="T1426" i="3"/>
  <c r="S1425" i="3"/>
  <c r="T1425" i="3"/>
  <c r="S1424" i="3"/>
  <c r="T1424" i="3"/>
  <c r="S1423" i="3"/>
  <c r="T1423" i="3"/>
  <c r="S1422" i="3"/>
  <c r="T1422" i="3"/>
  <c r="S1421" i="3"/>
  <c r="T1421" i="3"/>
  <c r="S1420" i="3"/>
  <c r="T1420" i="3"/>
  <c r="S1419" i="3"/>
  <c r="T1419" i="3"/>
  <c r="S1418" i="3"/>
  <c r="T1418" i="3"/>
  <c r="S1417" i="3"/>
  <c r="T1417" i="3"/>
  <c r="S1416" i="3"/>
  <c r="T1416" i="3"/>
  <c r="S1415" i="3"/>
  <c r="I25" i="8" s="1"/>
  <c r="T1415" i="3"/>
  <c r="J25" i="8" s="1"/>
  <c r="H25" i="8"/>
  <c r="S1414" i="3"/>
  <c r="T1414" i="3"/>
  <c r="S1413" i="3"/>
  <c r="T1413" i="3"/>
  <c r="S1412" i="3"/>
  <c r="T1412" i="3"/>
  <c r="S1411" i="3"/>
  <c r="T1411" i="3"/>
  <c r="S1410" i="3"/>
  <c r="T1410" i="3"/>
  <c r="S1409" i="3"/>
  <c r="T1409" i="3"/>
  <c r="T1408" i="3"/>
  <c r="S1408" i="3"/>
  <c r="S1407" i="3"/>
  <c r="T1407" i="3"/>
  <c r="S1406" i="3"/>
  <c r="T1406" i="3"/>
  <c r="S1405" i="3"/>
  <c r="T1405" i="3"/>
  <c r="S1404" i="3"/>
  <c r="T1404" i="3"/>
  <c r="S1403" i="3"/>
  <c r="T1403" i="3"/>
  <c r="S1402" i="3"/>
  <c r="T1402" i="3"/>
  <c r="S1401" i="3"/>
  <c r="T1401" i="3"/>
  <c r="S1400" i="3"/>
  <c r="T1400" i="3"/>
  <c r="S1399" i="3"/>
  <c r="T1399" i="3"/>
  <c r="S1398" i="3"/>
  <c r="T1398" i="3"/>
  <c r="S1397" i="3"/>
  <c r="T1397" i="3"/>
  <c r="S1396" i="3"/>
  <c r="T1396" i="3"/>
  <c r="S1395" i="3"/>
  <c r="T1395" i="3"/>
  <c r="S1394" i="3"/>
  <c r="T1394" i="3"/>
  <c r="S1393" i="3"/>
  <c r="T1393" i="3"/>
  <c r="S1392" i="3"/>
  <c r="T1392" i="3"/>
  <c r="S1391" i="3"/>
  <c r="T1391" i="3"/>
  <c r="S1390" i="3"/>
  <c r="T1390" i="3"/>
  <c r="S1389" i="3"/>
  <c r="T1389" i="3"/>
  <c r="S1388" i="3"/>
  <c r="T1388" i="3"/>
  <c r="S1387" i="3"/>
  <c r="T1387" i="3"/>
  <c r="S1386" i="3"/>
  <c r="T1386" i="3"/>
  <c r="S1385" i="3"/>
  <c r="T1385" i="3"/>
  <c r="S1384" i="3"/>
  <c r="T1384" i="3"/>
  <c r="S1383" i="3"/>
  <c r="T1383" i="3"/>
  <c r="S1382" i="3"/>
  <c r="T1382" i="3"/>
  <c r="S1380" i="3"/>
  <c r="T1380" i="3"/>
  <c r="S1379" i="3"/>
  <c r="T1379" i="3"/>
  <c r="S1378" i="3"/>
  <c r="T1378" i="3"/>
  <c r="S1377" i="3"/>
  <c r="T1377" i="3"/>
  <c r="S1376" i="3"/>
  <c r="T1376" i="3"/>
  <c r="S1375" i="3"/>
  <c r="T1375" i="3"/>
  <c r="S1374" i="3"/>
  <c r="T1374" i="3"/>
  <c r="S1373" i="3"/>
  <c r="T1373" i="3"/>
  <c r="S1372" i="3"/>
  <c r="T1372" i="3"/>
  <c r="S1371" i="3"/>
  <c r="T1371" i="3"/>
  <c r="S1370" i="3"/>
  <c r="T1370" i="3"/>
  <c r="S1369" i="3"/>
  <c r="T1369" i="3"/>
  <c r="S1368" i="3"/>
  <c r="T1368" i="3"/>
  <c r="S1367" i="3"/>
  <c r="T1367" i="3"/>
  <c r="S1366" i="3"/>
  <c r="T1366" i="3"/>
  <c r="S1365" i="3"/>
  <c r="T1365" i="3"/>
  <c r="S1364" i="3"/>
  <c r="T1364" i="3"/>
  <c r="S1363" i="3"/>
  <c r="T1363" i="3"/>
  <c r="S1362" i="3"/>
  <c r="T1362" i="3"/>
  <c r="S1361" i="3"/>
  <c r="T1361" i="3"/>
  <c r="S1360" i="3"/>
  <c r="T1360" i="3"/>
  <c r="S1359" i="3"/>
  <c r="T1359" i="3"/>
  <c r="S1358" i="3"/>
  <c r="T1358" i="3"/>
  <c r="S1357" i="3"/>
  <c r="T1357" i="3"/>
  <c r="S1356" i="3"/>
  <c r="T1356" i="3"/>
  <c r="S1355" i="3"/>
  <c r="T1355" i="3"/>
  <c r="S1354" i="3"/>
  <c r="T1354" i="3"/>
  <c r="S1353" i="3"/>
  <c r="T1353" i="3"/>
  <c r="S1352" i="3"/>
  <c r="T1352" i="3"/>
  <c r="S1351" i="3"/>
  <c r="T1351" i="3"/>
  <c r="S1350" i="3"/>
  <c r="T1350" i="3"/>
  <c r="S1349" i="3"/>
  <c r="T1349" i="3"/>
  <c r="S1348" i="3"/>
  <c r="T1348" i="3"/>
  <c r="S1347" i="3"/>
  <c r="T1347" i="3"/>
  <c r="S1346" i="3"/>
  <c r="T1346" i="3"/>
  <c r="S1345" i="3"/>
  <c r="T1345" i="3"/>
  <c r="S1344" i="3"/>
  <c r="T1344" i="3"/>
  <c r="S1343" i="3"/>
  <c r="T1343" i="3"/>
  <c r="S1342" i="3"/>
  <c r="T1342" i="3"/>
  <c r="S1341" i="3"/>
  <c r="T1341" i="3"/>
  <c r="S1340" i="3"/>
  <c r="T1340" i="3"/>
  <c r="S1339" i="3"/>
  <c r="T1339" i="3"/>
  <c r="S1338" i="3"/>
  <c r="T1338" i="3"/>
  <c r="S1337" i="3"/>
  <c r="T1337" i="3"/>
  <c r="S1336" i="3"/>
  <c r="T1336" i="3"/>
  <c r="S1335" i="3"/>
  <c r="T1335" i="3"/>
  <c r="S1334" i="3"/>
  <c r="T1334" i="3"/>
  <c r="S1333" i="3"/>
  <c r="T1333" i="3"/>
  <c r="S1332" i="3"/>
  <c r="T1332" i="3"/>
  <c r="S1331" i="3"/>
  <c r="T1331" i="3"/>
  <c r="S1330" i="3"/>
  <c r="T1330" i="3"/>
  <c r="S1329" i="3"/>
  <c r="T1329" i="3"/>
  <c r="S1328" i="3"/>
  <c r="T1328" i="3"/>
  <c r="S1327" i="3"/>
  <c r="T1327" i="3"/>
  <c r="S1326" i="3"/>
  <c r="T1326" i="3"/>
  <c r="S1325" i="3"/>
  <c r="T1325" i="3"/>
  <c r="S1324" i="3"/>
  <c r="T1324" i="3"/>
  <c r="S1323" i="3"/>
  <c r="T1323" i="3"/>
  <c r="S1322" i="3"/>
  <c r="T1322" i="3"/>
  <c r="S1321" i="3"/>
  <c r="T1321" i="3"/>
  <c r="S1320" i="3"/>
  <c r="T1320" i="3"/>
  <c r="S1319" i="3"/>
  <c r="T1319" i="3"/>
  <c r="S1318" i="3"/>
  <c r="T1318" i="3"/>
  <c r="S1317" i="3"/>
  <c r="T1317" i="3"/>
  <c r="S1316" i="3"/>
  <c r="T1316" i="3"/>
  <c r="S1315" i="3"/>
  <c r="T1315" i="3"/>
  <c r="S1314" i="3"/>
  <c r="T1314" i="3"/>
  <c r="S1313" i="3"/>
  <c r="T1313" i="3"/>
  <c r="S1312" i="3"/>
  <c r="T1312" i="3"/>
  <c r="S1311" i="3"/>
  <c r="T1311" i="3"/>
  <c r="S1310" i="3"/>
  <c r="T1310" i="3"/>
  <c r="S1309" i="3"/>
  <c r="T1309" i="3"/>
  <c r="S1308" i="3"/>
  <c r="T1308" i="3"/>
  <c r="S1307" i="3"/>
  <c r="T1307" i="3"/>
  <c r="S1306" i="3"/>
  <c r="T1306" i="3"/>
  <c r="S1305" i="3"/>
  <c r="T1305" i="3"/>
  <c r="S1304" i="3"/>
  <c r="T1304" i="3"/>
  <c r="S1303" i="3"/>
  <c r="T1303" i="3"/>
  <c r="S1302" i="3"/>
  <c r="T1302" i="3"/>
  <c r="S1301" i="3"/>
  <c r="T1301" i="3"/>
  <c r="S1300" i="3"/>
  <c r="T1300" i="3"/>
  <c r="S1299" i="3"/>
  <c r="T1299" i="3"/>
  <c r="S1298" i="3"/>
  <c r="T1298" i="3"/>
  <c r="S1297" i="3"/>
  <c r="T1297" i="3"/>
  <c r="S1296" i="3"/>
  <c r="T1296" i="3"/>
  <c r="S1295" i="3"/>
  <c r="T1295" i="3"/>
  <c r="S1294" i="3"/>
  <c r="T1294" i="3"/>
  <c r="S1293" i="3"/>
  <c r="T1293" i="3"/>
  <c r="S1292" i="3"/>
  <c r="T1292" i="3"/>
  <c r="S1291" i="3"/>
  <c r="T1291" i="3"/>
  <c r="S1290" i="3"/>
  <c r="T1290" i="3"/>
  <c r="S1289" i="3"/>
  <c r="T1289" i="3"/>
  <c r="S1288" i="3"/>
  <c r="T1288" i="3"/>
  <c r="S1287" i="3"/>
  <c r="T1287" i="3"/>
  <c r="S1286" i="3"/>
  <c r="T1286" i="3"/>
  <c r="S1285" i="3"/>
  <c r="T1285" i="3"/>
  <c r="S1284" i="3"/>
  <c r="T1284" i="3"/>
  <c r="S1283" i="3"/>
  <c r="T1283" i="3"/>
  <c r="S1282" i="3"/>
  <c r="T1282" i="3"/>
  <c r="S1281" i="3"/>
  <c r="T1281" i="3"/>
  <c r="S1280" i="3"/>
  <c r="T1280" i="3"/>
  <c r="S1279" i="3"/>
  <c r="T1279" i="3"/>
  <c r="S1278" i="3"/>
  <c r="T1278" i="3"/>
  <c r="S1277" i="3"/>
  <c r="T1277" i="3"/>
  <c r="S1276" i="3"/>
  <c r="T1276" i="3"/>
  <c r="S1275" i="3"/>
  <c r="T1275" i="3"/>
  <c r="S1274" i="3"/>
  <c r="T1274" i="3"/>
  <c r="S1273" i="3"/>
  <c r="T1273" i="3"/>
  <c r="S1272" i="3"/>
  <c r="T1272" i="3"/>
  <c r="S1271" i="3"/>
  <c r="T1271" i="3"/>
  <c r="S1270" i="3"/>
  <c r="T1270" i="3"/>
  <c r="S1269" i="3"/>
  <c r="T1269" i="3"/>
  <c r="S1268" i="3"/>
  <c r="T1268" i="3"/>
  <c r="S1267" i="3"/>
  <c r="T1267" i="3"/>
  <c r="S1266" i="3"/>
  <c r="T1266" i="3"/>
  <c r="S1265" i="3"/>
  <c r="T1265" i="3"/>
  <c r="S1264" i="3"/>
  <c r="T1264" i="3"/>
  <c r="S1263" i="3"/>
  <c r="T1263" i="3"/>
  <c r="S1262" i="3"/>
  <c r="T1262" i="3"/>
  <c r="S1261" i="3"/>
  <c r="T1261" i="3"/>
  <c r="S1260" i="3"/>
  <c r="I20" i="8" s="1"/>
  <c r="T1260" i="3"/>
  <c r="J20" i="8" s="1"/>
  <c r="H20" i="8"/>
  <c r="S1259" i="3"/>
  <c r="T1259" i="3"/>
  <c r="S1258" i="3"/>
  <c r="T1258" i="3"/>
  <c r="S1257" i="3"/>
  <c r="T1257" i="3"/>
  <c r="S1256" i="3"/>
  <c r="T1256" i="3"/>
  <c r="S1255" i="3"/>
  <c r="T1255" i="3"/>
  <c r="S1254" i="3"/>
  <c r="T1254" i="3"/>
  <c r="S1253" i="3"/>
  <c r="T1253" i="3"/>
  <c r="S1252" i="3"/>
  <c r="T1252" i="3"/>
  <c r="S1251" i="3"/>
  <c r="T1251" i="3"/>
  <c r="S1250" i="3"/>
  <c r="T1250" i="3"/>
  <c r="S1249" i="3"/>
  <c r="T1249" i="3"/>
  <c r="S1248" i="3"/>
  <c r="T1248" i="3"/>
  <c r="S1247" i="3"/>
  <c r="T1247" i="3"/>
  <c r="S1246" i="3"/>
  <c r="T1246" i="3"/>
  <c r="S1245" i="3"/>
  <c r="T1245" i="3"/>
  <c r="S1244" i="3"/>
  <c r="T1244" i="3"/>
  <c r="S1243" i="3"/>
  <c r="T1243" i="3"/>
  <c r="S1242" i="3"/>
  <c r="T1242" i="3"/>
  <c r="S1241" i="3"/>
  <c r="T1241" i="3"/>
  <c r="S1240" i="3"/>
  <c r="I19" i="8" s="1"/>
  <c r="T1240" i="3"/>
  <c r="J19" i="8" s="1"/>
  <c r="H19" i="8"/>
  <c r="S1239" i="3"/>
  <c r="T1239" i="3"/>
  <c r="S1238" i="3"/>
  <c r="T1238" i="3"/>
  <c r="S1237" i="3"/>
  <c r="T1237" i="3"/>
  <c r="S1236" i="3"/>
  <c r="T1236" i="3"/>
  <c r="S1235" i="3"/>
  <c r="T1235" i="3"/>
  <c r="S1234" i="3"/>
  <c r="T1234" i="3"/>
  <c r="S1233" i="3"/>
  <c r="T1233" i="3"/>
  <c r="S1232" i="3"/>
  <c r="T1232" i="3"/>
  <c r="S1231" i="3"/>
  <c r="T1231" i="3"/>
  <c r="S1230" i="3"/>
  <c r="T1230" i="3"/>
  <c r="S1229" i="3"/>
  <c r="T1229" i="3"/>
  <c r="S1228" i="3"/>
  <c r="T1228" i="3"/>
  <c r="S1227" i="3"/>
  <c r="I18" i="8" s="1"/>
  <c r="T1227" i="3"/>
  <c r="J18" i="8" s="1"/>
  <c r="H18" i="8"/>
  <c r="S1226" i="3"/>
  <c r="T1226" i="3"/>
  <c r="S1225" i="3"/>
  <c r="T1225" i="3"/>
  <c r="S1224" i="3"/>
  <c r="T1224" i="3"/>
  <c r="S1223" i="3"/>
  <c r="T1223" i="3"/>
  <c r="S1222" i="3"/>
  <c r="T1222" i="3"/>
  <c r="S1221" i="3"/>
  <c r="T1221" i="3"/>
  <c r="S1220" i="3"/>
  <c r="T1220" i="3"/>
  <c r="S1219" i="3"/>
  <c r="T1219" i="3"/>
  <c r="S1218" i="3"/>
  <c r="T1218" i="3"/>
  <c r="S1217" i="3"/>
  <c r="T1217" i="3"/>
  <c r="S1216" i="3"/>
  <c r="T1216" i="3"/>
  <c r="S1215" i="3"/>
  <c r="T1215" i="3"/>
  <c r="S1214" i="3"/>
  <c r="T1214" i="3"/>
  <c r="S1213" i="3"/>
  <c r="T1213" i="3"/>
  <c r="S1212" i="3"/>
  <c r="T1212" i="3"/>
  <c r="S1211" i="3"/>
  <c r="T1211" i="3"/>
  <c r="S1210" i="3"/>
  <c r="T1210" i="3"/>
  <c r="S1209" i="3"/>
  <c r="T1209" i="3"/>
  <c r="S1208" i="3"/>
  <c r="T1208" i="3"/>
  <c r="S1207" i="3"/>
  <c r="T1207" i="3"/>
  <c r="S1206" i="3"/>
  <c r="T1206" i="3"/>
  <c r="S1205" i="3"/>
  <c r="T1205" i="3"/>
  <c r="S1204" i="3"/>
  <c r="T1204" i="3"/>
  <c r="S1203" i="3"/>
  <c r="T1203" i="3"/>
  <c r="S1202" i="3"/>
  <c r="T1202" i="3"/>
  <c r="S1201" i="3"/>
  <c r="T1201" i="3"/>
  <c r="S1200" i="3"/>
  <c r="T1200" i="3"/>
  <c r="S1199" i="3"/>
  <c r="T1199" i="3"/>
  <c r="S1198" i="3"/>
  <c r="T1198" i="3"/>
  <c r="S1197" i="3"/>
  <c r="T1197" i="3"/>
  <c r="S1196" i="3"/>
  <c r="T1196" i="3"/>
  <c r="S1195" i="3"/>
  <c r="T1195" i="3"/>
  <c r="S1194" i="3"/>
  <c r="T1194" i="3"/>
  <c r="S1193" i="3"/>
  <c r="I17" i="8" s="1"/>
  <c r="T1193" i="3"/>
  <c r="J17" i="8" s="1"/>
  <c r="H17" i="8"/>
  <c r="S1192" i="3"/>
  <c r="T1192" i="3"/>
  <c r="S1191" i="3"/>
  <c r="T1191" i="3"/>
  <c r="S1190" i="3"/>
  <c r="I6" i="8" s="1"/>
  <c r="T1190" i="3"/>
  <c r="J6" i="8" s="1"/>
  <c r="H6" i="8"/>
  <c r="S1189" i="3"/>
  <c r="T1189" i="3"/>
  <c r="S1188" i="3"/>
  <c r="T1188" i="3"/>
  <c r="S1187" i="3"/>
  <c r="T1187" i="3"/>
  <c r="S1186" i="3"/>
  <c r="T1186" i="3"/>
  <c r="S1185" i="3"/>
  <c r="T1185" i="3"/>
  <c r="S1184" i="3"/>
  <c r="T1184" i="3"/>
  <c r="S1183" i="3"/>
  <c r="T1183" i="3"/>
  <c r="S1182" i="3"/>
  <c r="T1182" i="3"/>
  <c r="S1181" i="3"/>
  <c r="T1181" i="3"/>
  <c r="S1180" i="3"/>
  <c r="T1180" i="3"/>
  <c r="S1179" i="3"/>
  <c r="T1179" i="3"/>
  <c r="S1178" i="3"/>
  <c r="I8" i="8" s="1"/>
  <c r="T1178" i="3"/>
  <c r="J8" i="8" s="1"/>
  <c r="H8" i="8"/>
  <c r="S1177" i="3"/>
  <c r="T1177" i="3"/>
  <c r="S1176" i="3"/>
  <c r="T1176" i="3"/>
  <c r="S1175" i="3"/>
  <c r="T1175" i="3"/>
  <c r="S1174" i="3"/>
  <c r="T1174" i="3"/>
  <c r="S1173" i="3"/>
  <c r="T1173" i="3"/>
  <c r="S1172" i="3"/>
  <c r="T1172" i="3"/>
  <c r="S1171" i="3"/>
  <c r="T1171" i="3"/>
  <c r="S1169" i="3"/>
  <c r="T1169" i="3"/>
  <c r="S1168" i="3"/>
  <c r="T1168" i="3"/>
  <c r="S1167" i="3"/>
  <c r="T1167" i="3"/>
  <c r="S1166" i="3"/>
  <c r="T1166" i="3"/>
  <c r="S1165" i="3"/>
  <c r="T1165" i="3"/>
  <c r="S1164" i="3"/>
  <c r="T1164" i="3"/>
  <c r="S1163" i="3"/>
  <c r="T1163" i="3"/>
  <c r="S1162" i="3"/>
  <c r="T1162" i="3"/>
  <c r="S1161" i="3"/>
  <c r="T1161" i="3"/>
  <c r="S1160" i="3"/>
  <c r="T1160" i="3"/>
  <c r="S1159" i="3"/>
  <c r="T1159" i="3"/>
  <c r="S1158" i="3"/>
  <c r="T1158" i="3"/>
  <c r="S1157" i="3"/>
  <c r="T1157" i="3"/>
  <c r="S1156" i="3"/>
  <c r="T1156" i="3"/>
  <c r="S1155" i="3"/>
  <c r="T1155" i="3"/>
  <c r="S1154" i="3"/>
  <c r="T1154" i="3"/>
  <c r="S1153" i="3"/>
  <c r="T1153" i="3"/>
  <c r="S1152" i="3"/>
  <c r="T1152" i="3"/>
  <c r="S1151" i="3"/>
  <c r="I5" i="8" s="1"/>
  <c r="T1151" i="3"/>
  <c r="J5" i="8" s="1"/>
  <c r="H5" i="8"/>
  <c r="S1150" i="3"/>
  <c r="T1150" i="3"/>
  <c r="S1149" i="3"/>
  <c r="T1149" i="3"/>
  <c r="S1148" i="3"/>
  <c r="T1148" i="3"/>
  <c r="S1147" i="3"/>
  <c r="T1147" i="3"/>
  <c r="S1146" i="3"/>
  <c r="T1146" i="3"/>
  <c r="S1145" i="3"/>
  <c r="T1145" i="3"/>
  <c r="S1144" i="3"/>
  <c r="T1144" i="3"/>
  <c r="S1143" i="3"/>
  <c r="T1143" i="3"/>
  <c r="S1142" i="3"/>
  <c r="T1142" i="3"/>
  <c r="S1141" i="3"/>
  <c r="T1141" i="3"/>
  <c r="S1140" i="3"/>
  <c r="T1140" i="3"/>
  <c r="S1139" i="3"/>
  <c r="T1139" i="3"/>
  <c r="S1138" i="3"/>
  <c r="T1138" i="3"/>
  <c r="S1137" i="3"/>
  <c r="T1137" i="3"/>
  <c r="S1136" i="3"/>
  <c r="T1136" i="3"/>
  <c r="S1135" i="3"/>
  <c r="T1135" i="3"/>
  <c r="S1134" i="3"/>
  <c r="T1134" i="3"/>
  <c r="S1133" i="3"/>
  <c r="T1133" i="3"/>
  <c r="S1132" i="3"/>
  <c r="T1132" i="3"/>
  <c r="S1131" i="3"/>
  <c r="T1131" i="3"/>
  <c r="S1130" i="3"/>
  <c r="T1130" i="3"/>
  <c r="S1129" i="3"/>
  <c r="T1129" i="3"/>
  <c r="S1128" i="3"/>
  <c r="T1128" i="3"/>
  <c r="S1127" i="3"/>
  <c r="T1127" i="3"/>
  <c r="S1126" i="3"/>
  <c r="T1126" i="3"/>
  <c r="S1125" i="3"/>
  <c r="T1125" i="3"/>
  <c r="S1124" i="3"/>
  <c r="T1124" i="3"/>
  <c r="S1123" i="3"/>
  <c r="T1123" i="3"/>
  <c r="S1122" i="3"/>
  <c r="T1122" i="3"/>
  <c r="S1121" i="3"/>
  <c r="T1121" i="3"/>
  <c r="S1120" i="3"/>
  <c r="T1120" i="3"/>
  <c r="S1119" i="3"/>
  <c r="T1119" i="3"/>
  <c r="S1118" i="3"/>
  <c r="T1118" i="3"/>
  <c r="S1117" i="3"/>
  <c r="T1117" i="3"/>
  <c r="S1116" i="3"/>
  <c r="T1116" i="3"/>
  <c r="S1115" i="3"/>
  <c r="T1115" i="3"/>
  <c r="S1114" i="3"/>
  <c r="T1114" i="3"/>
  <c r="S1113" i="3"/>
  <c r="T1113" i="3"/>
  <c r="S1112" i="3"/>
  <c r="T1112" i="3"/>
  <c r="S1111" i="3"/>
  <c r="T1111" i="3"/>
  <c r="S1110" i="3"/>
  <c r="T1110" i="3"/>
  <c r="S1109" i="3"/>
  <c r="T1109" i="3"/>
  <c r="S1108" i="3"/>
  <c r="T1108" i="3"/>
  <c r="S1107" i="3"/>
  <c r="T1107" i="3"/>
  <c r="S1106" i="3"/>
  <c r="T1106" i="3"/>
  <c r="S1105" i="3"/>
  <c r="T1105" i="3"/>
  <c r="S1104" i="3"/>
  <c r="T1104" i="3"/>
  <c r="S1103" i="3"/>
  <c r="T1103" i="3"/>
  <c r="S1102" i="3"/>
  <c r="T1102" i="3"/>
  <c r="S1101" i="3"/>
  <c r="T1101" i="3"/>
  <c r="S1100" i="3"/>
  <c r="T1100" i="3"/>
  <c r="S1099" i="3"/>
  <c r="T1099" i="3"/>
  <c r="S1098" i="3"/>
  <c r="T1098" i="3"/>
  <c r="S1097" i="3"/>
  <c r="T1097" i="3"/>
  <c r="S1096" i="3"/>
  <c r="T1096" i="3"/>
  <c r="S1095" i="3"/>
  <c r="T1095" i="3"/>
  <c r="S1094" i="3"/>
  <c r="T1094" i="3"/>
  <c r="S1093" i="3"/>
  <c r="T1093" i="3"/>
  <c r="S1092" i="3"/>
  <c r="T1092" i="3"/>
  <c r="S1091" i="3"/>
  <c r="T1091" i="3"/>
  <c r="S1090" i="3"/>
  <c r="T1090" i="3"/>
  <c r="S1089" i="3"/>
  <c r="T1089" i="3"/>
  <c r="S1088" i="3"/>
  <c r="T1088" i="3"/>
  <c r="S1087" i="3"/>
  <c r="T1087" i="3"/>
  <c r="S1086" i="3"/>
  <c r="T1086" i="3"/>
  <c r="S1085" i="3"/>
  <c r="T1085" i="3"/>
  <c r="S1084" i="3"/>
  <c r="T1084" i="3"/>
  <c r="S1083" i="3"/>
  <c r="T1083" i="3"/>
  <c r="S1082" i="3"/>
  <c r="T1082" i="3"/>
  <c r="S1081" i="3"/>
  <c r="T1081" i="3"/>
  <c r="S1080" i="3"/>
  <c r="T1080" i="3"/>
  <c r="S1079" i="3"/>
  <c r="T1079" i="3"/>
  <c r="S1078" i="3"/>
  <c r="T1078" i="3"/>
  <c r="S1077" i="3"/>
  <c r="T1077" i="3"/>
  <c r="S1076" i="3"/>
  <c r="T1076" i="3"/>
  <c r="S1075" i="3"/>
  <c r="T1075" i="3"/>
  <c r="S1074" i="3"/>
  <c r="T1074" i="3"/>
  <c r="S1073" i="3"/>
  <c r="T1073" i="3"/>
  <c r="S1072" i="3"/>
  <c r="T1072" i="3"/>
  <c r="S1071" i="3"/>
  <c r="T1071" i="3"/>
  <c r="S1070" i="3"/>
  <c r="T1070" i="3"/>
  <c r="S1069" i="3"/>
  <c r="T1069" i="3"/>
  <c r="S1068" i="3"/>
  <c r="T1068" i="3"/>
  <c r="S1067" i="3"/>
  <c r="T1067" i="3"/>
  <c r="S1066" i="3"/>
  <c r="T1066" i="3"/>
  <c r="S1065" i="3"/>
  <c r="T1065" i="3"/>
  <c r="S1064" i="3"/>
  <c r="T1064" i="3"/>
  <c r="S1063" i="3"/>
  <c r="T1063" i="3"/>
  <c r="S1062" i="3"/>
  <c r="T1062" i="3"/>
  <c r="S1061" i="3"/>
  <c r="T1061" i="3"/>
  <c r="S1060" i="3"/>
  <c r="T1060" i="3"/>
  <c r="S1059" i="3"/>
  <c r="T1059" i="3"/>
  <c r="S1058" i="3"/>
  <c r="T1058" i="3"/>
  <c r="S1057" i="3"/>
  <c r="T1057" i="3"/>
  <c r="S1056" i="3"/>
  <c r="T1056" i="3"/>
  <c r="S1055" i="3"/>
  <c r="T1055" i="3"/>
  <c r="S1054" i="3"/>
  <c r="T1054" i="3"/>
  <c r="S1053" i="3"/>
  <c r="T1053" i="3"/>
  <c r="S1052" i="3"/>
  <c r="T1052" i="3"/>
  <c r="S1051" i="3"/>
  <c r="T1051" i="3"/>
  <c r="S1050" i="3"/>
  <c r="T1050" i="3"/>
  <c r="S1049" i="3"/>
  <c r="T1049" i="3"/>
  <c r="S1048" i="3"/>
  <c r="T1048" i="3"/>
  <c r="S1047" i="3"/>
  <c r="T1047" i="3"/>
  <c r="S1046" i="3"/>
  <c r="T1046" i="3"/>
  <c r="S1045" i="3"/>
  <c r="T1045" i="3"/>
  <c r="S1044" i="3"/>
  <c r="T1044" i="3"/>
  <c r="S1043" i="3"/>
  <c r="T1043" i="3"/>
  <c r="S1042" i="3"/>
  <c r="T1042" i="3"/>
  <c r="S1041" i="3"/>
  <c r="T1041" i="3"/>
  <c r="S1040" i="3"/>
  <c r="T1040" i="3"/>
  <c r="S1039" i="3"/>
  <c r="T1039" i="3"/>
  <c r="S1038" i="3"/>
  <c r="T1038" i="3"/>
  <c r="S1037" i="3"/>
  <c r="T1037" i="3"/>
  <c r="S1036" i="3"/>
  <c r="T1036" i="3"/>
  <c r="S1035" i="3"/>
  <c r="T1035" i="3"/>
  <c r="S1034" i="3"/>
  <c r="T1034" i="3"/>
  <c r="S1033" i="3"/>
  <c r="T1033" i="3"/>
  <c r="S1032" i="3"/>
  <c r="T1032" i="3"/>
  <c r="S1031" i="3"/>
  <c r="T1031" i="3"/>
  <c r="S1030" i="3"/>
  <c r="T1030" i="3"/>
  <c r="S1029" i="3"/>
  <c r="T1029" i="3"/>
  <c r="S1028" i="3"/>
  <c r="T1028" i="3"/>
  <c r="S1027" i="3"/>
  <c r="T1027" i="3"/>
  <c r="S1026" i="3"/>
  <c r="T1026" i="3"/>
  <c r="S1025" i="3"/>
  <c r="T1025" i="3"/>
  <c r="S1024" i="3"/>
  <c r="T1024" i="3"/>
  <c r="S1023" i="3"/>
  <c r="T1023" i="3"/>
  <c r="S1022" i="3"/>
  <c r="T1022" i="3"/>
  <c r="S1021" i="3"/>
  <c r="T1021" i="3"/>
  <c r="S1020" i="3"/>
  <c r="T1020" i="3"/>
  <c r="S1019" i="3"/>
  <c r="T1019" i="3"/>
  <c r="S1018" i="3"/>
  <c r="T1018" i="3"/>
  <c r="S1017" i="3"/>
  <c r="T1017" i="3"/>
  <c r="S1016" i="3"/>
  <c r="T1016" i="3"/>
  <c r="S1015" i="3"/>
  <c r="T1015" i="3"/>
  <c r="S1014" i="3"/>
  <c r="T1014" i="3"/>
  <c r="S1013" i="3"/>
  <c r="T1013" i="3"/>
  <c r="S1012" i="3"/>
  <c r="T1012" i="3"/>
  <c r="S1011" i="3"/>
  <c r="T1011" i="3"/>
  <c r="S1010" i="3"/>
  <c r="T1010" i="3"/>
  <c r="S1009" i="3"/>
  <c r="T1009" i="3"/>
  <c r="S1008" i="3"/>
  <c r="T1008" i="3"/>
  <c r="S1007" i="3"/>
  <c r="T1007" i="3"/>
  <c r="S1006" i="3"/>
  <c r="T1006" i="3"/>
  <c r="S1005" i="3"/>
  <c r="T1005" i="3"/>
  <c r="S1004" i="3"/>
  <c r="T1004" i="3"/>
  <c r="S1003" i="3"/>
  <c r="T1003" i="3"/>
  <c r="S1002" i="3"/>
  <c r="T1002" i="3"/>
  <c r="S1001" i="3"/>
  <c r="T1001" i="3"/>
  <c r="S1000" i="3"/>
  <c r="T1000" i="3"/>
  <c r="S999" i="3"/>
  <c r="T999" i="3"/>
  <c r="S998" i="3"/>
  <c r="T998" i="3"/>
  <c r="S997" i="3"/>
  <c r="T997" i="3"/>
  <c r="S996" i="3"/>
  <c r="T996" i="3"/>
  <c r="S995" i="3"/>
  <c r="T995" i="3"/>
  <c r="S994" i="3"/>
  <c r="T994" i="3"/>
  <c r="S993" i="3"/>
  <c r="T993" i="3"/>
  <c r="S992" i="3"/>
  <c r="T992" i="3"/>
  <c r="S991" i="3"/>
  <c r="T991" i="3"/>
  <c r="S990" i="3"/>
  <c r="T990" i="3"/>
  <c r="S989" i="3"/>
  <c r="T989" i="3"/>
  <c r="S988" i="3"/>
  <c r="T988" i="3"/>
  <c r="S987" i="3"/>
  <c r="T987" i="3"/>
  <c r="S986" i="3"/>
  <c r="T986" i="3"/>
  <c r="S985" i="3"/>
  <c r="T985" i="3"/>
  <c r="S984" i="3"/>
  <c r="T984" i="3"/>
  <c r="S983" i="3"/>
  <c r="T983" i="3"/>
  <c r="S982" i="3"/>
  <c r="T982" i="3"/>
  <c r="S981" i="3"/>
  <c r="T981" i="3"/>
  <c r="S980" i="3"/>
  <c r="T980" i="3"/>
  <c r="S979" i="3"/>
  <c r="T979" i="3"/>
  <c r="S978" i="3"/>
  <c r="T978" i="3"/>
  <c r="S977" i="3"/>
  <c r="T977" i="3"/>
  <c r="S976" i="3"/>
  <c r="T976" i="3"/>
  <c r="S975" i="3"/>
  <c r="T975" i="3"/>
  <c r="S974" i="3"/>
  <c r="T974" i="3"/>
  <c r="S973" i="3"/>
  <c r="T973" i="3"/>
  <c r="S972" i="3"/>
  <c r="T972" i="3"/>
  <c r="S971" i="3"/>
  <c r="T971" i="3"/>
  <c r="S970" i="3"/>
  <c r="T970" i="3"/>
  <c r="S969" i="3"/>
  <c r="T969" i="3"/>
  <c r="S968" i="3"/>
  <c r="T968" i="3"/>
  <c r="S967" i="3"/>
  <c r="T967" i="3"/>
  <c r="S966" i="3"/>
  <c r="T966" i="3"/>
  <c r="S965" i="3"/>
  <c r="T965" i="3"/>
  <c r="S964" i="3"/>
  <c r="T964" i="3"/>
  <c r="S963" i="3"/>
  <c r="T963" i="3"/>
  <c r="S962" i="3"/>
  <c r="T962" i="3"/>
  <c r="S961" i="3"/>
  <c r="T961" i="3"/>
  <c r="S960" i="3"/>
  <c r="T960" i="3"/>
  <c r="S959" i="3"/>
  <c r="T959" i="3"/>
  <c r="S958" i="3"/>
  <c r="T958" i="3"/>
  <c r="S957" i="3"/>
  <c r="T957" i="3"/>
  <c r="S956" i="3"/>
  <c r="T956" i="3"/>
  <c r="S955" i="3"/>
  <c r="T955" i="3"/>
  <c r="S954" i="3"/>
  <c r="T954" i="3"/>
  <c r="S953" i="3"/>
  <c r="T953" i="3"/>
  <c r="S952" i="3"/>
  <c r="T952" i="3"/>
  <c r="S951" i="3"/>
  <c r="T951" i="3"/>
  <c r="S950" i="3"/>
  <c r="T950" i="3"/>
  <c r="S949" i="3"/>
  <c r="T949" i="3"/>
  <c r="S948" i="3"/>
  <c r="T948" i="3"/>
  <c r="S947" i="3"/>
  <c r="T947" i="3"/>
  <c r="S946" i="3"/>
  <c r="T946" i="3"/>
  <c r="S945" i="3"/>
  <c r="T945" i="3"/>
  <c r="S944" i="3"/>
  <c r="T944" i="3"/>
  <c r="S943" i="3"/>
  <c r="T943" i="3"/>
  <c r="S942" i="3"/>
  <c r="T942" i="3"/>
  <c r="S941" i="3"/>
  <c r="T941" i="3"/>
  <c r="S940" i="3"/>
  <c r="T940" i="3"/>
  <c r="S939" i="3"/>
  <c r="T939" i="3"/>
  <c r="S938" i="3"/>
  <c r="T938" i="3"/>
  <c r="S937" i="3"/>
  <c r="T937" i="3"/>
  <c r="S936" i="3"/>
  <c r="T936" i="3"/>
  <c r="S935" i="3"/>
  <c r="T935" i="3"/>
  <c r="S934" i="3"/>
  <c r="T934" i="3"/>
  <c r="S933" i="3"/>
  <c r="T933" i="3"/>
  <c r="S932" i="3"/>
  <c r="T932" i="3"/>
  <c r="S931" i="3"/>
  <c r="T931" i="3"/>
  <c r="S930" i="3"/>
  <c r="T930" i="3"/>
  <c r="S929" i="3"/>
  <c r="T929" i="3"/>
  <c r="S928" i="3"/>
  <c r="T928" i="3"/>
  <c r="S927" i="3"/>
  <c r="T927" i="3"/>
  <c r="S926" i="3"/>
  <c r="T926" i="3"/>
  <c r="S925" i="3"/>
  <c r="T925" i="3"/>
  <c r="S924" i="3"/>
  <c r="T924" i="3"/>
  <c r="S923" i="3"/>
  <c r="T923" i="3"/>
  <c r="S922" i="3"/>
  <c r="T922" i="3"/>
  <c r="S921" i="3"/>
  <c r="T921" i="3"/>
  <c r="S920" i="3"/>
  <c r="T920" i="3"/>
  <c r="S919" i="3"/>
  <c r="T919" i="3"/>
  <c r="S918" i="3"/>
  <c r="T918" i="3"/>
  <c r="S917" i="3"/>
  <c r="T917" i="3"/>
  <c r="S916" i="3"/>
  <c r="T916" i="3"/>
  <c r="S915" i="3"/>
  <c r="T915" i="3"/>
  <c r="S914" i="3"/>
  <c r="T914" i="3"/>
  <c r="S913" i="3"/>
  <c r="T913" i="3"/>
  <c r="S912" i="3"/>
  <c r="T912" i="3"/>
  <c r="S911" i="3"/>
  <c r="T911" i="3"/>
  <c r="S910" i="3"/>
  <c r="T910" i="3"/>
  <c r="S909" i="3"/>
  <c r="T909" i="3"/>
  <c r="S908" i="3"/>
  <c r="T908" i="3"/>
  <c r="S907" i="3"/>
  <c r="T907" i="3"/>
  <c r="S906" i="3"/>
  <c r="T906" i="3"/>
  <c r="S905" i="3"/>
  <c r="T905" i="3"/>
  <c r="S904" i="3"/>
  <c r="T904" i="3"/>
  <c r="S903" i="3"/>
  <c r="T903" i="3"/>
  <c r="S902" i="3"/>
  <c r="T902" i="3"/>
  <c r="S901" i="3"/>
  <c r="T901" i="3"/>
  <c r="S900" i="3"/>
  <c r="T900" i="3"/>
  <c r="S899" i="3"/>
  <c r="T899" i="3"/>
  <c r="S898" i="3"/>
  <c r="T898" i="3"/>
  <c r="S897" i="3"/>
  <c r="T897" i="3"/>
  <c r="S896" i="3"/>
  <c r="T896" i="3"/>
  <c r="S895" i="3"/>
  <c r="T895" i="3"/>
  <c r="S894" i="3"/>
  <c r="T894" i="3"/>
  <c r="S893" i="3"/>
  <c r="T893" i="3"/>
  <c r="S892" i="3"/>
  <c r="T892" i="3"/>
  <c r="S891" i="3"/>
  <c r="T891" i="3"/>
  <c r="S890" i="3"/>
  <c r="T890" i="3"/>
  <c r="S889" i="3"/>
  <c r="T889" i="3"/>
  <c r="S888" i="3"/>
  <c r="T888" i="3"/>
  <c r="S887" i="3"/>
  <c r="T887" i="3"/>
  <c r="S886" i="3"/>
  <c r="T886" i="3"/>
  <c r="S885" i="3"/>
  <c r="T885" i="3"/>
  <c r="S884" i="3"/>
  <c r="T884" i="3"/>
  <c r="S883" i="3"/>
  <c r="T883" i="3"/>
  <c r="S882" i="3"/>
  <c r="T882" i="3"/>
  <c r="S881" i="3"/>
  <c r="T881" i="3"/>
  <c r="S880" i="3"/>
  <c r="T880" i="3"/>
  <c r="S879" i="3"/>
  <c r="T879" i="3"/>
  <c r="S878" i="3"/>
  <c r="T878" i="3"/>
  <c r="S877" i="3"/>
  <c r="T877" i="3"/>
  <c r="S876" i="3"/>
  <c r="T876" i="3"/>
  <c r="S875" i="3"/>
  <c r="T875" i="3"/>
  <c r="S874" i="3"/>
  <c r="T874" i="3"/>
  <c r="S873" i="3"/>
  <c r="T873" i="3"/>
  <c r="S872" i="3"/>
  <c r="T872" i="3"/>
  <c r="S871" i="3"/>
  <c r="T871" i="3"/>
  <c r="S870" i="3"/>
  <c r="T870" i="3"/>
  <c r="S869" i="3"/>
  <c r="T869" i="3"/>
  <c r="S868" i="3"/>
  <c r="T868" i="3"/>
  <c r="S867" i="3"/>
  <c r="T867" i="3"/>
  <c r="S866" i="3"/>
  <c r="T866" i="3"/>
  <c r="S865" i="3"/>
  <c r="T865" i="3"/>
  <c r="S864" i="3"/>
  <c r="T864" i="3"/>
  <c r="S863" i="3"/>
  <c r="T863" i="3"/>
  <c r="S862" i="3"/>
  <c r="T862" i="3"/>
  <c r="S861" i="3"/>
  <c r="T861" i="3"/>
  <c r="S860" i="3"/>
  <c r="T860" i="3"/>
  <c r="S859" i="3"/>
  <c r="T859" i="3"/>
  <c r="S858" i="3"/>
  <c r="T858" i="3"/>
  <c r="S857" i="3"/>
  <c r="T857" i="3"/>
  <c r="S856" i="3"/>
  <c r="T856" i="3"/>
  <c r="S855" i="3"/>
  <c r="T855" i="3"/>
  <c r="S854" i="3"/>
  <c r="T854" i="3"/>
  <c r="S853" i="3"/>
  <c r="T853" i="3"/>
  <c r="S852" i="3"/>
  <c r="I10" i="8" s="1"/>
  <c r="T852" i="3"/>
  <c r="J10" i="8" s="1"/>
  <c r="H10" i="8"/>
  <c r="S851" i="3"/>
  <c r="T851" i="3"/>
  <c r="S850" i="3"/>
  <c r="T850" i="3"/>
  <c r="S849" i="3"/>
  <c r="T849" i="3"/>
  <c r="S848" i="3"/>
  <c r="T848" i="3"/>
  <c r="S847" i="3"/>
  <c r="T847" i="3"/>
  <c r="S846" i="3"/>
  <c r="T846" i="3"/>
  <c r="S845" i="3"/>
  <c r="T845" i="3"/>
  <c r="S844" i="3"/>
  <c r="T844" i="3"/>
  <c r="S843" i="3"/>
  <c r="T843" i="3"/>
  <c r="S842" i="3"/>
  <c r="T842" i="3"/>
  <c r="S841" i="3"/>
  <c r="T841" i="3"/>
  <c r="S840" i="3"/>
  <c r="T840" i="3"/>
  <c r="S839" i="3"/>
  <c r="T839" i="3"/>
  <c r="S838" i="3"/>
  <c r="T838" i="3"/>
  <c r="S837" i="3"/>
  <c r="T837" i="3"/>
  <c r="S836" i="3"/>
  <c r="T836" i="3"/>
  <c r="S835" i="3"/>
  <c r="T835" i="3"/>
  <c r="S834" i="3"/>
  <c r="T834" i="3"/>
  <c r="S833" i="3"/>
  <c r="T833" i="3"/>
  <c r="S832" i="3"/>
  <c r="T832" i="3"/>
  <c r="S831" i="3"/>
  <c r="I28" i="8" s="1"/>
  <c r="T831" i="3"/>
  <c r="J28" i="8" s="1"/>
  <c r="H28" i="8"/>
  <c r="S830" i="3"/>
  <c r="T830" i="3"/>
  <c r="S829" i="3"/>
  <c r="T829" i="3"/>
  <c r="S828" i="3"/>
  <c r="T828" i="3"/>
  <c r="S827" i="3"/>
  <c r="I9" i="8" s="1"/>
  <c r="T827" i="3"/>
  <c r="J9" i="8" s="1"/>
  <c r="H9" i="8"/>
  <c r="S826" i="3"/>
  <c r="T826" i="3"/>
  <c r="S825" i="3"/>
  <c r="T825" i="3"/>
  <c r="S824" i="3"/>
  <c r="T824" i="3"/>
  <c r="S823" i="3"/>
  <c r="T823" i="3"/>
  <c r="S822" i="3"/>
  <c r="T822" i="3"/>
  <c r="S821" i="3"/>
  <c r="T821" i="3"/>
  <c r="S820" i="3"/>
  <c r="T820" i="3"/>
  <c r="S819" i="3"/>
  <c r="I30" i="8" s="1"/>
  <c r="T819" i="3"/>
  <c r="J30" i="8" s="1"/>
  <c r="H30" i="8"/>
  <c r="S818" i="3"/>
  <c r="T818" i="3"/>
  <c r="S817" i="3"/>
  <c r="T817" i="3"/>
  <c r="S816" i="3"/>
  <c r="T816" i="3"/>
  <c r="S815" i="3"/>
  <c r="T815" i="3"/>
  <c r="S814" i="3"/>
  <c r="T814" i="3"/>
  <c r="S813" i="3"/>
  <c r="T813" i="3"/>
  <c r="S812" i="3"/>
  <c r="T812" i="3"/>
  <c r="S811" i="3"/>
  <c r="T811" i="3"/>
  <c r="S810" i="3"/>
  <c r="T810" i="3"/>
  <c r="S809" i="3"/>
  <c r="T809" i="3"/>
  <c r="S808" i="3"/>
  <c r="T808" i="3"/>
  <c r="S807" i="3"/>
  <c r="T807" i="3"/>
  <c r="S806" i="3"/>
  <c r="T806" i="3"/>
  <c r="S805" i="3"/>
  <c r="T805" i="3"/>
  <c r="S804" i="3"/>
  <c r="T804" i="3"/>
  <c r="S803" i="3"/>
  <c r="T803" i="3"/>
  <c r="S802" i="3"/>
  <c r="T802" i="3"/>
  <c r="S801" i="3"/>
  <c r="T801" i="3"/>
  <c r="S800" i="3"/>
  <c r="T800" i="3"/>
  <c r="S799" i="3"/>
  <c r="T799" i="3"/>
  <c r="S798" i="3"/>
  <c r="T798" i="3"/>
  <c r="S797" i="3"/>
  <c r="T797" i="3"/>
  <c r="S796" i="3"/>
  <c r="T796" i="3"/>
  <c r="S795" i="3"/>
  <c r="T795" i="3"/>
  <c r="S794" i="3"/>
  <c r="T794" i="3"/>
  <c r="S793" i="3"/>
  <c r="T793" i="3"/>
  <c r="S792" i="3"/>
  <c r="T792" i="3"/>
  <c r="S791" i="3"/>
  <c r="T791" i="3"/>
  <c r="S790" i="3"/>
  <c r="T790" i="3"/>
  <c r="S789" i="3"/>
  <c r="T789" i="3"/>
  <c r="S788" i="3"/>
  <c r="T788" i="3"/>
  <c r="S787" i="3"/>
  <c r="T787" i="3"/>
  <c r="S786" i="3"/>
  <c r="T786" i="3"/>
  <c r="S785" i="3"/>
  <c r="T785" i="3"/>
  <c r="S784" i="3"/>
  <c r="I27" i="8" s="1"/>
  <c r="T784" i="3"/>
  <c r="J27" i="8" s="1"/>
  <c r="H27" i="8"/>
  <c r="S783" i="3"/>
  <c r="T783" i="3"/>
  <c r="S782" i="3"/>
  <c r="T782" i="3"/>
  <c r="S781" i="3"/>
  <c r="T781" i="3"/>
  <c r="S780" i="3"/>
  <c r="I29" i="8" s="1"/>
  <c r="T780" i="3"/>
  <c r="J29" i="8" s="1"/>
  <c r="H29" i="8"/>
  <c r="S779" i="3"/>
  <c r="T779" i="3"/>
  <c r="S778" i="3"/>
  <c r="T778" i="3"/>
  <c r="S777" i="3"/>
  <c r="T777" i="3"/>
  <c r="S776" i="3"/>
  <c r="T776" i="3"/>
  <c r="S775" i="3"/>
  <c r="T775" i="3"/>
  <c r="S774" i="3"/>
  <c r="T774" i="3"/>
  <c r="S773" i="3"/>
  <c r="T773" i="3"/>
  <c r="S772" i="3"/>
  <c r="T772" i="3"/>
  <c r="S771" i="3"/>
  <c r="T771" i="3"/>
  <c r="S770" i="3"/>
  <c r="T770" i="3"/>
  <c r="S769" i="3"/>
  <c r="T769" i="3"/>
  <c r="S768" i="3"/>
  <c r="T768" i="3"/>
  <c r="S767" i="3"/>
  <c r="T767" i="3"/>
  <c r="S766" i="3"/>
  <c r="T766" i="3"/>
  <c r="S765" i="3"/>
  <c r="T765" i="3"/>
  <c r="S764" i="3"/>
  <c r="T764" i="3"/>
  <c r="S763" i="3"/>
  <c r="T763" i="3"/>
  <c r="S762" i="3"/>
  <c r="T762" i="3"/>
  <c r="S761" i="3"/>
  <c r="T761" i="3"/>
  <c r="S760" i="3"/>
  <c r="T760" i="3"/>
  <c r="S759" i="3"/>
  <c r="T759" i="3"/>
  <c r="S758" i="3"/>
  <c r="T758" i="3"/>
  <c r="S757" i="3"/>
  <c r="T757" i="3"/>
  <c r="S756" i="3"/>
  <c r="T756" i="3"/>
  <c r="S755" i="3"/>
  <c r="T755" i="3"/>
  <c r="S754" i="3"/>
  <c r="T754" i="3"/>
  <c r="S753" i="3"/>
  <c r="T753" i="3"/>
  <c r="S752" i="3"/>
  <c r="T752" i="3"/>
  <c r="S751" i="3"/>
  <c r="T751" i="3"/>
  <c r="S750" i="3"/>
  <c r="T750" i="3"/>
  <c r="S748" i="3"/>
  <c r="T748" i="3"/>
  <c r="S747" i="3"/>
  <c r="T747" i="3"/>
  <c r="S746" i="3"/>
  <c r="T746" i="3"/>
  <c r="S745" i="3"/>
  <c r="T745" i="3"/>
  <c r="S744" i="3"/>
  <c r="T744" i="3"/>
  <c r="S743" i="3"/>
  <c r="T743" i="3"/>
  <c r="S742" i="3"/>
  <c r="T742" i="3"/>
  <c r="S741" i="3"/>
  <c r="T741" i="3"/>
  <c r="S740" i="3"/>
  <c r="T740" i="3"/>
  <c r="S739" i="3"/>
  <c r="T739" i="3"/>
  <c r="S738" i="3"/>
  <c r="T738" i="3"/>
  <c r="S737" i="3"/>
  <c r="T737" i="3"/>
  <c r="S736" i="3"/>
  <c r="T736" i="3"/>
  <c r="S735" i="3"/>
  <c r="T735" i="3"/>
  <c r="S734" i="3"/>
  <c r="T734" i="3"/>
  <c r="S733" i="3"/>
  <c r="T733" i="3"/>
  <c r="S732" i="3"/>
  <c r="T732" i="3"/>
  <c r="S731" i="3"/>
  <c r="T731" i="3"/>
  <c r="S730" i="3"/>
  <c r="T730" i="3"/>
  <c r="S729" i="3"/>
  <c r="T729" i="3"/>
  <c r="S728" i="3"/>
  <c r="T728" i="3"/>
  <c r="S727" i="3"/>
  <c r="T727" i="3"/>
  <c r="S726" i="3"/>
  <c r="T726" i="3"/>
  <c r="S725" i="3"/>
  <c r="T725" i="3"/>
  <c r="S724" i="3"/>
  <c r="T724" i="3"/>
  <c r="S723" i="3"/>
  <c r="T723" i="3"/>
  <c r="S722" i="3"/>
  <c r="T722" i="3"/>
  <c r="S721" i="3"/>
  <c r="T721" i="3"/>
  <c r="S720" i="3"/>
  <c r="T720" i="3"/>
  <c r="S719" i="3"/>
  <c r="T719" i="3"/>
  <c r="S718" i="3"/>
  <c r="T718" i="3"/>
  <c r="S717" i="3"/>
  <c r="T717" i="3"/>
  <c r="S716" i="3"/>
  <c r="T716" i="3"/>
  <c r="S715" i="3"/>
  <c r="T715" i="3"/>
  <c r="S714" i="3"/>
  <c r="T714" i="3"/>
  <c r="S713" i="3"/>
  <c r="T713" i="3"/>
  <c r="S712" i="3"/>
  <c r="T712" i="3"/>
  <c r="S711" i="3"/>
  <c r="T711" i="3"/>
  <c r="S710" i="3"/>
  <c r="T710" i="3"/>
  <c r="S709" i="3"/>
  <c r="T709" i="3"/>
  <c r="S708" i="3"/>
  <c r="T708" i="3"/>
  <c r="S707" i="3"/>
  <c r="T707" i="3"/>
  <c r="S706" i="3"/>
  <c r="T706" i="3"/>
  <c r="S705" i="3"/>
  <c r="T705" i="3"/>
  <c r="S704" i="3"/>
  <c r="T704" i="3"/>
  <c r="S703" i="3"/>
  <c r="T703" i="3"/>
  <c r="S702" i="3"/>
  <c r="T702" i="3"/>
  <c r="S701" i="3"/>
  <c r="T701" i="3"/>
  <c r="S700" i="3"/>
  <c r="T700" i="3"/>
  <c r="S699" i="3"/>
  <c r="T699" i="3"/>
  <c r="S698" i="3"/>
  <c r="T698" i="3"/>
  <c r="S697" i="3"/>
  <c r="T697" i="3"/>
  <c r="S696" i="3"/>
  <c r="T696" i="3"/>
  <c r="S695" i="3"/>
  <c r="T695" i="3"/>
  <c r="S694" i="3"/>
  <c r="T694" i="3"/>
  <c r="S693" i="3"/>
  <c r="T693" i="3"/>
  <c r="S692" i="3"/>
  <c r="T692" i="3"/>
  <c r="S691" i="3"/>
  <c r="T691" i="3"/>
  <c r="S690" i="3"/>
  <c r="T690" i="3"/>
  <c r="S689" i="3"/>
  <c r="T689" i="3"/>
  <c r="S688" i="3"/>
  <c r="T688" i="3"/>
  <c r="S687" i="3"/>
  <c r="T687" i="3"/>
  <c r="S686" i="3"/>
  <c r="T686" i="3"/>
  <c r="S685" i="3"/>
  <c r="T685" i="3"/>
  <c r="S684" i="3"/>
  <c r="T684" i="3"/>
  <c r="S683" i="3"/>
  <c r="T683" i="3"/>
  <c r="S682" i="3"/>
  <c r="T682" i="3"/>
  <c r="S681" i="3"/>
  <c r="T681" i="3"/>
  <c r="S680" i="3"/>
  <c r="T680" i="3"/>
  <c r="S679" i="3"/>
  <c r="T679" i="3"/>
  <c r="S678" i="3"/>
  <c r="T678" i="3"/>
  <c r="S677" i="3"/>
  <c r="T677" i="3"/>
  <c r="S676" i="3"/>
  <c r="T676" i="3"/>
  <c r="S675" i="3"/>
  <c r="T675" i="3"/>
  <c r="S674" i="3"/>
  <c r="T674" i="3"/>
  <c r="S673" i="3"/>
  <c r="T673" i="3"/>
  <c r="S672" i="3"/>
  <c r="T672" i="3"/>
  <c r="S671" i="3"/>
  <c r="T671" i="3"/>
  <c r="S670" i="3"/>
  <c r="T670" i="3"/>
  <c r="S669" i="3"/>
  <c r="T669" i="3"/>
  <c r="S668" i="3"/>
  <c r="T668" i="3"/>
  <c r="S667" i="3"/>
  <c r="T667" i="3"/>
  <c r="S666" i="3"/>
  <c r="T666" i="3"/>
  <c r="S665" i="3"/>
  <c r="T665" i="3"/>
  <c r="S664" i="3"/>
  <c r="T664" i="3"/>
  <c r="S663" i="3"/>
  <c r="T663" i="3"/>
  <c r="S662" i="3"/>
  <c r="T662" i="3"/>
  <c r="S661" i="3"/>
  <c r="T661" i="3"/>
  <c r="S660" i="3"/>
  <c r="T660" i="3"/>
  <c r="S659" i="3"/>
  <c r="T659" i="3"/>
  <c r="S658" i="3"/>
  <c r="T658" i="3"/>
  <c r="S657" i="3"/>
  <c r="T657" i="3"/>
  <c r="S656" i="3"/>
  <c r="T656" i="3"/>
  <c r="S655" i="3"/>
  <c r="T655" i="3"/>
  <c r="S654" i="3"/>
  <c r="T654" i="3"/>
  <c r="S653" i="3"/>
  <c r="T653" i="3"/>
  <c r="S652" i="3"/>
  <c r="T652" i="3"/>
  <c r="S651" i="3"/>
  <c r="T651" i="3"/>
  <c r="S650" i="3"/>
  <c r="T650" i="3"/>
  <c r="S649" i="3"/>
  <c r="T649" i="3"/>
  <c r="S648" i="3"/>
  <c r="T648" i="3"/>
  <c r="S647" i="3"/>
  <c r="T647" i="3"/>
  <c r="S646" i="3"/>
  <c r="T646" i="3"/>
  <c r="S645" i="3"/>
  <c r="T645" i="3"/>
  <c r="S644" i="3"/>
  <c r="T644" i="3"/>
  <c r="S643" i="3"/>
  <c r="T643" i="3"/>
  <c r="S642" i="3"/>
  <c r="T642" i="3"/>
  <c r="S641" i="3"/>
  <c r="T641" i="3"/>
  <c r="S640" i="3"/>
  <c r="T640" i="3"/>
  <c r="S639" i="3"/>
  <c r="T639" i="3"/>
  <c r="S638" i="3"/>
  <c r="T638" i="3"/>
  <c r="S637" i="3"/>
  <c r="T637" i="3"/>
  <c r="S636" i="3"/>
  <c r="T636" i="3"/>
  <c r="S635" i="3"/>
  <c r="T635" i="3"/>
  <c r="S634" i="3"/>
  <c r="T634" i="3"/>
  <c r="S633" i="3"/>
  <c r="T633" i="3"/>
  <c r="S632" i="3"/>
  <c r="T632" i="3"/>
  <c r="S631" i="3"/>
  <c r="T631" i="3"/>
  <c r="S630" i="3"/>
  <c r="T630" i="3"/>
  <c r="S629" i="3"/>
  <c r="T629" i="3"/>
  <c r="S628" i="3"/>
  <c r="T628" i="3"/>
  <c r="S627" i="3"/>
  <c r="T627" i="3"/>
  <c r="S626" i="3"/>
  <c r="T626" i="3"/>
  <c r="S625" i="3"/>
  <c r="T625" i="3"/>
  <c r="S624" i="3"/>
  <c r="T624" i="3"/>
  <c r="S623" i="3"/>
  <c r="T623" i="3"/>
  <c r="S622" i="3"/>
  <c r="T622" i="3"/>
  <c r="S621" i="3"/>
  <c r="T621" i="3"/>
  <c r="S620" i="3"/>
  <c r="T620" i="3"/>
  <c r="S619" i="3"/>
  <c r="T619" i="3"/>
  <c r="S618" i="3"/>
  <c r="T618" i="3"/>
  <c r="S617" i="3"/>
  <c r="T617" i="3"/>
  <c r="S616" i="3"/>
  <c r="T616" i="3"/>
  <c r="S615" i="3"/>
  <c r="T615" i="3"/>
  <c r="S614" i="3"/>
  <c r="T614" i="3"/>
  <c r="S613" i="3"/>
  <c r="T613" i="3"/>
  <c r="S612" i="3"/>
  <c r="T612" i="3"/>
  <c r="S611" i="3"/>
  <c r="T611" i="3"/>
  <c r="S610" i="3"/>
  <c r="T610" i="3"/>
  <c r="S609" i="3"/>
  <c r="T609" i="3"/>
  <c r="S608" i="3"/>
  <c r="T608" i="3"/>
  <c r="S607" i="3"/>
  <c r="T607" i="3"/>
  <c r="S606" i="3"/>
  <c r="T606" i="3"/>
  <c r="S605" i="3"/>
  <c r="T605" i="3"/>
  <c r="S604" i="3"/>
  <c r="T604" i="3"/>
  <c r="S603" i="3"/>
  <c r="T603" i="3"/>
  <c r="S602" i="3"/>
  <c r="T602" i="3"/>
  <c r="S601" i="3"/>
  <c r="T601" i="3"/>
  <c r="S600" i="3"/>
  <c r="T600" i="3"/>
  <c r="S599" i="3"/>
  <c r="T599" i="3"/>
  <c r="S598" i="3"/>
  <c r="T598" i="3"/>
  <c r="S597" i="3"/>
  <c r="T597" i="3"/>
  <c r="S596" i="3"/>
  <c r="T596" i="3"/>
  <c r="S595" i="3"/>
  <c r="T595" i="3"/>
  <c r="S594" i="3"/>
  <c r="T594" i="3"/>
  <c r="S593" i="3"/>
  <c r="T593" i="3"/>
  <c r="S592" i="3"/>
  <c r="T592" i="3"/>
  <c r="S591" i="3"/>
  <c r="T591" i="3"/>
  <c r="S590" i="3"/>
  <c r="T590" i="3"/>
  <c r="S589" i="3"/>
  <c r="T589" i="3"/>
  <c r="S588" i="3"/>
  <c r="T588" i="3"/>
  <c r="S587" i="3"/>
  <c r="T587" i="3"/>
  <c r="S586" i="3"/>
  <c r="T586" i="3"/>
  <c r="S585" i="3"/>
  <c r="T585" i="3"/>
  <c r="S584" i="3"/>
  <c r="T584" i="3"/>
  <c r="S583" i="3"/>
  <c r="T583" i="3"/>
  <c r="S582" i="3"/>
  <c r="T582" i="3"/>
  <c r="S581" i="3"/>
  <c r="T581" i="3"/>
  <c r="S580" i="3"/>
  <c r="T580" i="3"/>
  <c r="S579" i="3"/>
  <c r="T579" i="3"/>
  <c r="S578" i="3"/>
  <c r="T578" i="3"/>
  <c r="S577" i="3"/>
  <c r="T577" i="3"/>
  <c r="S576" i="3"/>
  <c r="T576" i="3"/>
  <c r="S575" i="3"/>
  <c r="T575" i="3"/>
  <c r="S574" i="3"/>
  <c r="T574" i="3"/>
  <c r="S573" i="3"/>
  <c r="T573" i="3"/>
  <c r="S572" i="3"/>
  <c r="T572" i="3"/>
  <c r="S571" i="3"/>
  <c r="T571" i="3"/>
  <c r="S570" i="3"/>
  <c r="T570" i="3"/>
  <c r="S569" i="3"/>
  <c r="T569" i="3"/>
  <c r="S568" i="3"/>
  <c r="T568" i="3"/>
  <c r="S567" i="3"/>
  <c r="T567" i="3"/>
  <c r="S566" i="3"/>
  <c r="T566" i="3"/>
  <c r="S565" i="3"/>
  <c r="T565" i="3"/>
  <c r="S564" i="3"/>
  <c r="T564" i="3"/>
  <c r="S563" i="3"/>
  <c r="T563" i="3"/>
  <c r="S562" i="3"/>
  <c r="T562" i="3"/>
  <c r="S561" i="3"/>
  <c r="T561" i="3"/>
  <c r="S560" i="3"/>
  <c r="T560" i="3"/>
  <c r="S559" i="3"/>
  <c r="T559" i="3"/>
  <c r="S558" i="3"/>
  <c r="T558" i="3"/>
  <c r="S557" i="3"/>
  <c r="T557" i="3"/>
  <c r="S556" i="3"/>
  <c r="T556" i="3"/>
  <c r="S555" i="3"/>
  <c r="T555" i="3"/>
  <c r="S554" i="3"/>
  <c r="T554" i="3"/>
  <c r="S553" i="3"/>
  <c r="T553" i="3"/>
  <c r="S552" i="3"/>
  <c r="T552" i="3"/>
  <c r="S551" i="3"/>
  <c r="T551" i="3"/>
  <c r="S550" i="3"/>
  <c r="T550" i="3"/>
  <c r="S549" i="3"/>
  <c r="T549" i="3"/>
  <c r="S548" i="3"/>
  <c r="T548" i="3"/>
  <c r="S547" i="3"/>
  <c r="T547" i="3"/>
  <c r="S546" i="3"/>
  <c r="T546" i="3"/>
  <c r="S545" i="3"/>
  <c r="T545" i="3"/>
  <c r="S544" i="3"/>
  <c r="T544" i="3"/>
  <c r="S543" i="3"/>
  <c r="T543" i="3"/>
  <c r="S542" i="3"/>
  <c r="T542" i="3"/>
  <c r="S541" i="3"/>
  <c r="T541" i="3"/>
  <c r="S540" i="3"/>
  <c r="T540" i="3"/>
  <c r="S539" i="3"/>
  <c r="T539" i="3"/>
  <c r="S537" i="3"/>
  <c r="T537" i="3"/>
  <c r="S536" i="3"/>
  <c r="T536" i="3"/>
  <c r="S535" i="3"/>
  <c r="T535" i="3"/>
  <c r="S534" i="3"/>
  <c r="T534" i="3"/>
  <c r="S533" i="3"/>
  <c r="T533" i="3"/>
  <c r="S532" i="3"/>
  <c r="T532" i="3"/>
  <c r="S531" i="3"/>
  <c r="T531" i="3"/>
  <c r="S530" i="3"/>
  <c r="T530" i="3"/>
  <c r="S529" i="3"/>
  <c r="T529" i="3"/>
  <c r="S528" i="3"/>
  <c r="T528" i="3"/>
  <c r="S527" i="3"/>
  <c r="T527" i="3"/>
  <c r="S526" i="3"/>
  <c r="T526" i="3"/>
  <c r="S525" i="3"/>
  <c r="T525" i="3"/>
  <c r="S524" i="3"/>
  <c r="T524" i="3"/>
  <c r="S523" i="3"/>
  <c r="T523" i="3"/>
  <c r="S522" i="3"/>
  <c r="T522" i="3"/>
  <c r="S521" i="3"/>
  <c r="T521" i="3"/>
  <c r="S520" i="3"/>
  <c r="T520" i="3"/>
  <c r="S519" i="3"/>
  <c r="T519" i="3"/>
  <c r="S518" i="3"/>
  <c r="T518" i="3"/>
  <c r="S517" i="3"/>
  <c r="T517" i="3"/>
  <c r="S516" i="3"/>
  <c r="T516" i="3"/>
  <c r="S515" i="3"/>
  <c r="T515" i="3"/>
  <c r="S514" i="3"/>
  <c r="T514" i="3"/>
  <c r="S513" i="3"/>
  <c r="T513" i="3"/>
  <c r="S512" i="3"/>
  <c r="T512" i="3"/>
  <c r="S511" i="3"/>
  <c r="T511" i="3"/>
  <c r="S510" i="3"/>
  <c r="T510" i="3"/>
  <c r="S509" i="3"/>
  <c r="T509" i="3"/>
  <c r="S508" i="3"/>
  <c r="T508" i="3"/>
  <c r="S507" i="3"/>
  <c r="T507" i="3"/>
  <c r="S506" i="3"/>
  <c r="T506" i="3"/>
  <c r="S505" i="3"/>
  <c r="T505" i="3"/>
  <c r="S504" i="3"/>
  <c r="T504" i="3"/>
  <c r="S503" i="3"/>
  <c r="T503" i="3"/>
  <c r="S502" i="3"/>
  <c r="T502" i="3"/>
  <c r="S501" i="3"/>
  <c r="T501" i="3"/>
  <c r="S500" i="3"/>
  <c r="T500" i="3"/>
  <c r="S499" i="3"/>
  <c r="T499" i="3"/>
  <c r="S498" i="3"/>
  <c r="T498" i="3"/>
  <c r="S497" i="3"/>
  <c r="T497" i="3"/>
  <c r="S496" i="3"/>
  <c r="T496" i="3"/>
  <c r="S495" i="3"/>
  <c r="T495" i="3"/>
  <c r="S494" i="3"/>
  <c r="T494" i="3"/>
  <c r="S493" i="3"/>
  <c r="T493" i="3"/>
  <c r="S492" i="3"/>
  <c r="T492" i="3"/>
  <c r="S491" i="3"/>
  <c r="T491" i="3"/>
  <c r="S490" i="3"/>
  <c r="T490" i="3"/>
  <c r="S489" i="3"/>
  <c r="T489" i="3"/>
  <c r="S488" i="3"/>
  <c r="I34" i="8" s="1"/>
  <c r="T488" i="3"/>
  <c r="J34" i="8" s="1"/>
  <c r="H34" i="8"/>
  <c r="S487" i="3"/>
  <c r="T487" i="3"/>
  <c r="S486" i="3"/>
  <c r="T486" i="3"/>
  <c r="S485" i="3"/>
  <c r="T485" i="3"/>
  <c r="S484" i="3"/>
  <c r="T484" i="3"/>
  <c r="S483" i="3"/>
  <c r="T483" i="3"/>
  <c r="S482" i="3"/>
  <c r="T482" i="3"/>
  <c r="S481" i="3"/>
  <c r="T481" i="3"/>
  <c r="S480" i="3"/>
  <c r="T480" i="3"/>
  <c r="S479" i="3"/>
  <c r="T479" i="3"/>
  <c r="S478" i="3"/>
  <c r="T478" i="3"/>
  <c r="S477" i="3"/>
  <c r="T477" i="3"/>
  <c r="S476" i="3"/>
  <c r="T476" i="3"/>
  <c r="S475" i="3"/>
  <c r="T475" i="3"/>
  <c r="S474" i="3"/>
  <c r="T474" i="3"/>
  <c r="S473" i="3"/>
  <c r="T473" i="3"/>
  <c r="S472" i="3"/>
  <c r="T472" i="3"/>
  <c r="S471" i="3"/>
  <c r="T471" i="3"/>
  <c r="S470" i="3"/>
  <c r="T470" i="3"/>
  <c r="S469" i="3"/>
  <c r="T469" i="3"/>
  <c r="S468" i="3"/>
  <c r="T468" i="3"/>
  <c r="S467" i="3"/>
  <c r="T467" i="3"/>
  <c r="S466" i="3"/>
  <c r="T466" i="3"/>
  <c r="S465" i="3"/>
  <c r="T465" i="3"/>
  <c r="S464" i="3"/>
  <c r="T464" i="3"/>
  <c r="S463" i="3"/>
  <c r="T463" i="3"/>
  <c r="S462" i="3"/>
  <c r="T462" i="3"/>
  <c r="S461" i="3"/>
  <c r="T461" i="3"/>
  <c r="S460" i="3"/>
  <c r="T460" i="3"/>
  <c r="S459" i="3"/>
  <c r="T459" i="3"/>
  <c r="S458" i="3"/>
  <c r="I33" i="8" s="1"/>
  <c r="T458" i="3"/>
  <c r="J33" i="8" s="1"/>
  <c r="H33" i="8"/>
  <c r="S457" i="3"/>
  <c r="T457" i="3"/>
  <c r="S456" i="3"/>
  <c r="T456" i="3"/>
  <c r="S455" i="3"/>
  <c r="T455" i="3"/>
  <c r="S454" i="3"/>
  <c r="T454" i="3"/>
  <c r="S453" i="3"/>
  <c r="T453" i="3"/>
  <c r="S452" i="3"/>
  <c r="T452" i="3"/>
  <c r="S451" i="3"/>
  <c r="T451" i="3"/>
  <c r="S450" i="3"/>
  <c r="T450" i="3"/>
  <c r="S449" i="3"/>
  <c r="T449" i="3"/>
  <c r="S448" i="3"/>
  <c r="T448" i="3"/>
  <c r="S447" i="3"/>
  <c r="T447" i="3"/>
  <c r="S446" i="3"/>
  <c r="T446" i="3"/>
  <c r="S445" i="3"/>
  <c r="T445" i="3"/>
  <c r="S444" i="3"/>
  <c r="T444" i="3"/>
  <c r="S443" i="3"/>
  <c r="T443" i="3"/>
  <c r="S442" i="3"/>
  <c r="T442" i="3"/>
  <c r="S441" i="3"/>
  <c r="T441" i="3"/>
  <c r="S440" i="3"/>
  <c r="T440" i="3"/>
  <c r="S439" i="3"/>
  <c r="T439" i="3"/>
  <c r="S438" i="3"/>
  <c r="T438" i="3"/>
  <c r="S437" i="3"/>
  <c r="T437" i="3"/>
  <c r="S436" i="3"/>
  <c r="T436" i="3"/>
  <c r="S435" i="3"/>
  <c r="T435" i="3"/>
  <c r="S434" i="3"/>
  <c r="T434" i="3"/>
  <c r="S433" i="3"/>
  <c r="T433" i="3"/>
  <c r="S432" i="3"/>
  <c r="T432" i="3"/>
  <c r="S431" i="3"/>
  <c r="T431" i="3"/>
  <c r="S430" i="3"/>
  <c r="T430" i="3"/>
  <c r="S429" i="3"/>
  <c r="T429" i="3"/>
  <c r="S428" i="3"/>
  <c r="T428" i="3"/>
  <c r="S427" i="3"/>
  <c r="T427" i="3"/>
  <c r="S426" i="3"/>
  <c r="I32" i="8" s="1"/>
  <c r="T426" i="3"/>
  <c r="J32" i="8" s="1"/>
  <c r="H32" i="8"/>
  <c r="S425" i="3"/>
  <c r="T425" i="3"/>
  <c r="S424" i="3"/>
  <c r="T424" i="3"/>
  <c r="S423" i="3"/>
  <c r="T423" i="3"/>
  <c r="S422" i="3"/>
  <c r="T422" i="3"/>
  <c r="S421" i="3"/>
  <c r="I22" i="8" s="1"/>
  <c r="T421" i="3"/>
  <c r="J22" i="8" s="1"/>
  <c r="H22" i="8"/>
  <c r="S420" i="3"/>
  <c r="T420" i="3"/>
  <c r="S419" i="3"/>
  <c r="T419" i="3"/>
  <c r="S418" i="3"/>
  <c r="T418" i="3"/>
  <c r="S417" i="3"/>
  <c r="T417" i="3"/>
  <c r="S416" i="3"/>
  <c r="T416" i="3"/>
  <c r="S415" i="3"/>
  <c r="T415" i="3"/>
  <c r="S414" i="3"/>
  <c r="T414" i="3"/>
  <c r="S413" i="3"/>
  <c r="T413" i="3"/>
  <c r="S412" i="3"/>
  <c r="T412" i="3"/>
  <c r="S411" i="3"/>
  <c r="T411" i="3"/>
  <c r="S410" i="3"/>
  <c r="T410" i="3"/>
  <c r="S409" i="3"/>
  <c r="T409" i="3"/>
  <c r="S408" i="3"/>
  <c r="T408" i="3"/>
  <c r="S407" i="3"/>
  <c r="T407" i="3"/>
  <c r="S406" i="3"/>
  <c r="T406" i="3"/>
  <c r="S405" i="3"/>
  <c r="I31" i="8" s="1"/>
  <c r="T405" i="3"/>
  <c r="J31" i="8" s="1"/>
  <c r="H31" i="8"/>
  <c r="S404" i="3"/>
  <c r="T404" i="3"/>
  <c r="S403" i="3"/>
  <c r="T403" i="3"/>
  <c r="S402" i="3"/>
  <c r="T402" i="3"/>
  <c r="S401" i="3"/>
  <c r="T401" i="3"/>
  <c r="S400" i="3"/>
  <c r="T400" i="3"/>
  <c r="S399" i="3"/>
  <c r="T399" i="3"/>
  <c r="S398" i="3"/>
  <c r="T398" i="3"/>
  <c r="S397" i="3"/>
  <c r="T397" i="3"/>
  <c r="S396" i="3"/>
  <c r="T396" i="3"/>
  <c r="S395" i="3"/>
  <c r="I12" i="8" s="1"/>
  <c r="T395" i="3"/>
  <c r="J12" i="8" s="1"/>
  <c r="H12" i="8"/>
  <c r="S394" i="3"/>
  <c r="T394" i="3"/>
  <c r="S393" i="3"/>
  <c r="T393" i="3"/>
  <c r="S392" i="3"/>
  <c r="T392" i="3"/>
  <c r="S391" i="3"/>
  <c r="T391" i="3"/>
  <c r="S390" i="3"/>
  <c r="T390" i="3"/>
  <c r="S389" i="3"/>
  <c r="T389" i="3"/>
  <c r="S388" i="3"/>
  <c r="T388" i="3"/>
  <c r="S387" i="3"/>
  <c r="T387" i="3"/>
  <c r="S386" i="3"/>
  <c r="T386" i="3"/>
  <c r="S385" i="3"/>
  <c r="I21" i="8" s="1"/>
  <c r="T385" i="3"/>
  <c r="J21" i="8" s="1"/>
  <c r="H21" i="8"/>
  <c r="S384" i="3"/>
  <c r="T384" i="3"/>
  <c r="S383" i="3"/>
  <c r="T383" i="3"/>
  <c r="S382" i="3"/>
  <c r="T382" i="3"/>
  <c r="S381" i="3"/>
  <c r="T381" i="3"/>
  <c r="S380" i="3"/>
  <c r="T380" i="3"/>
  <c r="S379" i="3"/>
  <c r="T379" i="3"/>
  <c r="S378" i="3"/>
  <c r="T378" i="3"/>
  <c r="S377" i="3"/>
  <c r="T377" i="3"/>
  <c r="S376" i="3"/>
  <c r="T376" i="3"/>
  <c r="S375" i="3"/>
  <c r="T375" i="3"/>
  <c r="S374" i="3"/>
  <c r="T374" i="3"/>
  <c r="S373" i="3"/>
  <c r="I24" i="8" s="1"/>
  <c r="T373" i="3"/>
  <c r="J24" i="8" s="1"/>
  <c r="H24" i="8"/>
  <c r="S372" i="3"/>
  <c r="T372" i="3"/>
  <c r="S371" i="3"/>
  <c r="T371" i="3"/>
  <c r="S370" i="3"/>
  <c r="T370" i="3"/>
  <c r="S369" i="3"/>
  <c r="T369" i="3"/>
  <c r="S368" i="3"/>
  <c r="T368" i="3"/>
  <c r="S367" i="3"/>
  <c r="T367" i="3"/>
  <c r="S366" i="3"/>
  <c r="T366" i="3"/>
  <c r="S365" i="3"/>
  <c r="T365" i="3"/>
  <c r="S364" i="3"/>
  <c r="T364" i="3"/>
  <c r="S363" i="3"/>
  <c r="T363" i="3"/>
  <c r="S362" i="3"/>
  <c r="T362" i="3"/>
  <c r="S361" i="3"/>
  <c r="T361" i="3"/>
  <c r="S360" i="3"/>
  <c r="T360" i="3"/>
  <c r="S359" i="3"/>
  <c r="I11" i="8" s="1"/>
  <c r="T359" i="3"/>
  <c r="J11" i="8" s="1"/>
  <c r="H11" i="8"/>
  <c r="S358" i="3"/>
  <c r="T358" i="3"/>
  <c r="S357" i="3"/>
  <c r="T357" i="3"/>
  <c r="S356" i="3"/>
  <c r="T356" i="3"/>
  <c r="S355" i="3"/>
  <c r="T355" i="3"/>
  <c r="S354" i="3"/>
  <c r="T354" i="3"/>
  <c r="S353" i="3"/>
  <c r="T353" i="3"/>
  <c r="S352" i="3"/>
  <c r="I23" i="8" s="1"/>
  <c r="T352" i="3"/>
  <c r="J23" i="8" s="1"/>
  <c r="H23" i="8"/>
  <c r="S351" i="3"/>
  <c r="T351" i="3"/>
  <c r="S350" i="3"/>
  <c r="T350" i="3"/>
  <c r="S349" i="3"/>
  <c r="T349" i="3"/>
  <c r="S348" i="3"/>
  <c r="T348" i="3"/>
  <c r="S347" i="3"/>
  <c r="T347" i="3"/>
  <c r="S346" i="3"/>
  <c r="T346" i="3"/>
  <c r="S345" i="3"/>
  <c r="T345" i="3"/>
  <c r="S344" i="3"/>
  <c r="T344" i="3"/>
  <c r="S343" i="3"/>
  <c r="T343" i="3"/>
  <c r="S342" i="3"/>
  <c r="T342" i="3"/>
  <c r="S341" i="3"/>
  <c r="T341" i="3"/>
  <c r="S340" i="3"/>
  <c r="T340" i="3"/>
  <c r="S339" i="3"/>
  <c r="T339" i="3"/>
  <c r="S338" i="3"/>
  <c r="T338" i="3"/>
  <c r="S337" i="3"/>
  <c r="T337" i="3"/>
  <c r="S336" i="3"/>
  <c r="T336" i="3"/>
  <c r="S335" i="3"/>
  <c r="T335" i="3"/>
  <c r="S334" i="3"/>
  <c r="T334" i="3"/>
  <c r="S333" i="3"/>
  <c r="T333" i="3"/>
  <c r="S332" i="3"/>
  <c r="T332" i="3"/>
  <c r="S331" i="3"/>
  <c r="T331" i="3"/>
  <c r="S330" i="3"/>
  <c r="T330" i="3"/>
  <c r="S329" i="3"/>
  <c r="T329" i="3"/>
  <c r="S328" i="3"/>
  <c r="T328" i="3"/>
  <c r="S327" i="3"/>
  <c r="T327" i="3"/>
  <c r="S326" i="3"/>
  <c r="T326" i="3"/>
  <c r="S325" i="3"/>
  <c r="T325" i="3"/>
  <c r="S324" i="3"/>
  <c r="T324" i="3"/>
  <c r="S323" i="3"/>
  <c r="T323" i="3"/>
  <c r="S322" i="3"/>
  <c r="T322" i="3"/>
  <c r="S321" i="3"/>
  <c r="T321" i="3"/>
  <c r="S320" i="3"/>
  <c r="T320" i="3"/>
  <c r="S319" i="3"/>
  <c r="T319" i="3"/>
  <c r="S318" i="3"/>
  <c r="T318" i="3"/>
  <c r="S317" i="3"/>
  <c r="T317" i="3"/>
  <c r="S316" i="3"/>
  <c r="T316" i="3"/>
  <c r="S315" i="3"/>
  <c r="T315" i="3"/>
  <c r="S314" i="3"/>
  <c r="T314" i="3"/>
  <c r="S313" i="3"/>
  <c r="T313" i="3"/>
  <c r="S312" i="3"/>
  <c r="T312" i="3"/>
  <c r="S311" i="3"/>
  <c r="T311" i="3"/>
  <c r="S310" i="3"/>
  <c r="T310" i="3"/>
  <c r="S309" i="3"/>
  <c r="T309" i="3"/>
  <c r="S308" i="3"/>
  <c r="T308" i="3"/>
  <c r="S307" i="3"/>
  <c r="T307" i="3"/>
  <c r="S306" i="3"/>
  <c r="T306" i="3"/>
  <c r="S305" i="3"/>
  <c r="T305" i="3"/>
  <c r="S304" i="3"/>
  <c r="T304" i="3"/>
  <c r="S303" i="3"/>
  <c r="T303" i="3"/>
  <c r="S302" i="3"/>
  <c r="T302" i="3"/>
  <c r="S301" i="3"/>
  <c r="T301" i="3"/>
  <c r="S300" i="3"/>
  <c r="T300" i="3"/>
  <c r="S299" i="3"/>
  <c r="T299" i="3"/>
  <c r="S298" i="3"/>
  <c r="T298" i="3"/>
  <c r="S297" i="3"/>
  <c r="T297" i="3"/>
  <c r="S296" i="3"/>
  <c r="T296" i="3"/>
  <c r="S295" i="3"/>
  <c r="T295" i="3"/>
  <c r="S294" i="3"/>
  <c r="T294" i="3"/>
  <c r="S293" i="3"/>
  <c r="T293" i="3"/>
  <c r="S292" i="3"/>
  <c r="T292" i="3"/>
  <c r="S291" i="3"/>
  <c r="T291" i="3"/>
  <c r="S290" i="3"/>
  <c r="T290" i="3"/>
  <c r="S289" i="3"/>
  <c r="T289" i="3"/>
  <c r="S288" i="3"/>
  <c r="T288" i="3"/>
  <c r="S287" i="3"/>
  <c r="T287" i="3"/>
  <c r="S286" i="3"/>
  <c r="T286" i="3"/>
  <c r="S285" i="3"/>
  <c r="T285" i="3"/>
  <c r="S284" i="3"/>
  <c r="T284" i="3"/>
  <c r="S283" i="3"/>
  <c r="T283" i="3"/>
  <c r="S282" i="3"/>
  <c r="T282" i="3"/>
  <c r="S281" i="3"/>
  <c r="T281" i="3"/>
  <c r="S280" i="3"/>
  <c r="T280" i="3"/>
  <c r="S279" i="3"/>
  <c r="T279" i="3"/>
  <c r="S278" i="3"/>
  <c r="T278" i="3"/>
  <c r="S277" i="3"/>
  <c r="T277" i="3"/>
  <c r="S276" i="3"/>
  <c r="T276" i="3"/>
  <c r="S275" i="3"/>
  <c r="T275" i="3"/>
  <c r="S274" i="3"/>
  <c r="T274" i="3"/>
  <c r="S273" i="3"/>
  <c r="T273" i="3"/>
  <c r="S272" i="3"/>
  <c r="T272" i="3"/>
  <c r="S271" i="3"/>
  <c r="T271" i="3"/>
  <c r="S270" i="3"/>
  <c r="T270" i="3"/>
  <c r="S269" i="3"/>
  <c r="T269" i="3"/>
  <c r="S268" i="3"/>
  <c r="T268" i="3"/>
  <c r="S267" i="3"/>
  <c r="T267" i="3"/>
  <c r="S266" i="3"/>
  <c r="T266" i="3"/>
  <c r="S265" i="3"/>
  <c r="T265" i="3"/>
  <c r="S264" i="3"/>
  <c r="T264" i="3"/>
  <c r="S263" i="3"/>
  <c r="T263" i="3"/>
  <c r="S262" i="3"/>
  <c r="T262" i="3"/>
  <c r="S261" i="3"/>
  <c r="T261" i="3"/>
  <c r="S260" i="3"/>
  <c r="T260" i="3"/>
  <c r="S259" i="3"/>
  <c r="T259" i="3"/>
  <c r="S258" i="3"/>
  <c r="T258" i="3"/>
  <c r="S257" i="3"/>
  <c r="T257" i="3"/>
  <c r="S256" i="3"/>
  <c r="T256" i="3"/>
  <c r="S255" i="3"/>
  <c r="T255" i="3"/>
  <c r="S254" i="3"/>
  <c r="T254" i="3"/>
  <c r="S253" i="3"/>
  <c r="T253" i="3"/>
  <c r="S252" i="3"/>
  <c r="T252" i="3"/>
  <c r="S251" i="3"/>
  <c r="T251" i="3"/>
  <c r="S250" i="3"/>
  <c r="T250" i="3"/>
  <c r="S249" i="3"/>
  <c r="T249" i="3"/>
  <c r="S248" i="3"/>
  <c r="T248" i="3"/>
  <c r="S247" i="3"/>
  <c r="T247" i="3"/>
  <c r="S246" i="3"/>
  <c r="T246" i="3"/>
  <c r="S245" i="3"/>
  <c r="T245" i="3"/>
  <c r="S244" i="3"/>
  <c r="T244" i="3"/>
  <c r="S243" i="3"/>
  <c r="T243" i="3"/>
  <c r="S242" i="3"/>
  <c r="T242" i="3"/>
  <c r="S241" i="3"/>
  <c r="T241" i="3"/>
  <c r="S240" i="3"/>
  <c r="T240" i="3"/>
  <c r="S239" i="3"/>
  <c r="T239" i="3"/>
  <c r="S238" i="3"/>
  <c r="T238" i="3"/>
  <c r="S237" i="3"/>
  <c r="T237" i="3"/>
  <c r="S236" i="3"/>
  <c r="T236" i="3"/>
  <c r="S235" i="3"/>
  <c r="T235" i="3"/>
  <c r="S234" i="3"/>
  <c r="T234" i="3"/>
  <c r="S233" i="3"/>
  <c r="T233" i="3"/>
  <c r="S232" i="3"/>
  <c r="T232" i="3"/>
  <c r="S231" i="3"/>
  <c r="T231" i="3"/>
  <c r="S230" i="3"/>
  <c r="T230" i="3"/>
  <c r="S229" i="3"/>
  <c r="T229" i="3"/>
  <c r="S228" i="3"/>
  <c r="T228" i="3"/>
  <c r="S227" i="3"/>
  <c r="T227" i="3"/>
  <c r="S226" i="3"/>
  <c r="T226" i="3"/>
  <c r="S225" i="3"/>
  <c r="T225" i="3"/>
  <c r="S224" i="3"/>
  <c r="T224" i="3"/>
  <c r="S223" i="3"/>
  <c r="T223" i="3"/>
  <c r="S222" i="3"/>
  <c r="T222" i="3"/>
  <c r="S221" i="3"/>
  <c r="T221" i="3"/>
  <c r="S220" i="3"/>
  <c r="T220" i="3"/>
  <c r="S219" i="3"/>
  <c r="T219" i="3"/>
  <c r="S218" i="3"/>
  <c r="T218" i="3"/>
  <c r="S217" i="3"/>
  <c r="T217" i="3"/>
  <c r="S216" i="3"/>
  <c r="T216" i="3"/>
  <c r="S215" i="3"/>
  <c r="T215" i="3"/>
  <c r="S214" i="3"/>
  <c r="T214" i="3"/>
  <c r="S213" i="3"/>
  <c r="T213" i="3"/>
  <c r="S212" i="3"/>
  <c r="T212" i="3"/>
  <c r="S211" i="3"/>
  <c r="T211" i="3"/>
  <c r="S210" i="3"/>
  <c r="T210" i="3"/>
  <c r="S209" i="3"/>
  <c r="T209" i="3"/>
  <c r="S208" i="3"/>
  <c r="T208" i="3"/>
  <c r="S207" i="3"/>
  <c r="T207" i="3"/>
  <c r="S206" i="3"/>
  <c r="T206" i="3"/>
  <c r="S205" i="3"/>
  <c r="T205" i="3"/>
  <c r="S204" i="3"/>
  <c r="T204" i="3"/>
  <c r="S203" i="3"/>
  <c r="T203" i="3"/>
  <c r="S202" i="3"/>
  <c r="T202" i="3"/>
  <c r="S201" i="3"/>
  <c r="T201" i="3"/>
  <c r="S200" i="3"/>
  <c r="T200" i="3"/>
  <c r="S199" i="3"/>
  <c r="I16" i="8" s="1"/>
  <c r="T199" i="3"/>
  <c r="J16" i="8" s="1"/>
  <c r="H16" i="8"/>
  <c r="S198" i="3"/>
  <c r="T198" i="3"/>
  <c r="S197" i="3"/>
  <c r="T197" i="3"/>
  <c r="S196" i="3"/>
  <c r="T196" i="3"/>
  <c r="S195" i="3"/>
  <c r="T195" i="3"/>
  <c r="S194" i="3"/>
  <c r="T194" i="3"/>
  <c r="S193" i="3"/>
  <c r="T193" i="3"/>
  <c r="S192" i="3"/>
  <c r="T192" i="3"/>
  <c r="S191" i="3"/>
  <c r="T191" i="3"/>
  <c r="S190" i="3"/>
  <c r="T190" i="3"/>
  <c r="S189" i="3"/>
  <c r="T189" i="3"/>
  <c r="S188" i="3"/>
  <c r="T188" i="3"/>
  <c r="S187" i="3"/>
  <c r="T187" i="3"/>
  <c r="S186" i="3"/>
  <c r="T186" i="3"/>
  <c r="S185" i="3"/>
  <c r="T185" i="3"/>
  <c r="S184" i="3"/>
  <c r="T184" i="3"/>
  <c r="S183" i="3"/>
  <c r="T183" i="3"/>
  <c r="S182" i="3"/>
  <c r="T182" i="3"/>
  <c r="S181" i="3"/>
  <c r="T181" i="3"/>
  <c r="S180" i="3"/>
  <c r="T180" i="3"/>
  <c r="S179" i="3"/>
  <c r="T179" i="3"/>
  <c r="S178" i="3"/>
  <c r="T178" i="3"/>
  <c r="S177" i="3"/>
  <c r="T177" i="3"/>
  <c r="S176" i="3"/>
  <c r="T176" i="3"/>
  <c r="S175" i="3"/>
  <c r="T175" i="3"/>
  <c r="S174" i="3"/>
  <c r="T174" i="3"/>
  <c r="S173" i="3"/>
  <c r="I15" i="8" s="1"/>
  <c r="T173" i="3"/>
  <c r="J15" i="8" s="1"/>
  <c r="H15" i="8"/>
  <c r="S172" i="3"/>
  <c r="T172" i="3"/>
  <c r="S171" i="3"/>
  <c r="T171" i="3"/>
  <c r="S170" i="3"/>
  <c r="T170" i="3"/>
  <c r="S169" i="3"/>
  <c r="T169" i="3"/>
  <c r="S168" i="3"/>
  <c r="T168" i="3"/>
  <c r="S167" i="3"/>
  <c r="T167" i="3"/>
  <c r="S166" i="3"/>
  <c r="T166" i="3"/>
  <c r="S165" i="3"/>
  <c r="T165" i="3"/>
  <c r="S164" i="3"/>
  <c r="T164" i="3"/>
  <c r="S163" i="3"/>
  <c r="T163" i="3"/>
  <c r="S162" i="3"/>
  <c r="T162" i="3"/>
  <c r="S161" i="3"/>
  <c r="T161" i="3"/>
  <c r="S160" i="3"/>
  <c r="T160" i="3"/>
  <c r="S159" i="3"/>
  <c r="T159" i="3"/>
  <c r="S158" i="3"/>
  <c r="T158" i="3"/>
  <c r="S157" i="3"/>
  <c r="T157" i="3"/>
  <c r="S156" i="3"/>
  <c r="T156" i="3"/>
  <c r="E34" i="5"/>
  <c r="F34" i="5" s="1"/>
  <c r="G34" i="5"/>
  <c r="S155" i="3"/>
  <c r="T155" i="3"/>
  <c r="S154" i="3"/>
  <c r="T154" i="3"/>
  <c r="S153" i="3"/>
  <c r="T153" i="3"/>
  <c r="S152" i="3"/>
  <c r="T152" i="3"/>
  <c r="S151" i="3"/>
  <c r="T151" i="3"/>
  <c r="S150" i="3"/>
  <c r="T150" i="3"/>
  <c r="S149" i="3"/>
  <c r="T149" i="3"/>
  <c r="S148" i="3"/>
  <c r="T148" i="3"/>
  <c r="S147" i="3"/>
  <c r="T147" i="3"/>
  <c r="S146" i="3"/>
  <c r="T146" i="3"/>
  <c r="S145" i="3"/>
  <c r="T145" i="3"/>
  <c r="S144" i="3"/>
  <c r="T144" i="3"/>
  <c r="S143" i="3"/>
  <c r="T143" i="3"/>
  <c r="S142" i="3"/>
  <c r="T142" i="3"/>
  <c r="S141" i="3"/>
  <c r="T141" i="3"/>
  <c r="S140" i="3"/>
  <c r="T140" i="3"/>
  <c r="S139" i="3"/>
  <c r="T139" i="3"/>
  <c r="S138" i="3"/>
  <c r="T138" i="3"/>
  <c r="S137" i="3"/>
  <c r="T137" i="3"/>
  <c r="S136" i="3"/>
  <c r="T136" i="3"/>
  <c r="S135" i="3"/>
  <c r="T135" i="3"/>
  <c r="S134" i="3"/>
  <c r="T134" i="3"/>
  <c r="S133" i="3"/>
  <c r="T133" i="3"/>
  <c r="S132" i="3"/>
  <c r="H7" i="5" s="1"/>
  <c r="T132" i="3"/>
  <c r="E7" i="5"/>
  <c r="F7" i="5" s="1"/>
  <c r="G7" i="5"/>
  <c r="S131" i="3"/>
  <c r="T131" i="3"/>
  <c r="S130" i="3"/>
  <c r="H19" i="5" s="1"/>
  <c r="T130" i="3"/>
  <c r="E19" i="5"/>
  <c r="F19" i="5" s="1"/>
  <c r="G19" i="5"/>
  <c r="S129" i="3"/>
  <c r="T129" i="3"/>
  <c r="S128" i="3"/>
  <c r="T128" i="3"/>
  <c r="S127" i="3"/>
  <c r="T127" i="3"/>
  <c r="S126" i="3"/>
  <c r="T126" i="3"/>
  <c r="S125" i="3"/>
  <c r="T125" i="3"/>
  <c r="S124" i="3"/>
  <c r="T124" i="3"/>
  <c r="S123" i="3"/>
  <c r="T123" i="3"/>
  <c r="S122" i="3"/>
  <c r="T122" i="3"/>
  <c r="S121" i="3"/>
  <c r="T121" i="3"/>
  <c r="S120" i="3"/>
  <c r="T120" i="3"/>
  <c r="S119" i="3"/>
  <c r="T119" i="3"/>
  <c r="S118" i="3"/>
  <c r="T118" i="3"/>
  <c r="S117" i="3"/>
  <c r="T117" i="3"/>
  <c r="S116" i="3"/>
  <c r="T116" i="3"/>
  <c r="S115" i="3"/>
  <c r="T115" i="3"/>
  <c r="S114" i="3"/>
  <c r="T114" i="3"/>
  <c r="S113" i="3"/>
  <c r="T113" i="3"/>
  <c r="S112" i="3"/>
  <c r="T112" i="3"/>
  <c r="S111" i="3"/>
  <c r="T111" i="3"/>
  <c r="S110" i="3"/>
  <c r="T110" i="3"/>
  <c r="S109" i="3"/>
  <c r="T109" i="3"/>
  <c r="S108" i="3"/>
  <c r="T108" i="3"/>
  <c r="S107" i="3"/>
  <c r="T107" i="3"/>
  <c r="S106" i="3"/>
  <c r="T106" i="3"/>
  <c r="S105" i="3"/>
  <c r="T105" i="3"/>
  <c r="S104" i="3"/>
  <c r="T104" i="3"/>
  <c r="S103" i="3"/>
  <c r="T103" i="3"/>
  <c r="S102" i="3"/>
  <c r="H39" i="5" s="1"/>
  <c r="T102" i="3"/>
  <c r="E39" i="5"/>
  <c r="F39" i="5" s="1"/>
  <c r="G39" i="5"/>
  <c r="S101" i="3"/>
  <c r="T101" i="3"/>
  <c r="S100" i="3"/>
  <c r="T100" i="3"/>
  <c r="S99" i="3"/>
  <c r="T99" i="3"/>
  <c r="S98" i="3"/>
  <c r="T98" i="3"/>
  <c r="S97" i="3"/>
  <c r="T97" i="3"/>
  <c r="S96" i="3"/>
  <c r="T96" i="3"/>
  <c r="S95" i="3"/>
  <c r="T95" i="3"/>
  <c r="S94" i="3"/>
  <c r="T94" i="3"/>
  <c r="S93" i="3"/>
  <c r="T93" i="3"/>
  <c r="S92" i="3"/>
  <c r="T92" i="3"/>
  <c r="S91" i="3"/>
  <c r="T91" i="3"/>
  <c r="S90" i="3"/>
  <c r="T90" i="3"/>
  <c r="S89" i="3"/>
  <c r="T89" i="3"/>
  <c r="S88" i="3"/>
  <c r="T88" i="3"/>
  <c r="E40" i="5"/>
  <c r="F40" i="5" s="1"/>
  <c r="G40" i="5"/>
  <c r="S87" i="3"/>
  <c r="T87" i="3"/>
  <c r="S86" i="3"/>
  <c r="T86" i="3"/>
  <c r="S85" i="3"/>
  <c r="T85" i="3"/>
  <c r="S84" i="3"/>
  <c r="T84" i="3"/>
  <c r="S83" i="3"/>
  <c r="T83" i="3"/>
  <c r="E21" i="5"/>
  <c r="F21" i="5" s="1"/>
  <c r="G21" i="5"/>
  <c r="S82" i="3"/>
  <c r="T82" i="3"/>
  <c r="S81" i="3"/>
  <c r="T81" i="3"/>
  <c r="E22" i="5"/>
  <c r="F22" i="5" s="1"/>
  <c r="G22" i="5"/>
  <c r="S80" i="3"/>
  <c r="T80" i="3"/>
  <c r="S79" i="3"/>
  <c r="T79" i="3"/>
  <c r="S78" i="3"/>
  <c r="T78" i="3"/>
  <c r="S77" i="3"/>
  <c r="T77" i="3"/>
  <c r="S76" i="3"/>
  <c r="T76" i="3"/>
  <c r="S75" i="3"/>
  <c r="T75" i="3"/>
  <c r="S74" i="3"/>
  <c r="T74" i="3"/>
  <c r="E38" i="5"/>
  <c r="F38" i="5" s="1"/>
  <c r="G38" i="5"/>
  <c r="S73" i="3"/>
  <c r="T73" i="3"/>
  <c r="S72" i="3"/>
  <c r="T72" i="3"/>
  <c r="S71" i="3"/>
  <c r="T71" i="3"/>
  <c r="S70" i="3"/>
  <c r="T70" i="3"/>
  <c r="S69" i="3"/>
  <c r="T69" i="3"/>
  <c r="S68" i="3"/>
  <c r="T68" i="3"/>
  <c r="S67" i="3"/>
  <c r="H26" i="5" s="1"/>
  <c r="T67" i="3"/>
  <c r="E26" i="5"/>
  <c r="F26" i="5" s="1"/>
  <c r="G26" i="5"/>
  <c r="S66" i="3"/>
  <c r="T66" i="3"/>
  <c r="S65" i="3"/>
  <c r="T65" i="3"/>
  <c r="S64" i="3"/>
  <c r="T64" i="3"/>
  <c r="S63" i="3"/>
  <c r="H33" i="5" s="1"/>
  <c r="T63" i="3"/>
  <c r="E33" i="5"/>
  <c r="F33" i="5" s="1"/>
  <c r="G33" i="5"/>
  <c r="S62" i="3"/>
  <c r="T62" i="3"/>
  <c r="S61" i="3"/>
  <c r="T61" i="3"/>
  <c r="S60" i="3"/>
  <c r="T60" i="3"/>
  <c r="S59" i="3"/>
  <c r="T59" i="3"/>
  <c r="S58" i="3"/>
  <c r="T58" i="3"/>
  <c r="S57" i="3"/>
  <c r="T57" i="3"/>
  <c r="S56" i="3"/>
  <c r="T56" i="3"/>
  <c r="S55" i="3"/>
  <c r="H11" i="5" s="1"/>
  <c r="T55" i="3"/>
  <c r="E11" i="5"/>
  <c r="F11" i="5" s="1"/>
  <c r="G11" i="5"/>
  <c r="S54" i="3"/>
  <c r="T54" i="3"/>
  <c r="S53" i="3"/>
  <c r="T53" i="3"/>
  <c r="S52" i="3"/>
  <c r="T52" i="3"/>
  <c r="S51" i="3"/>
  <c r="H18" i="5" s="1"/>
  <c r="T51" i="3"/>
  <c r="E18" i="5"/>
  <c r="F18" i="5" s="1"/>
  <c r="G18" i="5"/>
  <c r="S50" i="3"/>
  <c r="T50" i="3"/>
  <c r="S49" i="3"/>
  <c r="H30" i="5" s="1"/>
  <c r="T49" i="3"/>
  <c r="E30" i="5"/>
  <c r="F30" i="5" s="1"/>
  <c r="G30" i="5"/>
  <c r="S48" i="3"/>
  <c r="H14" i="5" s="1"/>
  <c r="T48" i="3"/>
  <c r="E14" i="5"/>
  <c r="F14" i="5" s="1"/>
  <c r="G14" i="5"/>
  <c r="S47" i="3"/>
  <c r="H8" i="5" s="1"/>
  <c r="T47" i="3"/>
  <c r="E8" i="5"/>
  <c r="F8" i="5" s="1"/>
  <c r="G8" i="5"/>
  <c r="S46" i="3"/>
  <c r="T46" i="3"/>
  <c r="S45" i="3"/>
  <c r="H42" i="5" s="1"/>
  <c r="T45" i="3"/>
  <c r="E42" i="5"/>
  <c r="F42" i="5" s="1"/>
  <c r="G42" i="5"/>
  <c r="S44" i="3"/>
  <c r="T44" i="3"/>
  <c r="S43" i="3"/>
  <c r="T43" i="3"/>
  <c r="S42" i="3"/>
  <c r="H31" i="5" s="1"/>
  <c r="T42" i="3"/>
  <c r="E31" i="5"/>
  <c r="F31" i="5" s="1"/>
  <c r="G31" i="5"/>
  <c r="S41" i="3"/>
  <c r="T41" i="3"/>
  <c r="S40" i="3"/>
  <c r="T40" i="3"/>
  <c r="S39" i="3"/>
  <c r="H12" i="5" s="1"/>
  <c r="T39" i="3"/>
  <c r="E12" i="5"/>
  <c r="F12" i="5" s="1"/>
  <c r="G12" i="5"/>
  <c r="S38" i="3"/>
  <c r="T38" i="3"/>
  <c r="S37" i="3"/>
  <c r="T37" i="3"/>
  <c r="S36" i="3"/>
  <c r="T36" i="3"/>
  <c r="S35" i="3"/>
  <c r="T35" i="3"/>
  <c r="S34" i="3"/>
  <c r="T34" i="3"/>
  <c r="S33" i="3"/>
  <c r="I14" i="8" s="1"/>
  <c r="T33" i="3"/>
  <c r="J14" i="8" s="1"/>
  <c r="H14" i="8"/>
  <c r="S32" i="3"/>
  <c r="H41" i="5" s="1"/>
  <c r="T32" i="3"/>
  <c r="E41" i="5"/>
  <c r="F41" i="5" s="1"/>
  <c r="G41" i="5"/>
  <c r="S31" i="3"/>
  <c r="T31" i="3"/>
  <c r="S30" i="3"/>
  <c r="T30" i="3"/>
  <c r="S29" i="3"/>
  <c r="T29" i="3"/>
  <c r="S28" i="3"/>
  <c r="H44" i="5" s="1"/>
  <c r="T28" i="3"/>
  <c r="E44" i="5"/>
  <c r="F44" i="5" s="1"/>
  <c r="G44" i="5"/>
  <c r="S27" i="3"/>
  <c r="H20" i="5" s="1"/>
  <c r="T27" i="3"/>
  <c r="E20" i="5"/>
  <c r="F20" i="5" s="1"/>
  <c r="G20" i="5"/>
  <c r="S26" i="3"/>
  <c r="T26" i="3"/>
  <c r="S25" i="3"/>
  <c r="H43" i="5" s="1"/>
  <c r="T25" i="3"/>
  <c r="E43" i="5"/>
  <c r="F43" i="5" s="1"/>
  <c r="G43" i="5"/>
  <c r="S24" i="3"/>
  <c r="H36" i="5" s="1"/>
  <c r="T24" i="3"/>
  <c r="E36" i="5"/>
  <c r="F36" i="5" s="1"/>
  <c r="G36" i="5"/>
  <c r="S23" i="3"/>
  <c r="H35" i="5" s="1"/>
  <c r="T23" i="3"/>
  <c r="E35" i="5"/>
  <c r="F35" i="5" s="1"/>
  <c r="G35" i="5"/>
  <c r="S22" i="3"/>
  <c r="H13" i="5" s="1"/>
  <c r="T22" i="3"/>
  <c r="E13" i="5"/>
  <c r="F13" i="5" s="1"/>
  <c r="G13" i="5"/>
  <c r="S21" i="3"/>
  <c r="T21" i="3"/>
  <c r="S20" i="3"/>
  <c r="T20" i="3"/>
  <c r="S19" i="3"/>
  <c r="H32" i="5" s="1"/>
  <c r="T19" i="3"/>
  <c r="E32" i="5"/>
  <c r="F32" i="5" s="1"/>
  <c r="G32" i="5"/>
  <c r="S18" i="3"/>
  <c r="H25" i="5" s="1"/>
  <c r="T18" i="3"/>
  <c r="E25" i="5"/>
  <c r="F25" i="5" s="1"/>
  <c r="G25" i="5"/>
  <c r="S17" i="3"/>
  <c r="H16" i="5" s="1"/>
  <c r="T17" i="3"/>
  <c r="E16" i="5"/>
  <c r="F16" i="5" s="1"/>
  <c r="G16" i="5"/>
  <c r="S16" i="3"/>
  <c r="T16" i="3"/>
  <c r="S15" i="3"/>
  <c r="H7" i="6" s="1"/>
  <c r="T15" i="3"/>
  <c r="D7" i="6"/>
  <c r="E7" i="6" s="1"/>
  <c r="S14" i="3"/>
  <c r="H6" i="5" s="1"/>
  <c r="T14" i="3"/>
  <c r="E6" i="5"/>
  <c r="F6" i="5" s="1"/>
  <c r="G6" i="5"/>
  <c r="S13" i="3"/>
  <c r="H9" i="5" s="1"/>
  <c r="T13" i="3"/>
  <c r="E9" i="5"/>
  <c r="F9" i="5" s="1"/>
  <c r="G9" i="5"/>
  <c r="S12" i="3"/>
  <c r="T12" i="3"/>
  <c r="S11" i="3"/>
  <c r="H24" i="5" s="1"/>
  <c r="T11" i="3"/>
  <c r="E24" i="5"/>
  <c r="F24" i="5" s="1"/>
  <c r="G24" i="5"/>
  <c r="S10" i="3"/>
  <c r="T10" i="3"/>
  <c r="E37" i="5"/>
  <c r="F37" i="5" s="1"/>
  <c r="G37" i="5"/>
  <c r="D6" i="6"/>
  <c r="E6" i="6" s="1"/>
  <c r="S9" i="3"/>
  <c r="T9" i="3"/>
  <c r="E23" i="5"/>
  <c r="F23" i="5" s="1"/>
  <c r="G23" i="5"/>
  <c r="D10" i="6"/>
  <c r="E10" i="6" s="1"/>
  <c r="S8" i="3"/>
  <c r="H10" i="5" s="1"/>
  <c r="T8" i="3"/>
  <c r="E10" i="5"/>
  <c r="F10" i="5" s="1"/>
  <c r="G10" i="5"/>
  <c r="S7" i="3"/>
  <c r="H17" i="5" s="1"/>
  <c r="T7" i="3"/>
  <c r="E17" i="5"/>
  <c r="F17" i="5" s="1"/>
  <c r="G17" i="5"/>
  <c r="S6" i="3"/>
  <c r="T6" i="3"/>
  <c r="J13" i="8" s="1"/>
  <c r="E5" i="5"/>
  <c r="F5" i="5" s="1"/>
  <c r="G5" i="5"/>
  <c r="H13" i="8"/>
  <c r="S5" i="3"/>
  <c r="T5" i="3"/>
  <c r="E28" i="5"/>
  <c r="F28" i="5" s="1"/>
  <c r="G28" i="5"/>
  <c r="D5" i="6"/>
  <c r="E5" i="6" s="1"/>
  <c r="S4" i="3"/>
  <c r="H15" i="5" s="1"/>
  <c r="T4" i="3"/>
  <c r="E15" i="5"/>
  <c r="F15" i="5" s="1"/>
  <c r="G15" i="5"/>
  <c r="S3" i="3"/>
  <c r="T3" i="3"/>
  <c r="E29" i="5"/>
  <c r="F29" i="5" s="1"/>
  <c r="G29" i="5"/>
  <c r="D8" i="6"/>
  <c r="E8" i="6" s="1"/>
  <c r="S2" i="3"/>
  <c r="T2" i="3"/>
  <c r="B10" i="1"/>
  <c r="B11" i="1"/>
  <c r="E27" i="5"/>
  <c r="F27" i="5" s="1"/>
  <c r="G27" i="5"/>
  <c r="D9" i="6"/>
  <c r="E9" i="6" s="1"/>
  <c r="B18" i="1"/>
  <c r="C18" i="1"/>
  <c r="D7" i="7"/>
  <c r="E7" i="7" s="1"/>
  <c r="F7" i="7" s="1"/>
  <c r="D6" i="7"/>
  <c r="E6" i="7" s="1"/>
  <c r="F6" i="7" s="1"/>
  <c r="D5" i="7"/>
  <c r="E5" i="7" s="1"/>
  <c r="F5" i="7" s="1"/>
  <c r="D10" i="7"/>
  <c r="E10" i="7" s="1"/>
  <c r="F10" i="7" s="1"/>
  <c r="D8" i="7"/>
  <c r="E8" i="7" s="1"/>
  <c r="F8" i="7" s="1"/>
  <c r="D12" i="7"/>
  <c r="E12" i="7" s="1"/>
  <c r="F12" i="7" s="1"/>
  <c r="D13" i="7"/>
  <c r="E13" i="7" s="1"/>
  <c r="F13" i="7" s="1"/>
  <c r="D11" i="7"/>
  <c r="E11" i="7" s="1"/>
  <c r="F11" i="7" s="1"/>
  <c r="B9" i="2"/>
  <c r="B5" i="2"/>
  <c r="H37" i="5" l="1"/>
  <c r="H6" i="6"/>
  <c r="H23" i="5"/>
  <c r="H10" i="6"/>
  <c r="H5" i="5"/>
  <c r="I13" i="8"/>
  <c r="H28" i="5"/>
  <c r="H5" i="6"/>
  <c r="H29" i="5"/>
  <c r="H8" i="6"/>
  <c r="B12" i="1"/>
  <c r="B13" i="1"/>
  <c r="H27" i="5"/>
  <c r="H9" i="6"/>
  <c r="B27" i="1"/>
  <c r="D27" i="1" s="1"/>
  <c r="C27" i="1"/>
  <c r="B28" i="1"/>
  <c r="D28" i="1" s="1"/>
  <c r="C28" i="1"/>
  <c r="B29" i="1"/>
  <c r="D29" i="1" s="1"/>
  <c r="C29" i="1"/>
  <c r="B30" i="1"/>
  <c r="D30" i="1" s="1"/>
  <c r="C30" i="1"/>
  <c r="D18" i="1"/>
  <c r="B6" i="2"/>
  <c r="B15" i="7"/>
  <c r="B16" i="7" s="1"/>
  <c r="H34" i="5"/>
  <c r="H40" i="5"/>
  <c r="H21" i="5"/>
  <c r="H22" i="5"/>
  <c r="H38" i="5"/>
  <c r="B11" i="2" l="1"/>
</calcChain>
</file>

<file path=xl/sharedStrings.xml><?xml version="1.0" encoding="utf-8"?>
<sst xmlns="http://schemas.openxmlformats.org/spreadsheetml/2006/main" count="10951" uniqueCount="6185">
  <si>
    <t>Duplicate Payment and Fraud Red-Flag Analysis</t>
  </si>
  <si>
    <t>Accounts Payable analytics in Excel | Forensic / FIRE-style data tests</t>
  </si>
  <si>
    <t>DATA DISCLOSURE: all vendors, invoices and amounts in this workbook are synthetic (computer-generated, fictional). Anomalies were planted deliberately to demonstrate the tests. No real company data is used.</t>
  </si>
  <si>
    <t>Key figures</t>
  </si>
  <si>
    <t>Metric</t>
  </si>
  <si>
    <t>Value</t>
  </si>
  <si>
    <t>Total transactions</t>
  </si>
  <si>
    <t>Total value (INR)</t>
  </si>
  <si>
    <t>Transactions with at least one flag</t>
  </si>
  <si>
    <t>% of transactions flagged</t>
  </si>
  <si>
    <t>Value of flagged transactions (INR)</t>
  </si>
  <si>
    <t>High-risk transactions</t>
  </si>
  <si>
    <t>Value of high-risk transactions (INR)</t>
  </si>
  <si>
    <t>Red-flag tests</t>
  </si>
  <si>
    <t>Test</t>
  </si>
  <si>
    <t>Transactions flagged</t>
  </si>
  <si>
    <t>Value flagged (INR)</t>
  </si>
  <si>
    <t>% of transactions</t>
  </si>
  <si>
    <t>F1 Duplicate invoice</t>
  </si>
  <si>
    <t>F2 Near-duplicate</t>
  </si>
  <si>
    <t>F3 Just below limit</t>
  </si>
  <si>
    <t>F4 Round amount</t>
  </si>
  <si>
    <t>F5 No PO / GRN</t>
  </si>
  <si>
    <t>F6 Weekend payment</t>
  </si>
  <si>
    <t>A transaction can fail more than one test, so rows above overlap and should not be added together.</t>
  </si>
  <si>
    <t>Risk rating</t>
  </si>
  <si>
    <t>Rating</t>
  </si>
  <si>
    <t>Transactions</t>
  </si>
  <si>
    <t>Value (INR)</t>
  </si>
  <si>
    <t>High</t>
  </si>
  <si>
    <t>Medium</t>
  </si>
  <si>
    <t>Low</t>
  </si>
  <si>
    <t>Clear</t>
  </si>
  <si>
    <t>How to read this workbook</t>
  </si>
  <si>
    <t>1. Data: every transaction with six formula-driven red-flag tests, a weighted risk score and a rating.</t>
  </si>
  <si>
    <t>2. Assumptions: approval limit, windows and weights are inputs; change them and everything recalculates.</t>
  </si>
  <si>
    <t>3. Vendor_Risk and Approver_Analysis: where the flags concentrate. Exceptions: the 30 highest-scoring transactions to investigate first.</t>
  </si>
  <si>
    <t>4. Benford: first-digit test on invoice amounts. Findings: results and recommended controls.</t>
  </si>
  <si>
    <t>Limitation: red flags are indicators, not proof of fraud. Each flagged item needs follow-up with supporting documents.</t>
  </si>
  <si>
    <t>Findings and recommended controls</t>
  </si>
  <si>
    <t>Result figures are live formulas linked to the Dashboard. Data is synthetic.</t>
  </si>
  <si>
    <t>Area</t>
  </si>
  <si>
    <t>What the test found</t>
  </si>
  <si>
    <t>Why it matters</t>
  </si>
  <si>
    <t>Recommended control</t>
  </si>
  <si>
    <t>Duplicate invoices</t>
  </si>
  <si>
    <t>Paying the same invoice twice is direct cash loss and is often the first thing recovery audits find.</t>
  </si>
  <si>
    <t>Hard-block posting when vendor + invoice number already exists; run a monthly duplicate report and recover overpayments.</t>
  </si>
  <si>
    <t>Near-duplicates</t>
  </si>
  <si>
    <t>Changing an invoice number is a simple way to get a duplicate past a basic system check.</t>
  </si>
  <si>
    <t>Add fuzzy matching on vendor + amount + date window; require supporting documents for any match before release.</t>
  </si>
  <si>
    <t>Just below approval limit</t>
  </si>
  <si>
    <t>Clusters just under a limit can indicate invoice splitting to avoid higher-level approval.</t>
  </si>
  <si>
    <t>Review the vendors and approvers involved; consider cumulative-spend limits per vendor per period.</t>
  </si>
  <si>
    <t>Round-number amounts</t>
  </si>
  <si>
    <t>Genuine invoices are rarely perfectly round. Weak on its own but useful with other flags.</t>
  </si>
  <si>
    <t>Sample-check supporting invoices for round-amount payments, especially to vendors with other flags.</t>
  </si>
  <si>
    <t>No PO / GRN</t>
  </si>
  <si>
    <t>Payment without a PO or GRN bypasses the 3-way match control.</t>
  </si>
  <si>
    <t>Enforce no-PO-no-pay with a documented exception route; report non-PO spend monthly.</t>
  </si>
  <si>
    <t>Weekend payments</t>
  </si>
  <si>
    <t>Unusual processing times can indicate off-cycle or unauthorised payment runs.</t>
  </si>
  <si>
    <t>Restrict payment-run scheduling and review any off-cycle release.</t>
  </si>
  <si>
    <t>Overall priority</t>
  </si>
  <si>
    <t>Weighted scoring focuses limited investigator time on the items with several red flags.</t>
  </si>
  <si>
    <t>Investigate High items first, document outcomes, and tune weights using confirmed cases.</t>
  </si>
  <si>
    <t>Txn_ID</t>
  </si>
  <si>
    <t>Vendor_ID</t>
  </si>
  <si>
    <t>Vendor_Name</t>
  </si>
  <si>
    <t>Invoice_No</t>
  </si>
  <si>
    <t>Invoice_Date</t>
  </si>
  <si>
    <t>Payment_Date</t>
  </si>
  <si>
    <t>Amount_INR</t>
  </si>
  <si>
    <t>PO_No</t>
  </si>
  <si>
    <t>GRN_No</t>
  </si>
  <si>
    <t>Approver</t>
  </si>
  <si>
    <t>First_Digit</t>
  </si>
  <si>
    <t>F1_Duplicate</t>
  </si>
  <si>
    <t>F2_NearDuplicate</t>
  </si>
  <si>
    <t>F3_BelowLimit</t>
  </si>
  <si>
    <t>F4_RoundNo</t>
  </si>
  <si>
    <t>F5_NoPO_GRN</t>
  </si>
  <si>
    <t>F6_Weekend</t>
  </si>
  <si>
    <t>Risk_Score</t>
  </si>
  <si>
    <t>Flags_Triggered</t>
  </si>
  <si>
    <t>TXN-0001</t>
  </si>
  <si>
    <t>V011</t>
  </si>
  <si>
    <t>Horizon Travel Desk Pvt Ltd</t>
  </si>
  <si>
    <t>INV-011-45822</t>
  </si>
  <si>
    <t>PO463201</t>
  </si>
  <si>
    <t>GR463201</t>
  </si>
  <si>
    <t>AP-Mgr-05</t>
  </si>
  <si>
    <t>TXN-0002</t>
  </si>
  <si>
    <t>V013</t>
  </si>
  <si>
    <t>Riverside Facility Care Pvt Ltd</t>
  </si>
  <si>
    <t>INV-013-59054</t>
  </si>
  <si>
    <t>PO495730</t>
  </si>
  <si>
    <t>GR495730</t>
  </si>
  <si>
    <t>AP-Mgr-04</t>
  </si>
  <si>
    <t>TXN-0003</t>
  </si>
  <si>
    <t>V032</t>
  </si>
  <si>
    <t>Jaywalk Maintenance Pvt Ltd</t>
  </si>
  <si>
    <t>INV-032-15856</t>
  </si>
  <si>
    <t>PO408855</t>
  </si>
  <si>
    <t>GR408855</t>
  </si>
  <si>
    <t>TXN-0004</t>
  </si>
  <si>
    <t>V036</t>
  </si>
  <si>
    <t>Vertex Facility Care Pvt Ltd</t>
  </si>
  <si>
    <t>INV-036-63903</t>
  </si>
  <si>
    <t>PO401567</t>
  </si>
  <si>
    <t>GR401567</t>
  </si>
  <si>
    <t>AP-Mgr-01</t>
  </si>
  <si>
    <t>TXN-0005</t>
  </si>
  <si>
    <t>V020</t>
  </si>
  <si>
    <t>Fortis Stationery Pvt Ltd</t>
  </si>
  <si>
    <t>INV-020-22697</t>
  </si>
  <si>
    <t>PO400206</t>
  </si>
  <si>
    <t>GR400206</t>
  </si>
  <si>
    <t>TXN-0006</t>
  </si>
  <si>
    <t>V023</t>
  </si>
  <si>
    <t>Greenfield Hardware Pvt Ltd</t>
  </si>
  <si>
    <t>INV-023-96159</t>
  </si>
  <si>
    <t>PO474228</t>
  </si>
  <si>
    <t>GR474228</t>
  </si>
  <si>
    <t>TXN-0007</t>
  </si>
  <si>
    <t>V039</t>
  </si>
  <si>
    <t>Ironwood Electricals Pvt Ltd</t>
  </si>
  <si>
    <t>INV-039-27038</t>
  </si>
  <si>
    <t>PO418964</t>
  </si>
  <si>
    <t>GR418964</t>
  </si>
  <si>
    <t>TXN-0008</t>
  </si>
  <si>
    <t>V018</t>
  </si>
  <si>
    <t>Ironwood Hardware Pvt Ltd</t>
  </si>
  <si>
    <t>INV-018-86011</t>
  </si>
  <si>
    <t>PO476931</t>
  </si>
  <si>
    <t>GR476931</t>
  </si>
  <si>
    <t>AP-Mgr-06</t>
  </si>
  <si>
    <t>TXN-0009</t>
  </si>
  <si>
    <t>V033</t>
  </si>
  <si>
    <t>Unity Catering Pvt Ltd</t>
  </si>
  <si>
    <t>INV-033-94852</t>
  </si>
  <si>
    <t>PO417342</t>
  </si>
  <si>
    <t>GR417342</t>
  </si>
  <si>
    <t>AP-Mgr-02</t>
  </si>
  <si>
    <t>TXN-0010</t>
  </si>
  <si>
    <t>V037</t>
  </si>
  <si>
    <t>Jaywalk Logistics Pvt Ltd</t>
  </si>
  <si>
    <t>INV-037-23954</t>
  </si>
  <si>
    <t>PO466353</t>
  </si>
  <si>
    <t>GR466353</t>
  </si>
  <si>
    <t>TXN-0011</t>
  </si>
  <si>
    <t>INV-039-91233</t>
  </si>
  <si>
    <t>PO436452</t>
  </si>
  <si>
    <t>GR436452</t>
  </si>
  <si>
    <t>TXN-0012</t>
  </si>
  <si>
    <t>V029</t>
  </si>
  <si>
    <t>Orbit Travel Desk Pvt Ltd</t>
  </si>
  <si>
    <t>INV-029-47487</t>
  </si>
  <si>
    <t>PO467915</t>
  </si>
  <si>
    <t>GR467915</t>
  </si>
  <si>
    <t>TXN-0013</t>
  </si>
  <si>
    <t>V030</t>
  </si>
  <si>
    <t>Delta Print Media Pvt Ltd</t>
  </si>
  <si>
    <t>INV-030-30232</t>
  </si>
  <si>
    <t>PO485823</t>
  </si>
  <si>
    <t>GR485823</t>
  </si>
  <si>
    <t>TXN-0014</t>
  </si>
  <si>
    <t>INV-039-94245</t>
  </si>
  <si>
    <t>PO440037</t>
  </si>
  <si>
    <t>GR440037</t>
  </si>
  <si>
    <t>AP-Mgr-03</t>
  </si>
  <si>
    <t>TXN-0015</t>
  </si>
  <si>
    <t>INV-020-27865</t>
  </si>
  <si>
    <t>PO499391</t>
  </si>
  <si>
    <t>GR499391</t>
  </si>
  <si>
    <t>TXN-0016</t>
  </si>
  <si>
    <t>V001</t>
  </si>
  <si>
    <t>Unity Logistics Pvt Ltd</t>
  </si>
  <si>
    <t>INV-001-52655</t>
  </si>
  <si>
    <t>PO413205</t>
  </si>
  <si>
    <t>GR413205</t>
  </si>
  <si>
    <t>TXN-0017</t>
  </si>
  <si>
    <t>V002</t>
  </si>
  <si>
    <t>Apex Stationery Pvt Ltd</t>
  </si>
  <si>
    <t>INV-002-95957</t>
  </si>
  <si>
    <t>PO422509</t>
  </si>
  <si>
    <t>GR422509</t>
  </si>
  <si>
    <t>TXN-0018</t>
  </si>
  <si>
    <t>V004</t>
  </si>
  <si>
    <t>Horizon IT Services Pvt Ltd</t>
  </si>
  <si>
    <t>INV-004-39563</t>
  </si>
  <si>
    <t>PO458073</t>
  </si>
  <si>
    <t>GR458073</t>
  </si>
  <si>
    <t>TXN-0019</t>
  </si>
  <si>
    <t>INV-011-71592</t>
  </si>
  <si>
    <t>PO477832</t>
  </si>
  <si>
    <t>GR477832</t>
  </si>
  <si>
    <t>TXN-0020</t>
  </si>
  <si>
    <t>INV-011-11883</t>
  </si>
  <si>
    <t>TXN-0021</t>
  </si>
  <si>
    <t>V012</t>
  </si>
  <si>
    <t>Trident Office Supplies Pvt Ltd</t>
  </si>
  <si>
    <t>INV-012-13934</t>
  </si>
  <si>
    <t>PO446908</t>
  </si>
  <si>
    <t>GR446908</t>
  </si>
  <si>
    <t>TXN-0022</t>
  </si>
  <si>
    <t>V021</t>
  </si>
  <si>
    <t>Northstar Consulting Pvt Ltd</t>
  </si>
  <si>
    <t>INV-021-12900</t>
  </si>
  <si>
    <t>PO470119</t>
  </si>
  <si>
    <t>GR470119</t>
  </si>
  <si>
    <t>TXN-0023</t>
  </si>
  <si>
    <t>V024</t>
  </si>
  <si>
    <t>Keystone Logistics Pvt Ltd</t>
  </si>
  <si>
    <t>INV-024-91931</t>
  </si>
  <si>
    <t>PO486772</t>
  </si>
  <si>
    <t>GR486772</t>
  </si>
  <si>
    <t>TXN-0024</t>
  </si>
  <si>
    <t>V025</t>
  </si>
  <si>
    <t>Crestline Print Media Pvt Ltd</t>
  </si>
  <si>
    <t>INV-025-47388</t>
  </si>
  <si>
    <t>PO459638</t>
  </si>
  <si>
    <t>GR459638</t>
  </si>
  <si>
    <t>TXN-0025</t>
  </si>
  <si>
    <t>INV-004-24538</t>
  </si>
  <si>
    <t>PO418566</t>
  </si>
  <si>
    <t>GR418566</t>
  </si>
  <si>
    <t>TXN-0026</t>
  </si>
  <si>
    <t>V007</t>
  </si>
  <si>
    <t>Riverside Logistics Pvt Ltd</t>
  </si>
  <si>
    <t>INV-007-42145</t>
  </si>
  <si>
    <t>PO407925</t>
  </si>
  <si>
    <t>GR407925</t>
  </si>
  <si>
    <t>TXN-0027</t>
  </si>
  <si>
    <t>V017</t>
  </si>
  <si>
    <t>Orbit Catering Pvt Ltd</t>
  </si>
  <si>
    <t>INV-017-85392</t>
  </si>
  <si>
    <t>PO488381</t>
  </si>
  <si>
    <t>GR488381</t>
  </si>
  <si>
    <t>TXN-0028</t>
  </si>
  <si>
    <t>INV-024-68402</t>
  </si>
  <si>
    <t>PO440381</t>
  </si>
  <si>
    <t>GR440381</t>
  </si>
  <si>
    <t>TXN-0029</t>
  </si>
  <si>
    <t>INV-030-70542</t>
  </si>
  <si>
    <t>PO488555</t>
  </si>
  <si>
    <t>GR488555</t>
  </si>
  <si>
    <t>TXN-0030</t>
  </si>
  <si>
    <t>INV-004-32099</t>
  </si>
  <si>
    <t>PO499771</t>
  </si>
  <si>
    <t>GR499771</t>
  </si>
  <si>
    <t>TXN-0031</t>
  </si>
  <si>
    <t>V010</t>
  </si>
  <si>
    <t>Crestline Facility Care Pvt Ltd</t>
  </si>
  <si>
    <t>INV-010-85909</t>
  </si>
  <si>
    <t>PO476550</t>
  </si>
  <si>
    <t>GR476550</t>
  </si>
  <si>
    <t>TXN-0032</t>
  </si>
  <si>
    <t>TXN-0033</t>
  </si>
  <si>
    <t>INV-007-27111</t>
  </si>
  <si>
    <t>PO447086</t>
  </si>
  <si>
    <t>GR447086</t>
  </si>
  <si>
    <t>TXN-0034</t>
  </si>
  <si>
    <t>INV-013-87874</t>
  </si>
  <si>
    <t>PO407455</t>
  </si>
  <si>
    <t>GR407455</t>
  </si>
  <si>
    <t>TXN-0035</t>
  </si>
  <si>
    <t>INV-024-34979</t>
  </si>
  <si>
    <t>PO469603</t>
  </si>
  <si>
    <t>GR469603</t>
  </si>
  <si>
    <t>TXN-0036</t>
  </si>
  <si>
    <t>INV-025-94587</t>
  </si>
  <si>
    <t>PO434815</t>
  </si>
  <si>
    <t>GR434815</t>
  </si>
  <si>
    <t>TXN-0037</t>
  </si>
  <si>
    <t>INV-037-72670</t>
  </si>
  <si>
    <t>PO464314</t>
  </si>
  <si>
    <t>GR464314</t>
  </si>
  <si>
    <t>TXN-0038</t>
  </si>
  <si>
    <t>V015</t>
  </si>
  <si>
    <t>Westgate Travel Desk Pvt Ltd</t>
  </si>
  <si>
    <t>INV-015-56900</t>
  </si>
  <si>
    <t>PO492955</t>
  </si>
  <si>
    <t>GR492955</t>
  </si>
  <si>
    <t>TXN-0039</t>
  </si>
  <si>
    <t>INV-021-18652</t>
  </si>
  <si>
    <t>PO428848</t>
  </si>
  <si>
    <t>GR428848</t>
  </si>
  <si>
    <t>TXN-0040</t>
  </si>
  <si>
    <t>INV-032-66729</t>
  </si>
  <si>
    <t>PO472512</t>
  </si>
  <si>
    <t>GR472512</t>
  </si>
  <si>
    <t>TXN-0041</t>
  </si>
  <si>
    <t>V003</t>
  </si>
  <si>
    <t>Ironwood Facility Care Pvt Ltd</t>
  </si>
  <si>
    <t>INV-003-38697</t>
  </si>
  <si>
    <t>PO422825</t>
  </si>
  <si>
    <t>GR422825</t>
  </si>
  <si>
    <t>TXN-0042</t>
  </si>
  <si>
    <t>INV-013-70115</t>
  </si>
  <si>
    <t>PO401600</t>
  </si>
  <si>
    <t>GR401600</t>
  </si>
  <si>
    <t>TXN-0043</t>
  </si>
  <si>
    <t>INV-018-50499</t>
  </si>
  <si>
    <t>PO499930</t>
  </si>
  <si>
    <t>GR499930</t>
  </si>
  <si>
    <t>TXN-0044</t>
  </si>
  <si>
    <t>V022</t>
  </si>
  <si>
    <t>Ironwood IT Services Pvt Ltd</t>
  </si>
  <si>
    <t>INV-022-66822</t>
  </si>
  <si>
    <t>PO413833</t>
  </si>
  <si>
    <t>GR413833</t>
  </si>
  <si>
    <t>TXN-0045</t>
  </si>
  <si>
    <t>INV-022-43018</t>
  </si>
  <si>
    <t>PO423329</t>
  </si>
  <si>
    <t>GR423329</t>
  </si>
  <si>
    <t>TXN-0046</t>
  </si>
  <si>
    <t>V026</t>
  </si>
  <si>
    <t>Delta Consulting Pvt Ltd</t>
  </si>
  <si>
    <t>INV-026-70305</t>
  </si>
  <si>
    <t>PO481018</t>
  </si>
  <si>
    <t>GR481018</t>
  </si>
  <si>
    <t>TXN-0047</t>
  </si>
  <si>
    <t>V027</t>
  </si>
  <si>
    <t>Lumina Catering Pvt Ltd</t>
  </si>
  <si>
    <t>INV-027-79494</t>
  </si>
  <si>
    <t>PO415401</t>
  </si>
  <si>
    <t>GR415401</t>
  </si>
  <si>
    <t>TXN-0048</t>
  </si>
  <si>
    <t>V028</t>
  </si>
  <si>
    <t>Bluepeak Stationery Pvt Ltd</t>
  </si>
  <si>
    <t>INV-028-64600</t>
  </si>
  <si>
    <t>PO474798</t>
  </si>
  <si>
    <t>GR474798</t>
  </si>
  <si>
    <t>TXN-0049</t>
  </si>
  <si>
    <t>INV-030-49720</t>
  </si>
  <si>
    <t>PO486430</t>
  </si>
  <si>
    <t>GR486430</t>
  </si>
  <si>
    <t>TXN-0050</t>
  </si>
  <si>
    <t>V034</t>
  </si>
  <si>
    <t>Greenfield Stationery Pvt Ltd</t>
  </si>
  <si>
    <t>INV-034-24662</t>
  </si>
  <si>
    <t>PO402552</t>
  </si>
  <si>
    <t>GR402552</t>
  </si>
  <si>
    <t>TXN-0051</t>
  </si>
  <si>
    <t>INV-034-23577</t>
  </si>
  <si>
    <t>PO486951</t>
  </si>
  <si>
    <t>GR486951</t>
  </si>
  <si>
    <t>TXN-0052</t>
  </si>
  <si>
    <t>INV-034-16358</t>
  </si>
  <si>
    <t>PO487584</t>
  </si>
  <si>
    <t>GR487584</t>
  </si>
  <si>
    <t>TXN-0053</t>
  </si>
  <si>
    <t>INV-037-38953</t>
  </si>
  <si>
    <t>PO480134</t>
  </si>
  <si>
    <t>GR480134</t>
  </si>
  <si>
    <t>TXN-0054</t>
  </si>
  <si>
    <t>V040</t>
  </si>
  <si>
    <t>Unity Maintenance Pvt Ltd</t>
  </si>
  <si>
    <t>INV-040-58653</t>
  </si>
  <si>
    <t>PO463214</t>
  </si>
  <si>
    <t>GR463214</t>
  </si>
  <si>
    <t>TXN-0055</t>
  </si>
  <si>
    <t>INV-012-22943</t>
  </si>
  <si>
    <t>PO425115</t>
  </si>
  <si>
    <t>GR425115</t>
  </si>
  <si>
    <t>TXN-0056</t>
  </si>
  <si>
    <t>INV-021-84057</t>
  </si>
  <si>
    <t>PO475582</t>
  </si>
  <si>
    <t>GR475582</t>
  </si>
  <si>
    <t>TXN-0057</t>
  </si>
  <si>
    <t>INV-037-56030</t>
  </si>
  <si>
    <t>PO457684</t>
  </si>
  <si>
    <t>GR457684</t>
  </si>
  <si>
    <t>TXN-0058</t>
  </si>
  <si>
    <t>INV-001-47576</t>
  </si>
  <si>
    <t>PO470220</t>
  </si>
  <si>
    <t>GR470220</t>
  </si>
  <si>
    <t>TXN-0059</t>
  </si>
  <si>
    <t>INV-018-26551</t>
  </si>
  <si>
    <t>PO491411</t>
  </si>
  <si>
    <t>GR491411</t>
  </si>
  <si>
    <t>TXN-0060</t>
  </si>
  <si>
    <t>INV-030-23529</t>
  </si>
  <si>
    <t>PO442476</t>
  </si>
  <si>
    <t>GR442476</t>
  </si>
  <si>
    <t>TXN-0061</t>
  </si>
  <si>
    <t>INV-032-71263</t>
  </si>
  <si>
    <t>PO448353</t>
  </si>
  <si>
    <t>GR448353</t>
  </si>
  <si>
    <t>TXN-0062</t>
  </si>
  <si>
    <t>V005</t>
  </si>
  <si>
    <t>Zenith Logistics Pvt Ltd</t>
  </si>
  <si>
    <t>INV-005-85877</t>
  </si>
  <si>
    <t>PO476269</t>
  </si>
  <si>
    <t>GR476269</t>
  </si>
  <si>
    <t>TXN-0063</t>
  </si>
  <si>
    <t>INV-023-95755</t>
  </si>
  <si>
    <t>PO478317</t>
  </si>
  <si>
    <t>GR478317</t>
  </si>
  <si>
    <t>TXN-0064</t>
  </si>
  <si>
    <t>INV-029-20057</t>
  </si>
  <si>
    <t>PO437627</t>
  </si>
  <si>
    <t>GR437627</t>
  </si>
  <si>
    <t>TXN-0065</t>
  </si>
  <si>
    <t>INV-002-72410</t>
  </si>
  <si>
    <t>PO442624</t>
  </si>
  <si>
    <t>GR442624</t>
  </si>
  <si>
    <t>TXN-0066</t>
  </si>
  <si>
    <t>V006</t>
  </si>
  <si>
    <t>Vertex Stationery Pvt Ltd</t>
  </si>
  <si>
    <t>INV-006-31146</t>
  </si>
  <si>
    <t>PO423363</t>
  </si>
  <si>
    <t>GR423363</t>
  </si>
  <si>
    <t>TXN-0067</t>
  </si>
  <si>
    <t>INV-012-78690</t>
  </si>
  <si>
    <t>PO457595</t>
  </si>
  <si>
    <t>GR457595</t>
  </si>
  <si>
    <t>TXN-0068</t>
  </si>
  <si>
    <t>INV-012-82105</t>
  </si>
  <si>
    <t>PO472869</t>
  </si>
  <si>
    <t>GR472869</t>
  </si>
  <si>
    <t>TXN-0069</t>
  </si>
  <si>
    <t>INV-012-41298</t>
  </si>
  <si>
    <t>PO481290</t>
  </si>
  <si>
    <t>GR481290</t>
  </si>
  <si>
    <t>TXN-0070</t>
  </si>
  <si>
    <t>INV-022-38864</t>
  </si>
  <si>
    <t>PO477128</t>
  </si>
  <si>
    <t>GR477128</t>
  </si>
  <si>
    <t>TXN-0071</t>
  </si>
  <si>
    <t>INV-023-21253</t>
  </si>
  <si>
    <t>PO454522</t>
  </si>
  <si>
    <t>GR454522</t>
  </si>
  <si>
    <t>TXN-0072</t>
  </si>
  <si>
    <t>INV-030-15492</t>
  </si>
  <si>
    <t>PO426144</t>
  </si>
  <si>
    <t>TXN-0073</t>
  </si>
  <si>
    <t>V035</t>
  </si>
  <si>
    <t>Crestline Office Supplies Pvt Ltd</t>
  </si>
  <si>
    <t>INV-035-90754</t>
  </si>
  <si>
    <t>PO413432</t>
  </si>
  <si>
    <t>GR413432</t>
  </si>
  <si>
    <t>TXN-0074</t>
  </si>
  <si>
    <t>INV-039-29441</t>
  </si>
  <si>
    <t>PO442964</t>
  </si>
  <si>
    <t>GR442964</t>
  </si>
  <si>
    <t>TXN-0075</t>
  </si>
  <si>
    <t>INV-040-65576</t>
  </si>
  <si>
    <t>TXN-0076</t>
  </si>
  <si>
    <t>INV-007-87664</t>
  </si>
  <si>
    <t>PO403148</t>
  </si>
  <si>
    <t>GR403148</t>
  </si>
  <si>
    <t>TXN-0077</t>
  </si>
  <si>
    <t>INV-029-30446</t>
  </si>
  <si>
    <t>PO448997</t>
  </si>
  <si>
    <t>GR448997</t>
  </si>
  <si>
    <t>TXN-0078</t>
  </si>
  <si>
    <t>INV-034-27176</t>
  </si>
  <si>
    <t>PO481006</t>
  </si>
  <si>
    <t>GR481006</t>
  </si>
  <si>
    <t>TXN-0079</t>
  </si>
  <si>
    <t>INV-012-47941</t>
  </si>
  <si>
    <t>PO424420</t>
  </si>
  <si>
    <t>GR424420</t>
  </si>
  <si>
    <t>TXN-0080</t>
  </si>
  <si>
    <t>V019</t>
  </si>
  <si>
    <t>Apex Hardware Pvt Ltd</t>
  </si>
  <si>
    <t>INV-019-55398</t>
  </si>
  <si>
    <t>PO410358</t>
  </si>
  <si>
    <t>GR410358</t>
  </si>
  <si>
    <t>TXN-0081</t>
  </si>
  <si>
    <t>INV-001-53231</t>
  </si>
  <si>
    <t>PO491757</t>
  </si>
  <si>
    <t>GR491757</t>
  </si>
  <si>
    <t>TXN-0082</t>
  </si>
  <si>
    <t>V031</t>
  </si>
  <si>
    <t>Crestline Travel Desk Pvt Ltd</t>
  </si>
  <si>
    <t>INV-031-52992</t>
  </si>
  <si>
    <t>PO473584</t>
  </si>
  <si>
    <t>GR473584</t>
  </si>
  <si>
    <t>TXN-0083</t>
  </si>
  <si>
    <t>INV-036-71726</t>
  </si>
  <si>
    <t>PO430781</t>
  </si>
  <si>
    <t>GR430781</t>
  </si>
  <si>
    <t>TXN-0084</t>
  </si>
  <si>
    <t>INV-012-84323</t>
  </si>
  <si>
    <t>PO479377</t>
  </si>
  <si>
    <t>GR479377</t>
  </si>
  <si>
    <t>TXN-0085</t>
  </si>
  <si>
    <t>INV-029-47752</t>
  </si>
  <si>
    <t>PO417172</t>
  </si>
  <si>
    <t>GR417172</t>
  </si>
  <si>
    <t>TXN-0086</t>
  </si>
  <si>
    <t>INV-002-84000</t>
  </si>
  <si>
    <t>PO416505</t>
  </si>
  <si>
    <t>GR416505</t>
  </si>
  <si>
    <t>TXN-0087</t>
  </si>
  <si>
    <t>V009</t>
  </si>
  <si>
    <t>Bluepeak Office Supplies Pvt Ltd</t>
  </si>
  <si>
    <t>INV-009-67067</t>
  </si>
  <si>
    <t>PO489538</t>
  </si>
  <si>
    <t>GR489538</t>
  </si>
  <si>
    <t>TXN-0088</t>
  </si>
  <si>
    <t>INV-009-24563</t>
  </si>
  <si>
    <t>PO417891</t>
  </si>
  <si>
    <t>GR417891</t>
  </si>
  <si>
    <t>TXN-0089</t>
  </si>
  <si>
    <t>INV-011-56659</t>
  </si>
  <si>
    <t>PO483394</t>
  </si>
  <si>
    <t>GR483394</t>
  </si>
  <si>
    <t>TXN-0090</t>
  </si>
  <si>
    <t>INV-011-52294</t>
  </si>
  <si>
    <t>PO442879</t>
  </si>
  <si>
    <t>GR442879</t>
  </si>
  <si>
    <t>TXN-0091</t>
  </si>
  <si>
    <t>INV-021-62581</t>
  </si>
  <si>
    <t>PO441347</t>
  </si>
  <si>
    <t>GR441347</t>
  </si>
  <si>
    <t>TXN-0092</t>
  </si>
  <si>
    <t>INV-021-74304</t>
  </si>
  <si>
    <t>PO459054</t>
  </si>
  <si>
    <t>GR459054</t>
  </si>
  <si>
    <t>TXN-0093</t>
  </si>
  <si>
    <t>INV-025-27048</t>
  </si>
  <si>
    <t>PO434634</t>
  </si>
  <si>
    <t>GR434634</t>
  </si>
  <si>
    <t>TXN-0094</t>
  </si>
  <si>
    <t>INV-026-51033</t>
  </si>
  <si>
    <t>PO410205</t>
  </si>
  <si>
    <t>GR410205</t>
  </si>
  <si>
    <t>TXN-0095</t>
  </si>
  <si>
    <t>INV-027-33996</t>
  </si>
  <si>
    <t>PO428256</t>
  </si>
  <si>
    <t>GR428256</t>
  </si>
  <si>
    <t>TXN-0096</t>
  </si>
  <si>
    <t>INV-029-21813</t>
  </si>
  <si>
    <t>PO417224</t>
  </si>
  <si>
    <t>GR417224</t>
  </si>
  <si>
    <t>TXN-0097</t>
  </si>
  <si>
    <t>INV-029-41133</t>
  </si>
  <si>
    <t>PO494317</t>
  </si>
  <si>
    <t>GR494317</t>
  </si>
  <si>
    <t>TXN-0098</t>
  </si>
  <si>
    <t>INV-031-64949</t>
  </si>
  <si>
    <t>PO417987</t>
  </si>
  <si>
    <t>GR417987</t>
  </si>
  <si>
    <t>TXN-0099</t>
  </si>
  <si>
    <t>INV-035-56504</t>
  </si>
  <si>
    <t>PO450911</t>
  </si>
  <si>
    <t>GR450911</t>
  </si>
  <si>
    <t>TXN-0100</t>
  </si>
  <si>
    <t>INV-036-22560</t>
  </si>
  <si>
    <t>PO452649</t>
  </si>
  <si>
    <t>GR452649</t>
  </si>
  <si>
    <t>TXN-0101</t>
  </si>
  <si>
    <t>V038</t>
  </si>
  <si>
    <t>Horizon Maintenance Pvt Ltd</t>
  </si>
  <si>
    <t>INV-038-27759</t>
  </si>
  <si>
    <t>PO490869</t>
  </si>
  <si>
    <t>GR490869</t>
  </si>
  <si>
    <t>TXN-0102</t>
  </si>
  <si>
    <t>INV-038-65850</t>
  </si>
  <si>
    <t>PO444089</t>
  </si>
  <si>
    <t>GR444089</t>
  </si>
  <si>
    <t>TXN-0103</t>
  </si>
  <si>
    <t>INV-006-98662</t>
  </si>
  <si>
    <t>PO460755</t>
  </si>
  <si>
    <t>GR460755</t>
  </si>
  <si>
    <t>TXN-0104</t>
  </si>
  <si>
    <t>INV-010-81197</t>
  </si>
  <si>
    <t>PO409356</t>
  </si>
  <si>
    <t>GR409356</t>
  </si>
  <si>
    <t>TXN-0105</t>
  </si>
  <si>
    <t>INV-011-44099</t>
  </si>
  <si>
    <t>PO478694</t>
  </si>
  <si>
    <t>GR478694</t>
  </si>
  <si>
    <t>TXN-0106</t>
  </si>
  <si>
    <t>INV-034-31538</t>
  </si>
  <si>
    <t>PO452645</t>
  </si>
  <si>
    <t>GR452645</t>
  </si>
  <si>
    <t>TXN-0107</t>
  </si>
  <si>
    <t>INV-022-63150</t>
  </si>
  <si>
    <t>PO405611</t>
  </si>
  <si>
    <t>GR405611</t>
  </si>
  <si>
    <t>TXN-0108</t>
  </si>
  <si>
    <t>INV-026-16461</t>
  </si>
  <si>
    <t>PO482660</t>
  </si>
  <si>
    <t>GR482660</t>
  </si>
  <si>
    <t>TXN-0109</t>
  </si>
  <si>
    <t>INV-035-95426</t>
  </si>
  <si>
    <t>PO408993</t>
  </si>
  <si>
    <t>GR408993</t>
  </si>
  <si>
    <t>TXN-0110</t>
  </si>
  <si>
    <t>INV-004-80300</t>
  </si>
  <si>
    <t>PO491924</t>
  </si>
  <si>
    <t>GR491924</t>
  </si>
  <si>
    <t>TXN-0111</t>
  </si>
  <si>
    <t>INV-018-59628</t>
  </si>
  <si>
    <t>PO484320</t>
  </si>
  <si>
    <t>GR484320</t>
  </si>
  <si>
    <t>TXN-0112</t>
  </si>
  <si>
    <t>INV-037-77294</t>
  </si>
  <si>
    <t>PO405910</t>
  </si>
  <si>
    <t>GR405910</t>
  </si>
  <si>
    <t>TXN-0113</t>
  </si>
  <si>
    <t>INV-038-24230</t>
  </si>
  <si>
    <t>PO417329</t>
  </si>
  <si>
    <t>GR417329</t>
  </si>
  <si>
    <t>TXN-0114</t>
  </si>
  <si>
    <t>INV-040-48877</t>
  </si>
  <si>
    <t>PO465369</t>
  </si>
  <si>
    <t>GR465369</t>
  </si>
  <si>
    <t>TXN-0115</t>
  </si>
  <si>
    <t>INV-009-54548</t>
  </si>
  <si>
    <t>PO454387</t>
  </si>
  <si>
    <t>GR454387</t>
  </si>
  <si>
    <t>TXN-0116</t>
  </si>
  <si>
    <t>INV-025-87459</t>
  </si>
  <si>
    <t>PO490971</t>
  </si>
  <si>
    <t>GR490971</t>
  </si>
  <si>
    <t>TXN-0117</t>
  </si>
  <si>
    <t>INV-030-62108</t>
  </si>
  <si>
    <t>PO442368</t>
  </si>
  <si>
    <t>GR442368</t>
  </si>
  <si>
    <t>TXN-0118</t>
  </si>
  <si>
    <t>INV-036-80190</t>
  </si>
  <si>
    <t>PO454870</t>
  </si>
  <si>
    <t>GR454870</t>
  </si>
  <si>
    <t>TXN-0119</t>
  </si>
  <si>
    <t>INV-020-26515</t>
  </si>
  <si>
    <t>PO451117</t>
  </si>
  <si>
    <t>GR451117</t>
  </si>
  <si>
    <t>TXN-0120</t>
  </si>
  <si>
    <t>INV-022-57708</t>
  </si>
  <si>
    <t>PO488428</t>
  </si>
  <si>
    <t>GR488428</t>
  </si>
  <si>
    <t>TXN-0121</t>
  </si>
  <si>
    <t>INV-027-98892</t>
  </si>
  <si>
    <t>PO495022</t>
  </si>
  <si>
    <t>GR495022</t>
  </si>
  <si>
    <t>TXN-0122</t>
  </si>
  <si>
    <t>INV-007-22224</t>
  </si>
  <si>
    <t>PO401934</t>
  </si>
  <si>
    <t>GR401934</t>
  </si>
  <si>
    <t>TXN-0123</t>
  </si>
  <si>
    <t>INV-038-15672</t>
  </si>
  <si>
    <t>PO433162</t>
  </si>
  <si>
    <t>GR433162</t>
  </si>
  <si>
    <t>TXN-0124</t>
  </si>
  <si>
    <t>INV-017-82684</t>
  </si>
  <si>
    <t>PO448655</t>
  </si>
  <si>
    <t>GR448655</t>
  </si>
  <si>
    <t>TXN-0125</t>
  </si>
  <si>
    <t>INV-030-47797</t>
  </si>
  <si>
    <t>PO423437</t>
  </si>
  <si>
    <t>GR423437</t>
  </si>
  <si>
    <t>TXN-0126</t>
  </si>
  <si>
    <t>INV-031-35652</t>
  </si>
  <si>
    <t>PO461506</t>
  </si>
  <si>
    <t>GR461506</t>
  </si>
  <si>
    <t>TXN-0127</t>
  </si>
  <si>
    <t>INV-031-68839</t>
  </si>
  <si>
    <t>PO476681</t>
  </si>
  <si>
    <t>GR476681</t>
  </si>
  <si>
    <t>TXN-0128</t>
  </si>
  <si>
    <t>INV-001-16829</t>
  </si>
  <si>
    <t>PO425226</t>
  </si>
  <si>
    <t>GR425226</t>
  </si>
  <si>
    <t>TXN-0129</t>
  </si>
  <si>
    <t>V008</t>
  </si>
  <si>
    <t>Summit Print Media Pvt Ltd</t>
  </si>
  <si>
    <t>INV-008-57571</t>
  </si>
  <si>
    <t>PO483109</t>
  </si>
  <si>
    <t>GR483109</t>
  </si>
  <si>
    <t>TXN-0130</t>
  </si>
  <si>
    <t>INV-011-13561</t>
  </si>
  <si>
    <t>PO423784</t>
  </si>
  <si>
    <t>GR423784</t>
  </si>
  <si>
    <t>TXN-0131</t>
  </si>
  <si>
    <t>V014</t>
  </si>
  <si>
    <t>Westgate Security Services Pvt Ltd</t>
  </si>
  <si>
    <t>INV-014-87276</t>
  </si>
  <si>
    <t>PO416142</t>
  </si>
  <si>
    <t>GR416142</t>
  </si>
  <si>
    <t>TXN-0132</t>
  </si>
  <si>
    <t>INV-017-32040</t>
  </si>
  <si>
    <t>PO471012</t>
  </si>
  <si>
    <t>GR471012</t>
  </si>
  <si>
    <t>TXN-0133</t>
  </si>
  <si>
    <t>INV-018-64140</t>
  </si>
  <si>
    <t>PO468125</t>
  </si>
  <si>
    <t>GR468125</t>
  </si>
  <si>
    <t>TXN-0134</t>
  </si>
  <si>
    <t>INV-024-61851</t>
  </si>
  <si>
    <t>PO486787</t>
  </si>
  <si>
    <t>GR486787</t>
  </si>
  <si>
    <t>TXN-0135</t>
  </si>
  <si>
    <t>INV-025-49223</t>
  </si>
  <si>
    <t>PO448177</t>
  </si>
  <si>
    <t>GR448177</t>
  </si>
  <si>
    <t>TXN-0136</t>
  </si>
  <si>
    <t>INV-025-48382</t>
  </si>
  <si>
    <t>PO408509</t>
  </si>
  <si>
    <t>GR408509</t>
  </si>
  <si>
    <t>TXN-0137</t>
  </si>
  <si>
    <t>INV-036-53207</t>
  </si>
  <si>
    <t>PO473620</t>
  </si>
  <si>
    <t>GR473620</t>
  </si>
  <si>
    <t>TXN-0138</t>
  </si>
  <si>
    <t>INV-040-37235</t>
  </si>
  <si>
    <t>PO413006</t>
  </si>
  <si>
    <t>GR413006</t>
  </si>
  <si>
    <t>TXN-0139</t>
  </si>
  <si>
    <t>INV-004-33590</t>
  </si>
  <si>
    <t>TXN-0140</t>
  </si>
  <si>
    <t>INV-017-59666</t>
  </si>
  <si>
    <t>PO417988</t>
  </si>
  <si>
    <t>GR417988</t>
  </si>
  <si>
    <t>TXN-0141</t>
  </si>
  <si>
    <t>INV-023-81650</t>
  </si>
  <si>
    <t>PO467212</t>
  </si>
  <si>
    <t>GR467212</t>
  </si>
  <si>
    <t>TXN-0142</t>
  </si>
  <si>
    <t>INV-031-38655</t>
  </si>
  <si>
    <t>TXN-0143</t>
  </si>
  <si>
    <t>INV-004-63347</t>
  </si>
  <si>
    <t>PO408333</t>
  </si>
  <si>
    <t>GR408333</t>
  </si>
  <si>
    <t>TXN-0144</t>
  </si>
  <si>
    <t>INV-032-96474</t>
  </si>
  <si>
    <t>PO416828</t>
  </si>
  <si>
    <t>GR416828</t>
  </si>
  <si>
    <t>TXN-0145</t>
  </si>
  <si>
    <t>INV-032-72746</t>
  </si>
  <si>
    <t>PO461524</t>
  </si>
  <si>
    <t>GR461524</t>
  </si>
  <si>
    <t>TXN-0146</t>
  </si>
  <si>
    <t>INV-036-55069</t>
  </si>
  <si>
    <t>PO497180</t>
  </si>
  <si>
    <t>GR497180</t>
  </si>
  <si>
    <t>TXN-0147</t>
  </si>
  <si>
    <t>INV-004-22130</t>
  </si>
  <si>
    <t>PO449989</t>
  </si>
  <si>
    <t>GR449989</t>
  </si>
  <si>
    <t>TXN-0148</t>
  </si>
  <si>
    <t>INV-009-20188</t>
  </si>
  <si>
    <t>PO414643</t>
  </si>
  <si>
    <t>GR414643</t>
  </si>
  <si>
    <t>TXN-0149</t>
  </si>
  <si>
    <t>INV-026-73185</t>
  </si>
  <si>
    <t>PO450387</t>
  </si>
  <si>
    <t>GR450387</t>
  </si>
  <si>
    <t>TXN-0150</t>
  </si>
  <si>
    <t>INV-003-30715</t>
  </si>
  <si>
    <t>PO423053</t>
  </si>
  <si>
    <t>GR423053</t>
  </si>
  <si>
    <t>TXN-0151</t>
  </si>
  <si>
    <t>INV-004-57214</t>
  </si>
  <si>
    <t>PO438085</t>
  </si>
  <si>
    <t>GR438085</t>
  </si>
  <si>
    <t>TXN-0152</t>
  </si>
  <si>
    <t>INV-007-28844</t>
  </si>
  <si>
    <t>PO454127</t>
  </si>
  <si>
    <t>GR454127</t>
  </si>
  <si>
    <t>TXN-0153</t>
  </si>
  <si>
    <t>INV-008-60940</t>
  </si>
  <si>
    <t>PO417781</t>
  </si>
  <si>
    <t>GR417781</t>
  </si>
  <si>
    <t>TXN-0154</t>
  </si>
  <si>
    <t>INV-012-51079</t>
  </si>
  <si>
    <t>PO423176</t>
  </si>
  <si>
    <t>GR423176</t>
  </si>
  <si>
    <t>TXN-0155</t>
  </si>
  <si>
    <t>V016</t>
  </si>
  <si>
    <t>Northstar Facility Care Pvt Ltd</t>
  </si>
  <si>
    <t>INV-016-68733</t>
  </si>
  <si>
    <t>PO475108</t>
  </si>
  <si>
    <t>GR475108</t>
  </si>
  <si>
    <t>TXN-0156</t>
  </si>
  <si>
    <t>INV-017-65004</t>
  </si>
  <si>
    <t>PO457438</t>
  </si>
  <si>
    <t>GR457438</t>
  </si>
  <si>
    <t>TXN-0157</t>
  </si>
  <si>
    <t>INV-021-50173</t>
  </si>
  <si>
    <t>PO438750</t>
  </si>
  <si>
    <t>GR438750</t>
  </si>
  <si>
    <t>TXN-0158</t>
  </si>
  <si>
    <t>INV-021-28430</t>
  </si>
  <si>
    <t>PO424219</t>
  </si>
  <si>
    <t>GR424219</t>
  </si>
  <si>
    <t>TXN-0159</t>
  </si>
  <si>
    <t>INV-026-96827</t>
  </si>
  <si>
    <t>PO457014</t>
  </si>
  <si>
    <t>GR457014</t>
  </si>
  <si>
    <t>TXN-0160</t>
  </si>
  <si>
    <t>INV-026-59664</t>
  </si>
  <si>
    <t>PO478172</t>
  </si>
  <si>
    <t>GR478172</t>
  </si>
  <si>
    <t>TXN-0161</t>
  </si>
  <si>
    <t>INV-028-18698</t>
  </si>
  <si>
    <t>PO466366</t>
  </si>
  <si>
    <t>GR466366</t>
  </si>
  <si>
    <t>TXN-0162</t>
  </si>
  <si>
    <t>INV-029-18511</t>
  </si>
  <si>
    <t>PO493000</t>
  </si>
  <si>
    <t>GR493000</t>
  </si>
  <si>
    <t>TXN-0163</t>
  </si>
  <si>
    <t>INV-034-42142</t>
  </si>
  <si>
    <t>PO411592</t>
  </si>
  <si>
    <t>GR411592</t>
  </si>
  <si>
    <t>TXN-0164</t>
  </si>
  <si>
    <t>INV-010-96956</t>
  </si>
  <si>
    <t>PO488580</t>
  </si>
  <si>
    <t>GR488580</t>
  </si>
  <si>
    <t>TXN-0165</t>
  </si>
  <si>
    <t>INV-020-82938</t>
  </si>
  <si>
    <t>PO418304</t>
  </si>
  <si>
    <t>GR418304</t>
  </si>
  <si>
    <t>TXN-0166</t>
  </si>
  <si>
    <t>INV-038-31734</t>
  </si>
  <si>
    <t>PO455436</t>
  </si>
  <si>
    <t>GR455436</t>
  </si>
  <si>
    <t>TXN-0167</t>
  </si>
  <si>
    <t>INV-039-57419</t>
  </si>
  <si>
    <t>PO492244</t>
  </si>
  <si>
    <t>GR492244</t>
  </si>
  <si>
    <t>TXN-0168</t>
  </si>
  <si>
    <t>INV-006-29356</t>
  </si>
  <si>
    <t>PO481396</t>
  </si>
  <si>
    <t>TXN-0169</t>
  </si>
  <si>
    <t>INV-011-34696</t>
  </si>
  <si>
    <t>PO428981</t>
  </si>
  <si>
    <t>GR428981</t>
  </si>
  <si>
    <t>TXN-0170</t>
  </si>
  <si>
    <t>INV-018-24920</t>
  </si>
  <si>
    <t>PO423969</t>
  </si>
  <si>
    <t>GR423969</t>
  </si>
  <si>
    <t>TXN-0171</t>
  </si>
  <si>
    <t>INV-024-67104</t>
  </si>
  <si>
    <t>PO431891</t>
  </si>
  <si>
    <t>GR431891</t>
  </si>
  <si>
    <t>TXN-0172</t>
  </si>
  <si>
    <t>INV-029-62802</t>
  </si>
  <si>
    <t>PO412202</t>
  </si>
  <si>
    <t>GR412202</t>
  </si>
  <si>
    <t>TXN-0173</t>
  </si>
  <si>
    <t>INV-033-51744</t>
  </si>
  <si>
    <t>PO472006</t>
  </si>
  <si>
    <t>GR472006</t>
  </si>
  <si>
    <t>TXN-0174</t>
  </si>
  <si>
    <t>INV-037-36497</t>
  </si>
  <si>
    <t>PO466255</t>
  </si>
  <si>
    <t>GR466255</t>
  </si>
  <si>
    <t>TXN-0175</t>
  </si>
  <si>
    <t>INV-015-44053</t>
  </si>
  <si>
    <t>PO454028</t>
  </si>
  <si>
    <t>GR454028</t>
  </si>
  <si>
    <t>TXN-0176</t>
  </si>
  <si>
    <t>INV-021-15737</t>
  </si>
  <si>
    <t>PO408739</t>
  </si>
  <si>
    <t>GR408739</t>
  </si>
  <si>
    <t>TXN-0177</t>
  </si>
  <si>
    <t>INV-030-23352</t>
  </si>
  <si>
    <t>PO479908</t>
  </si>
  <si>
    <t>GR479908</t>
  </si>
  <si>
    <t>TXN-0178</t>
  </si>
  <si>
    <t>INV-034-87894</t>
  </si>
  <si>
    <t>PO405771</t>
  </si>
  <si>
    <t>GR405771</t>
  </si>
  <si>
    <t>TXN-0179</t>
  </si>
  <si>
    <t>INV-006-58843</t>
  </si>
  <si>
    <t>PO496835</t>
  </si>
  <si>
    <t>GR496835</t>
  </si>
  <si>
    <t>TXN-0180</t>
  </si>
  <si>
    <t>INV-016-51652</t>
  </si>
  <si>
    <t>PO425362</t>
  </si>
  <si>
    <t>GR425362</t>
  </si>
  <si>
    <t>TXN-0181</t>
  </si>
  <si>
    <t>INV-017-72420</t>
  </si>
  <si>
    <t>PO452264</t>
  </si>
  <si>
    <t>GR452264</t>
  </si>
  <si>
    <t>TXN-0182</t>
  </si>
  <si>
    <t>INV-037-63856</t>
  </si>
  <si>
    <t>PO445071</t>
  </si>
  <si>
    <t>GR445071</t>
  </si>
  <si>
    <t>TXN-0183</t>
  </si>
  <si>
    <t>INV-037-41417</t>
  </si>
  <si>
    <t>PO405723</t>
  </si>
  <si>
    <t>GR405723</t>
  </si>
  <si>
    <t>TXN-0184</t>
  </si>
  <si>
    <t>INV-003-72390</t>
  </si>
  <si>
    <t>PO472443</t>
  </si>
  <si>
    <t>GR472443</t>
  </si>
  <si>
    <t>TXN-0185</t>
  </si>
  <si>
    <t>INV-001-56952</t>
  </si>
  <si>
    <t>PO491395</t>
  </si>
  <si>
    <t>GR491395</t>
  </si>
  <si>
    <t>TXN-0186</t>
  </si>
  <si>
    <t>INV-002-33819</t>
  </si>
  <si>
    <t>PO460515</t>
  </si>
  <si>
    <t>GR460515</t>
  </si>
  <si>
    <t>TXN-0187</t>
  </si>
  <si>
    <t>INV-005-86406</t>
  </si>
  <si>
    <t>PO473284</t>
  </si>
  <si>
    <t>GR473284</t>
  </si>
  <si>
    <t>TXN-0188</t>
  </si>
  <si>
    <t>INV-007-71213</t>
  </si>
  <si>
    <t>PO453883</t>
  </si>
  <si>
    <t>GR453883</t>
  </si>
  <si>
    <t>TXN-0189</t>
  </si>
  <si>
    <t>INV-011-30892</t>
  </si>
  <si>
    <t>PO407686</t>
  </si>
  <si>
    <t>GR407686</t>
  </si>
  <si>
    <t>TXN-0190</t>
  </si>
  <si>
    <t>INV-012-11487</t>
  </si>
  <si>
    <t>PO491946</t>
  </si>
  <si>
    <t>GR491946</t>
  </si>
  <si>
    <t>TXN-0191</t>
  </si>
  <si>
    <t>INV-017-45697</t>
  </si>
  <si>
    <t>PO420374</t>
  </si>
  <si>
    <t>GR420374</t>
  </si>
  <si>
    <t>TXN-0192</t>
  </si>
  <si>
    <t>INV-020-29055</t>
  </si>
  <si>
    <t>PO465459</t>
  </si>
  <si>
    <t>GR465459</t>
  </si>
  <si>
    <t>TXN-0193</t>
  </si>
  <si>
    <t>INV-021-33028</t>
  </si>
  <si>
    <t>PO456446</t>
  </si>
  <si>
    <t>GR456446</t>
  </si>
  <si>
    <t>TXN-0194</t>
  </si>
  <si>
    <t>INV-022-68800</t>
  </si>
  <si>
    <t>PO470292</t>
  </si>
  <si>
    <t>GR470292</t>
  </si>
  <si>
    <t>TXN-0195</t>
  </si>
  <si>
    <t>INV-025-19634</t>
  </si>
  <si>
    <t>PO432302</t>
  </si>
  <si>
    <t>GR432302</t>
  </si>
  <si>
    <t>TXN-0196</t>
  </si>
  <si>
    <t>INV-027-49893</t>
  </si>
  <si>
    <t>PO404877</t>
  </si>
  <si>
    <t>GR404877</t>
  </si>
  <si>
    <t>TXN-0197</t>
  </si>
  <si>
    <t>INV-029-10287</t>
  </si>
  <si>
    <t>PO429064</t>
  </si>
  <si>
    <t>GR429064</t>
  </si>
  <si>
    <t>TXN-0198</t>
  </si>
  <si>
    <t>TXN-0199</t>
  </si>
  <si>
    <t>INV-032-52081</t>
  </si>
  <si>
    <t>PO443687</t>
  </si>
  <si>
    <t>GR443687</t>
  </si>
  <si>
    <t>TXN-0200</t>
  </si>
  <si>
    <t>INV-032-41365</t>
  </si>
  <si>
    <t>PO479806</t>
  </si>
  <si>
    <t>GR479806</t>
  </si>
  <si>
    <t>TXN-0201</t>
  </si>
  <si>
    <t>INV-010-61653</t>
  </si>
  <si>
    <t>PO478204</t>
  </si>
  <si>
    <t>GR478204</t>
  </si>
  <si>
    <t>TXN-0202</t>
  </si>
  <si>
    <t>INV-014-11974</t>
  </si>
  <si>
    <t>PO442534</t>
  </si>
  <si>
    <t>GR442534</t>
  </si>
  <si>
    <t>TXN-0203</t>
  </si>
  <si>
    <t>INV-024-16755</t>
  </si>
  <si>
    <t>PO424966</t>
  </si>
  <si>
    <t>GR424966</t>
  </si>
  <si>
    <t>TXN-0204</t>
  </si>
  <si>
    <t>INV-036-45058</t>
  </si>
  <si>
    <t>PO416059</t>
  </si>
  <si>
    <t>GR416059</t>
  </si>
  <si>
    <t>TXN-0205</t>
  </si>
  <si>
    <t>INV-037-37710</t>
  </si>
  <si>
    <t>PO430115</t>
  </si>
  <si>
    <t>GR430115</t>
  </si>
  <si>
    <t>TXN-0206</t>
  </si>
  <si>
    <t>INV-012-64555</t>
  </si>
  <si>
    <t>PO437189</t>
  </si>
  <si>
    <t>GR437189</t>
  </si>
  <si>
    <t>TXN-0207</t>
  </si>
  <si>
    <t>INV-004-61369</t>
  </si>
  <si>
    <t>PO455897</t>
  </si>
  <si>
    <t>GR455897</t>
  </si>
  <si>
    <t>TXN-0208</t>
  </si>
  <si>
    <t>INV-017-58630</t>
  </si>
  <si>
    <t>PO424232</t>
  </si>
  <si>
    <t>GR424232</t>
  </si>
  <si>
    <t>TXN-0209</t>
  </si>
  <si>
    <t>INV-022-10425</t>
  </si>
  <si>
    <t>PO459470</t>
  </si>
  <si>
    <t>GR459470</t>
  </si>
  <si>
    <t>TXN-0210</t>
  </si>
  <si>
    <t>INV-024-83526</t>
  </si>
  <si>
    <t>PO456244</t>
  </si>
  <si>
    <t>GR456244</t>
  </si>
  <si>
    <t>TXN-0211</t>
  </si>
  <si>
    <t>INV-036-60493</t>
  </si>
  <si>
    <t>PO442523</t>
  </si>
  <si>
    <t>GR442523</t>
  </si>
  <si>
    <t>TXN-0212</t>
  </si>
  <si>
    <t>INV-001-77889</t>
  </si>
  <si>
    <t>PO491214</t>
  </si>
  <si>
    <t>GR491214</t>
  </si>
  <si>
    <t>TXN-0213</t>
  </si>
  <si>
    <t>INV-008-62122</t>
  </si>
  <si>
    <t>PO450377</t>
  </si>
  <si>
    <t>GR450377</t>
  </si>
  <si>
    <t>TXN-0214</t>
  </si>
  <si>
    <t>INV-012-52284</t>
  </si>
  <si>
    <t>PO471265</t>
  </si>
  <si>
    <t>GR471265</t>
  </si>
  <si>
    <t>TXN-0215</t>
  </si>
  <si>
    <t>INV-034-57425</t>
  </si>
  <si>
    <t>PO466648</t>
  </si>
  <si>
    <t>GR466648</t>
  </si>
  <si>
    <t>TXN-0216</t>
  </si>
  <si>
    <t>INV-034-47132</t>
  </si>
  <si>
    <t>PO495060</t>
  </si>
  <si>
    <t>GR495060</t>
  </si>
  <si>
    <t>TXN-0217</t>
  </si>
  <si>
    <t>INV-016-57352</t>
  </si>
  <si>
    <t>PO425238</t>
  </si>
  <si>
    <t>GR425238</t>
  </si>
  <si>
    <t>TXN-0218</t>
  </si>
  <si>
    <t>INV-002-88497</t>
  </si>
  <si>
    <t>PO408745</t>
  </si>
  <si>
    <t>GR408745</t>
  </si>
  <si>
    <t>TXN-0219</t>
  </si>
  <si>
    <t>INV-006-56081</t>
  </si>
  <si>
    <t>PO468002</t>
  </si>
  <si>
    <t>GR468002</t>
  </si>
  <si>
    <t>TXN-0220</t>
  </si>
  <si>
    <t>INV-008-83116</t>
  </si>
  <si>
    <t>PO444444</t>
  </si>
  <si>
    <t>GR444444</t>
  </si>
  <si>
    <t>TXN-0221</t>
  </si>
  <si>
    <t>INV-009-78766</t>
  </si>
  <si>
    <t>PO454232</t>
  </si>
  <si>
    <t>GR454232</t>
  </si>
  <si>
    <t>TXN-0222</t>
  </si>
  <si>
    <t>INV-010-50645</t>
  </si>
  <si>
    <t>PO456670</t>
  </si>
  <si>
    <t>GR456670</t>
  </si>
  <si>
    <t>TXN-0223</t>
  </si>
  <si>
    <t>INV-019-85082</t>
  </si>
  <si>
    <t>PO492013</t>
  </si>
  <si>
    <t>GR492013</t>
  </si>
  <si>
    <t>TXN-0224</t>
  </si>
  <si>
    <t>INV-032-44290</t>
  </si>
  <si>
    <t>PO408301</t>
  </si>
  <si>
    <t>GR408301</t>
  </si>
  <si>
    <t>TXN-0225</t>
  </si>
  <si>
    <t>INV-033-34331</t>
  </si>
  <si>
    <t>PO427862</t>
  </si>
  <si>
    <t>GR427862</t>
  </si>
  <si>
    <t>TXN-0226</t>
  </si>
  <si>
    <t>INV-037-20198</t>
  </si>
  <si>
    <t>PO497693</t>
  </si>
  <si>
    <t>GR497693</t>
  </si>
  <si>
    <t>TXN-0227</t>
  </si>
  <si>
    <t>INV-038-90918</t>
  </si>
  <si>
    <t>PO460012</t>
  </si>
  <si>
    <t>GR460012</t>
  </si>
  <si>
    <t>TXN-0228</t>
  </si>
  <si>
    <t>INV-010-28191</t>
  </si>
  <si>
    <t>PO461925</t>
  </si>
  <si>
    <t>GR461925</t>
  </si>
  <si>
    <t>TXN-0229</t>
  </si>
  <si>
    <t>INV-031-74511</t>
  </si>
  <si>
    <t>PO479396</t>
  </si>
  <si>
    <t>GR479396</t>
  </si>
  <si>
    <t>TXN-0230</t>
  </si>
  <si>
    <t>INV-039-68973</t>
  </si>
  <si>
    <t>PO460415</t>
  </si>
  <si>
    <t>GR460415</t>
  </si>
  <si>
    <t>TXN-0231</t>
  </si>
  <si>
    <t>INV-001-64484</t>
  </si>
  <si>
    <t>PO456595</t>
  </si>
  <si>
    <t>GR456595</t>
  </si>
  <si>
    <t>TXN-0232</t>
  </si>
  <si>
    <t>INV-010-59054</t>
  </si>
  <si>
    <t>PO449570</t>
  </si>
  <si>
    <t>GR449570</t>
  </si>
  <si>
    <t>TXN-0233</t>
  </si>
  <si>
    <t>INV-014-97135</t>
  </si>
  <si>
    <t>PO493018</t>
  </si>
  <si>
    <t>GR493018</t>
  </si>
  <si>
    <t>TXN-0234</t>
  </si>
  <si>
    <t>INV-022-39571</t>
  </si>
  <si>
    <t>PO418449</t>
  </si>
  <si>
    <t>GR418449</t>
  </si>
  <si>
    <t>TXN-0235</t>
  </si>
  <si>
    <t>INV-024-13847</t>
  </si>
  <si>
    <t>PO415473</t>
  </si>
  <si>
    <t>GR415473</t>
  </si>
  <si>
    <t>TXN-0236</t>
  </si>
  <si>
    <t>INV-028-14224</t>
  </si>
  <si>
    <t>PO439021</t>
  </si>
  <si>
    <t>GR439021</t>
  </si>
  <si>
    <t>TXN-0237</t>
  </si>
  <si>
    <t>INV-034-45755</t>
  </si>
  <si>
    <t>PO421012</t>
  </si>
  <si>
    <t>GR421012</t>
  </si>
  <si>
    <t>TXN-0238</t>
  </si>
  <si>
    <t>INV-037-47087</t>
  </si>
  <si>
    <t>PO484363</t>
  </si>
  <si>
    <t>GR484363</t>
  </si>
  <si>
    <t>TXN-0239</t>
  </si>
  <si>
    <t>INV-018-41363</t>
  </si>
  <si>
    <t>PO476917</t>
  </si>
  <si>
    <t>GR476917</t>
  </si>
  <si>
    <t>TXN-0240</t>
  </si>
  <si>
    <t>INV-020-85470</t>
  </si>
  <si>
    <t>PO440888</t>
  </si>
  <si>
    <t>GR440888</t>
  </si>
  <si>
    <t>TXN-0241</t>
  </si>
  <si>
    <t>INV-026-31206</t>
  </si>
  <si>
    <t>PO458536</t>
  </si>
  <si>
    <t>GR458536</t>
  </si>
  <si>
    <t>TXN-0242</t>
  </si>
  <si>
    <t>INV-010-33678</t>
  </si>
  <si>
    <t>PO437239</t>
  </si>
  <si>
    <t>GR437239</t>
  </si>
  <si>
    <t>TXN-0243</t>
  </si>
  <si>
    <t>INV-018-67637</t>
  </si>
  <si>
    <t>PO452431</t>
  </si>
  <si>
    <t>TXN-0244</t>
  </si>
  <si>
    <t>INV-021-63903</t>
  </si>
  <si>
    <t>PO454269</t>
  </si>
  <si>
    <t>GR454269</t>
  </si>
  <si>
    <t>TXN-0245</t>
  </si>
  <si>
    <t>INV-022-19283</t>
  </si>
  <si>
    <t>PO462613</t>
  </si>
  <si>
    <t>GR462613</t>
  </si>
  <si>
    <t>TXN-0246</t>
  </si>
  <si>
    <t>INV-015-76543</t>
  </si>
  <si>
    <t>PO413256</t>
  </si>
  <si>
    <t>GR413256</t>
  </si>
  <si>
    <t>TXN-0247</t>
  </si>
  <si>
    <t>INV-001-29809</t>
  </si>
  <si>
    <t>PO477564</t>
  </si>
  <si>
    <t>GR477564</t>
  </si>
  <si>
    <t>TXN-0248</t>
  </si>
  <si>
    <t>INV-001-68271</t>
  </si>
  <si>
    <t>PO425295</t>
  </si>
  <si>
    <t>GR425295</t>
  </si>
  <si>
    <t>TXN-0249</t>
  </si>
  <si>
    <t>INV-003-49117</t>
  </si>
  <si>
    <t>PO479073</t>
  </si>
  <si>
    <t>GR479073</t>
  </si>
  <si>
    <t>TXN-0250</t>
  </si>
  <si>
    <t>INV-006-65082</t>
  </si>
  <si>
    <t>PO444815</t>
  </si>
  <si>
    <t>GR444815</t>
  </si>
  <si>
    <t>TXN-0251</t>
  </si>
  <si>
    <t>INV-010-37772</t>
  </si>
  <si>
    <t>PO421910</t>
  </si>
  <si>
    <t>GR421910</t>
  </si>
  <si>
    <t>TXN-0252</t>
  </si>
  <si>
    <t>INV-010-16463</t>
  </si>
  <si>
    <t>PO474899</t>
  </si>
  <si>
    <t>GR474899</t>
  </si>
  <si>
    <t>TXN-0253</t>
  </si>
  <si>
    <t>INV-015-52056</t>
  </si>
  <si>
    <t>PO458079</t>
  </si>
  <si>
    <t>GR458079</t>
  </si>
  <si>
    <t>TXN-0254</t>
  </si>
  <si>
    <t>INV-016-90658</t>
  </si>
  <si>
    <t>PO450351</t>
  </si>
  <si>
    <t>GR450351</t>
  </si>
  <si>
    <t>TXN-0255</t>
  </si>
  <si>
    <t>INV-022-15191</t>
  </si>
  <si>
    <t>PO499679</t>
  </si>
  <si>
    <t>GR499679</t>
  </si>
  <si>
    <t>TXN-0256</t>
  </si>
  <si>
    <t>INV-025-44993</t>
  </si>
  <si>
    <t>PO426201</t>
  </si>
  <si>
    <t>GR426201</t>
  </si>
  <si>
    <t>TXN-0257</t>
  </si>
  <si>
    <t>INV-028-20986</t>
  </si>
  <si>
    <t>PO430475</t>
  </si>
  <si>
    <t>GR430475</t>
  </si>
  <si>
    <t>TXN-0258</t>
  </si>
  <si>
    <t>INV-031-64687</t>
  </si>
  <si>
    <t>PO447223</t>
  </si>
  <si>
    <t>GR447223</t>
  </si>
  <si>
    <t>TXN-0259</t>
  </si>
  <si>
    <t>INV-034-36924</t>
  </si>
  <si>
    <t>PO485792</t>
  </si>
  <si>
    <t>GR485792</t>
  </si>
  <si>
    <t>TXN-0260</t>
  </si>
  <si>
    <t>INV-035-98125</t>
  </si>
  <si>
    <t>PO498174</t>
  </si>
  <si>
    <t>GR498174</t>
  </si>
  <si>
    <t>TXN-0261</t>
  </si>
  <si>
    <t>INV-037-39724</t>
  </si>
  <si>
    <t>PO434079</t>
  </si>
  <si>
    <t>GR434079</t>
  </si>
  <si>
    <t>TXN-0262</t>
  </si>
  <si>
    <t>INV-038-76086</t>
  </si>
  <si>
    <t>PO477242</t>
  </si>
  <si>
    <t>GR477242</t>
  </si>
  <si>
    <t>TXN-0263</t>
  </si>
  <si>
    <t>INV-024-68373</t>
  </si>
  <si>
    <t>PO460666</t>
  </si>
  <si>
    <t>GR460666</t>
  </si>
  <si>
    <t>TXN-0264</t>
  </si>
  <si>
    <t>INV-033-21053</t>
  </si>
  <si>
    <t>PO445015</t>
  </si>
  <si>
    <t>GR445015</t>
  </si>
  <si>
    <t>TXN-0265</t>
  </si>
  <si>
    <t>INV-039-77194</t>
  </si>
  <si>
    <t>PO448163</t>
  </si>
  <si>
    <t>GR448163</t>
  </si>
  <si>
    <t>TXN-0266</t>
  </si>
  <si>
    <t>INV-001-61115</t>
  </si>
  <si>
    <t>PO438207</t>
  </si>
  <si>
    <t>GR438207</t>
  </si>
  <si>
    <t>TXN-0267</t>
  </si>
  <si>
    <t>INV-012-26274</t>
  </si>
  <si>
    <t>PO407263</t>
  </si>
  <si>
    <t>GR407263</t>
  </si>
  <si>
    <t>TXN-0268</t>
  </si>
  <si>
    <t>INV-021-76507</t>
  </si>
  <si>
    <t>PO471584</t>
  </si>
  <si>
    <t>GR471584</t>
  </si>
  <si>
    <t>TXN-0269</t>
  </si>
  <si>
    <t>INV-024-25842</t>
  </si>
  <si>
    <t>PO414461</t>
  </si>
  <si>
    <t>GR414461</t>
  </si>
  <si>
    <t>TXN-0270</t>
  </si>
  <si>
    <t>INV-003-69898</t>
  </si>
  <si>
    <t>PO468069</t>
  </si>
  <si>
    <t>GR468069</t>
  </si>
  <si>
    <t>TXN-0271</t>
  </si>
  <si>
    <t>INV-007-63907</t>
  </si>
  <si>
    <t>PO416958</t>
  </si>
  <si>
    <t>GR416958</t>
  </si>
  <si>
    <t>TXN-0272</t>
  </si>
  <si>
    <t>INV-018-37425</t>
  </si>
  <si>
    <t>PO464092</t>
  </si>
  <si>
    <t>GR464092</t>
  </si>
  <si>
    <t>TXN-0273</t>
  </si>
  <si>
    <t>INV-025-10832</t>
  </si>
  <si>
    <t>PO410580</t>
  </si>
  <si>
    <t>GR410580</t>
  </si>
  <si>
    <t>TXN-0274</t>
  </si>
  <si>
    <t>INV-008-86767</t>
  </si>
  <si>
    <t>PO482750</t>
  </si>
  <si>
    <t>GR482750</t>
  </si>
  <si>
    <t>TXN-0275</t>
  </si>
  <si>
    <t>INV-014-25509</t>
  </si>
  <si>
    <t>PO478908</t>
  </si>
  <si>
    <t>GR478908</t>
  </si>
  <si>
    <t>TXN-0276</t>
  </si>
  <si>
    <t>INV-018-91650</t>
  </si>
  <si>
    <t>PO401999</t>
  </si>
  <si>
    <t>GR401999</t>
  </si>
  <si>
    <t>TXN-0277</t>
  </si>
  <si>
    <t>INV-028-34901</t>
  </si>
  <si>
    <t>PO426941</t>
  </si>
  <si>
    <t>GR426941</t>
  </si>
  <si>
    <t>TXN-0278</t>
  </si>
  <si>
    <t>INV-028-58404</t>
  </si>
  <si>
    <t>PO410233</t>
  </si>
  <si>
    <t>GR410233</t>
  </si>
  <si>
    <t>TXN-0279</t>
  </si>
  <si>
    <t>INV-035-67912</t>
  </si>
  <si>
    <t>PO468202</t>
  </si>
  <si>
    <t>GR468202</t>
  </si>
  <si>
    <t>TXN-0280</t>
  </si>
  <si>
    <t>INV-037-24022</t>
  </si>
  <si>
    <t>PO493621</t>
  </si>
  <si>
    <t>GR493621</t>
  </si>
  <si>
    <t>TXN-0281</t>
  </si>
  <si>
    <t>INV-040-50549</t>
  </si>
  <si>
    <t>PO451097</t>
  </si>
  <si>
    <t>GR451097</t>
  </si>
  <si>
    <t>TXN-0282</t>
  </si>
  <si>
    <t>INV-003-92515</t>
  </si>
  <si>
    <t>PO417658</t>
  </si>
  <si>
    <t>GR417658</t>
  </si>
  <si>
    <t>TXN-0283</t>
  </si>
  <si>
    <t>INV-005-59183</t>
  </si>
  <si>
    <t>PO444453</t>
  </si>
  <si>
    <t>GR444453</t>
  </si>
  <si>
    <t>TXN-0284</t>
  </si>
  <si>
    <t>INV-007-30036</t>
  </si>
  <si>
    <t>PO478957</t>
  </si>
  <si>
    <t>GR478957</t>
  </si>
  <si>
    <t>TXN-0285</t>
  </si>
  <si>
    <t>INV-007-51160</t>
  </si>
  <si>
    <t>PO461086</t>
  </si>
  <si>
    <t>GR461086</t>
  </si>
  <si>
    <t>TXN-0286</t>
  </si>
  <si>
    <t>INV-008-19012</t>
  </si>
  <si>
    <t>PO497405</t>
  </si>
  <si>
    <t>GR497405</t>
  </si>
  <si>
    <t>TXN-0287</t>
  </si>
  <si>
    <t>INV-009-77147</t>
  </si>
  <si>
    <t>PO498097</t>
  </si>
  <si>
    <t>GR498097</t>
  </si>
  <si>
    <t>TXN-0288</t>
  </si>
  <si>
    <t>INV-025-54295</t>
  </si>
  <si>
    <t>PO412203</t>
  </si>
  <si>
    <t>GR412203</t>
  </si>
  <si>
    <t>TXN-0289</t>
  </si>
  <si>
    <t>INV-030-17567</t>
  </si>
  <si>
    <t>PO473912</t>
  </si>
  <si>
    <t>GR473912</t>
  </si>
  <si>
    <t>TXN-0290</t>
  </si>
  <si>
    <t>INV-031-64336</t>
  </si>
  <si>
    <t>PO490812</t>
  </si>
  <si>
    <t>GR490812</t>
  </si>
  <si>
    <t>TXN-0291</t>
  </si>
  <si>
    <t>INV-031-95140</t>
  </si>
  <si>
    <t>PO461441</t>
  </si>
  <si>
    <t>GR461441</t>
  </si>
  <si>
    <t>TXN-0292</t>
  </si>
  <si>
    <t>INV-034-43084</t>
  </si>
  <si>
    <t>PO469003</t>
  </si>
  <si>
    <t>GR469003</t>
  </si>
  <si>
    <t>TXN-0293</t>
  </si>
  <si>
    <t>INV-034-96013</t>
  </si>
  <si>
    <t>PO419025</t>
  </si>
  <si>
    <t>GR419025</t>
  </si>
  <si>
    <t>TXN-0294</t>
  </si>
  <si>
    <t>INV-036-48754</t>
  </si>
  <si>
    <t>TXN-0295</t>
  </si>
  <si>
    <t>INV-038-31292</t>
  </si>
  <si>
    <t>PO439226</t>
  </si>
  <si>
    <t>GR439226</t>
  </si>
  <si>
    <t>TXN-0296</t>
  </si>
  <si>
    <t>INV-001-64000</t>
  </si>
  <si>
    <t>PO463556</t>
  </si>
  <si>
    <t>GR463556</t>
  </si>
  <si>
    <t>TXN-0297</t>
  </si>
  <si>
    <t>INV-022-75002</t>
  </si>
  <si>
    <t>PO405530</t>
  </si>
  <si>
    <t>GR405530</t>
  </si>
  <si>
    <t>TXN-0298</t>
  </si>
  <si>
    <t>INV-029-97097</t>
  </si>
  <si>
    <t>PO481889</t>
  </si>
  <si>
    <t>GR481889</t>
  </si>
  <si>
    <t>TXN-0299</t>
  </si>
  <si>
    <t>INV-032-41574</t>
  </si>
  <si>
    <t>PO442026</t>
  </si>
  <si>
    <t>GR442026</t>
  </si>
  <si>
    <t>TXN-0300</t>
  </si>
  <si>
    <t>INV-039-28537</t>
  </si>
  <si>
    <t>PO486980</t>
  </si>
  <si>
    <t>GR486980</t>
  </si>
  <si>
    <t>TXN-0301</t>
  </si>
  <si>
    <t>INV-010-16725</t>
  </si>
  <si>
    <t>PO493329</t>
  </si>
  <si>
    <t>GR493329</t>
  </si>
  <si>
    <t>TXN-0302</t>
  </si>
  <si>
    <t>INV-021-20029</t>
  </si>
  <si>
    <t>PO412626</t>
  </si>
  <si>
    <t>GR412626</t>
  </si>
  <si>
    <t>TXN-0303</t>
  </si>
  <si>
    <t>INV-040-81358</t>
  </si>
  <si>
    <t>PO426887</t>
  </si>
  <si>
    <t>GR426887</t>
  </si>
  <si>
    <t>TXN-0304</t>
  </si>
  <si>
    <t>INV-006-46624</t>
  </si>
  <si>
    <t>PO498380</t>
  </si>
  <si>
    <t>GR498380</t>
  </si>
  <si>
    <t>TXN-0305</t>
  </si>
  <si>
    <t>INV-007-22091</t>
  </si>
  <si>
    <t>PO410740</t>
  </si>
  <si>
    <t>GR410740</t>
  </si>
  <si>
    <t>TXN-0306</t>
  </si>
  <si>
    <t>INV-018-92132</t>
  </si>
  <si>
    <t>PO496147</t>
  </si>
  <si>
    <t>GR496147</t>
  </si>
  <si>
    <t>TXN-0307</t>
  </si>
  <si>
    <t>INV-022-79547</t>
  </si>
  <si>
    <t>PO414945</t>
  </si>
  <si>
    <t>GR414945</t>
  </si>
  <si>
    <t>TXN-0308</t>
  </si>
  <si>
    <t>INV-025-18966</t>
  </si>
  <si>
    <t>PO418724</t>
  </si>
  <si>
    <t>GR418724</t>
  </si>
  <si>
    <t>TXN-0309</t>
  </si>
  <si>
    <t>INV-026-98785</t>
  </si>
  <si>
    <t>PO401469</t>
  </si>
  <si>
    <t>GR401469</t>
  </si>
  <si>
    <t>TXN-0310</t>
  </si>
  <si>
    <t>INV-033-69130</t>
  </si>
  <si>
    <t>PO429102</t>
  </si>
  <si>
    <t>GR429102</t>
  </si>
  <si>
    <t>TXN-0311</t>
  </si>
  <si>
    <t>INV-035-33392</t>
  </si>
  <si>
    <t>PO415549</t>
  </si>
  <si>
    <t>GR415549</t>
  </si>
  <si>
    <t>TXN-0312</t>
  </si>
  <si>
    <t>INV-018-82536</t>
  </si>
  <si>
    <t>PO448487</t>
  </si>
  <si>
    <t>GR448487</t>
  </si>
  <si>
    <t>TXN-0313</t>
  </si>
  <si>
    <t>INV-006-14202</t>
  </si>
  <si>
    <t>PO423283</t>
  </si>
  <si>
    <t>GR423283</t>
  </si>
  <si>
    <t>TXN-0314</t>
  </si>
  <si>
    <t>INV-007-90473</t>
  </si>
  <si>
    <t>PO428624</t>
  </si>
  <si>
    <t>GR428624</t>
  </si>
  <si>
    <t>TXN-0315</t>
  </si>
  <si>
    <t>INV-013-46408</t>
  </si>
  <si>
    <t>PO433868</t>
  </si>
  <si>
    <t>GR433868</t>
  </si>
  <si>
    <t>TXN-0316</t>
  </si>
  <si>
    <t>INV-016-50988</t>
  </si>
  <si>
    <t>PO494519</t>
  </si>
  <si>
    <t>GR494519</t>
  </si>
  <si>
    <t>TXN-0317</t>
  </si>
  <si>
    <t>INV-017-47852</t>
  </si>
  <si>
    <t>PO401554</t>
  </si>
  <si>
    <t>GR401554</t>
  </si>
  <si>
    <t>TXN-0318</t>
  </si>
  <si>
    <t>INV-018-30221</t>
  </si>
  <si>
    <t>PO483086</t>
  </si>
  <si>
    <t>GR483086</t>
  </si>
  <si>
    <t>TXN-0319</t>
  </si>
  <si>
    <t>INV-018-74138</t>
  </si>
  <si>
    <t>PO432858</t>
  </si>
  <si>
    <t>GR432858</t>
  </si>
  <si>
    <t>TXN-0320</t>
  </si>
  <si>
    <t>INV-021-92756</t>
  </si>
  <si>
    <t>PO457961</t>
  </si>
  <si>
    <t>GR457961</t>
  </si>
  <si>
    <t>TXN-0321</t>
  </si>
  <si>
    <t>INV-027-29795</t>
  </si>
  <si>
    <t>PO492690</t>
  </si>
  <si>
    <t>GR492690</t>
  </si>
  <si>
    <t>TXN-0322</t>
  </si>
  <si>
    <t>INV-032-53573</t>
  </si>
  <si>
    <t>PO445236</t>
  </si>
  <si>
    <t>GR445236</t>
  </si>
  <si>
    <t>TXN-0323</t>
  </si>
  <si>
    <t>INV-032-96332</t>
  </si>
  <si>
    <t>PO433119</t>
  </si>
  <si>
    <t>GR433119</t>
  </si>
  <si>
    <t>TXN-0324</t>
  </si>
  <si>
    <t>INV-032-64293</t>
  </si>
  <si>
    <t>PO482288</t>
  </si>
  <si>
    <t>GR482288</t>
  </si>
  <si>
    <t>TXN-0325</t>
  </si>
  <si>
    <t>INV-037-55688</t>
  </si>
  <si>
    <t>PO433457</t>
  </si>
  <si>
    <t>GR433457</t>
  </si>
  <si>
    <t>TXN-0326</t>
  </si>
  <si>
    <t>INV-005-79531</t>
  </si>
  <si>
    <t>PO412026</t>
  </si>
  <si>
    <t>GR412026</t>
  </si>
  <si>
    <t>TXN-0327</t>
  </si>
  <si>
    <t>INV-007-47777</t>
  </si>
  <si>
    <t>PO464942</t>
  </si>
  <si>
    <t>GR464942</t>
  </si>
  <si>
    <t>TXN-0328</t>
  </si>
  <si>
    <t>INV-007-75054</t>
  </si>
  <si>
    <t>TXN-0329</t>
  </si>
  <si>
    <t>INV-015-61390</t>
  </si>
  <si>
    <t>PO447638</t>
  </si>
  <si>
    <t>GR447638</t>
  </si>
  <si>
    <t>TXN-0330</t>
  </si>
  <si>
    <t>INV-017-27275</t>
  </si>
  <si>
    <t>PO403379</t>
  </si>
  <si>
    <t>GR403379</t>
  </si>
  <si>
    <t>TXN-0331</t>
  </si>
  <si>
    <t>INV-020-36489</t>
  </si>
  <si>
    <t>PO404901</t>
  </si>
  <si>
    <t>GR404901</t>
  </si>
  <si>
    <t>TXN-0332</t>
  </si>
  <si>
    <t>INV-029-77350</t>
  </si>
  <si>
    <t>PO422779</t>
  </si>
  <si>
    <t>GR422779</t>
  </si>
  <si>
    <t>TXN-0333</t>
  </si>
  <si>
    <t>INV-031-58971</t>
  </si>
  <si>
    <t>PO479395</t>
  </si>
  <si>
    <t>GR479395</t>
  </si>
  <si>
    <t>TXN-0334</t>
  </si>
  <si>
    <t>INV-036-65461</t>
  </si>
  <si>
    <t>TXN-0335</t>
  </si>
  <si>
    <t>INV-040-60779</t>
  </si>
  <si>
    <t>PO437079</t>
  </si>
  <si>
    <t>GR437079</t>
  </si>
  <si>
    <t>TXN-0336</t>
  </si>
  <si>
    <t>INV-004-47828</t>
  </si>
  <si>
    <t>PO474607</t>
  </si>
  <si>
    <t>GR474607</t>
  </si>
  <si>
    <t>TXN-0337</t>
  </si>
  <si>
    <t>INV-010-23133</t>
  </si>
  <si>
    <t>PO499402</t>
  </si>
  <si>
    <t>GR499402</t>
  </si>
  <si>
    <t>TXN-0338</t>
  </si>
  <si>
    <t>INV-014-79176</t>
  </si>
  <si>
    <t>PO479807</t>
  </si>
  <si>
    <t>GR479807</t>
  </si>
  <si>
    <t>TXN-0339</t>
  </si>
  <si>
    <t>INV-018-16608</t>
  </si>
  <si>
    <t>PO413650</t>
  </si>
  <si>
    <t>GR413650</t>
  </si>
  <si>
    <t>TXN-0340</t>
  </si>
  <si>
    <t>INV-004-21939</t>
  </si>
  <si>
    <t>PO400693</t>
  </si>
  <si>
    <t>GR400693</t>
  </si>
  <si>
    <t>TXN-0341</t>
  </si>
  <si>
    <t>INV-008-36518</t>
  </si>
  <si>
    <t>PO456072</t>
  </si>
  <si>
    <t>GR456072</t>
  </si>
  <si>
    <t>TXN-0342</t>
  </si>
  <si>
    <t>INV-014-55890</t>
  </si>
  <si>
    <t>PO414184</t>
  </si>
  <si>
    <t>GR414184</t>
  </si>
  <si>
    <t>TXN-0343</t>
  </si>
  <si>
    <t>INV-024-44993</t>
  </si>
  <si>
    <t>PO487841</t>
  </si>
  <si>
    <t>GR487841</t>
  </si>
  <si>
    <t>TXN-0344</t>
  </si>
  <si>
    <t>INV-028-66019</t>
  </si>
  <si>
    <t>PO449993</t>
  </si>
  <si>
    <t>GR449993</t>
  </si>
  <si>
    <t>TXN-0345</t>
  </si>
  <si>
    <t>INV-014-94825</t>
  </si>
  <si>
    <t>PO437347</t>
  </si>
  <si>
    <t>GR437347</t>
  </si>
  <si>
    <t>TXN-0346</t>
  </si>
  <si>
    <t>INV-016-54357</t>
  </si>
  <si>
    <t>PO481087</t>
  </si>
  <si>
    <t>GR481087</t>
  </si>
  <si>
    <t>TXN-0347</t>
  </si>
  <si>
    <t>INV-017-84420</t>
  </si>
  <si>
    <t>PO438669</t>
  </si>
  <si>
    <t>GR438669</t>
  </si>
  <si>
    <t>TXN-0348</t>
  </si>
  <si>
    <t>INV-022-24953</t>
  </si>
  <si>
    <t>PO462616</t>
  </si>
  <si>
    <t>GR462616</t>
  </si>
  <si>
    <t>TXN-0349</t>
  </si>
  <si>
    <t>INV-032-17081</t>
  </si>
  <si>
    <t>PO405651</t>
  </si>
  <si>
    <t>GR405651</t>
  </si>
  <si>
    <t>TXN-0350</t>
  </si>
  <si>
    <t>INV-011-12572</t>
  </si>
  <si>
    <t>PO461799</t>
  </si>
  <si>
    <t>GR461799</t>
  </si>
  <si>
    <t>TXN-0351</t>
  </si>
  <si>
    <t>INV-014-63253</t>
  </si>
  <si>
    <t>PO484466</t>
  </si>
  <si>
    <t>GR484466</t>
  </si>
  <si>
    <t>TXN-0352</t>
  </si>
  <si>
    <t>INV-017-21690</t>
  </si>
  <si>
    <t>PO452286</t>
  </si>
  <si>
    <t>GR452286</t>
  </si>
  <si>
    <t>TXN-0353</t>
  </si>
  <si>
    <t>INV-019-78107</t>
  </si>
  <si>
    <t>PO430451</t>
  </si>
  <si>
    <t>GR430451</t>
  </si>
  <si>
    <t>TXN-0354</t>
  </si>
  <si>
    <t>INV-020-91681</t>
  </si>
  <si>
    <t>TXN-0355</t>
  </si>
  <si>
    <t>INV-020-86501</t>
  </si>
  <si>
    <t>PO497948</t>
  </si>
  <si>
    <t>GR497948</t>
  </si>
  <si>
    <t>TXN-0356</t>
  </si>
  <si>
    <t>INV-027-24464</t>
  </si>
  <si>
    <t>PO437957</t>
  </si>
  <si>
    <t>GR437957</t>
  </si>
  <si>
    <t>TXN-0357</t>
  </si>
  <si>
    <t>INV-029-27659</t>
  </si>
  <si>
    <t>PO446945</t>
  </si>
  <si>
    <t>GR446945</t>
  </si>
  <si>
    <t>TXN-0358</t>
  </si>
  <si>
    <t>INV-030-20917</t>
  </si>
  <si>
    <t>PO405932</t>
  </si>
  <si>
    <t>GR405932</t>
  </si>
  <si>
    <t>TXN-0359</t>
  </si>
  <si>
    <t>INV-040-97340</t>
  </si>
  <si>
    <t>PO422984</t>
  </si>
  <si>
    <t>GR422984</t>
  </si>
  <si>
    <t>TXN-0360</t>
  </si>
  <si>
    <t>INV-014-72773</t>
  </si>
  <si>
    <t>PO498871</t>
  </si>
  <si>
    <t>GR498871</t>
  </si>
  <si>
    <t>TXN-0361</t>
  </si>
  <si>
    <t>INV-010-50212</t>
  </si>
  <si>
    <t>PO420214</t>
  </si>
  <si>
    <t>GR420214</t>
  </si>
  <si>
    <t>TXN-0362</t>
  </si>
  <si>
    <t>INV-018-70150</t>
  </si>
  <si>
    <t>PO495829</t>
  </si>
  <si>
    <t>GR495829</t>
  </si>
  <si>
    <t>TXN-0363</t>
  </si>
  <si>
    <t>INV-028-68082</t>
  </si>
  <si>
    <t>PO409880</t>
  </si>
  <si>
    <t>GR409880</t>
  </si>
  <si>
    <t>TXN-0364</t>
  </si>
  <si>
    <t>INV-037-87028</t>
  </si>
  <si>
    <t>PO447880</t>
  </si>
  <si>
    <t>GR447880</t>
  </si>
  <si>
    <t>TXN-0365</t>
  </si>
  <si>
    <t>INV-017-17128</t>
  </si>
  <si>
    <t>PO474356</t>
  </si>
  <si>
    <t>GR474356</t>
  </si>
  <si>
    <t>TXN-0366</t>
  </si>
  <si>
    <t>INV-021-81601</t>
  </si>
  <si>
    <t>PO444869</t>
  </si>
  <si>
    <t>GR444869</t>
  </si>
  <si>
    <t>TXN-0367</t>
  </si>
  <si>
    <t>INV-031-92764</t>
  </si>
  <si>
    <t>PO424560</t>
  </si>
  <si>
    <t>GR424560</t>
  </si>
  <si>
    <t>TXN-0368</t>
  </si>
  <si>
    <t>INV-001-77765</t>
  </si>
  <si>
    <t>TXN-0369</t>
  </si>
  <si>
    <t>INV-002-36467</t>
  </si>
  <si>
    <t>PO493406</t>
  </si>
  <si>
    <t>GR493406</t>
  </si>
  <si>
    <t>TXN-0370</t>
  </si>
  <si>
    <t>INV-012-14334</t>
  </si>
  <si>
    <t>PO432701</t>
  </si>
  <si>
    <t>GR432701</t>
  </si>
  <si>
    <t>TXN-0371</t>
  </si>
  <si>
    <t>INV-014-60079</t>
  </si>
  <si>
    <t>PO464771</t>
  </si>
  <si>
    <t>GR464771</t>
  </si>
  <si>
    <t>TXN-0372</t>
  </si>
  <si>
    <t>TXN-0373</t>
  </si>
  <si>
    <t>INV-016-92050</t>
  </si>
  <si>
    <t>PO408237</t>
  </si>
  <si>
    <t>GR408237</t>
  </si>
  <si>
    <t>TXN-0374</t>
  </si>
  <si>
    <t>INV-023-94545</t>
  </si>
  <si>
    <t>PO473822</t>
  </si>
  <si>
    <t>GR473822</t>
  </si>
  <si>
    <t>TXN-0375</t>
  </si>
  <si>
    <t>INV-025-84714</t>
  </si>
  <si>
    <t>PO432605</t>
  </si>
  <si>
    <t>GR432605</t>
  </si>
  <si>
    <t>TXN-0376</t>
  </si>
  <si>
    <t>INV-027-48036</t>
  </si>
  <si>
    <t>PO403771</t>
  </si>
  <si>
    <t>GR403771</t>
  </si>
  <si>
    <t>TXN-0377</t>
  </si>
  <si>
    <t>INV-031-93648</t>
  </si>
  <si>
    <t>PO422391</t>
  </si>
  <si>
    <t>GR422391</t>
  </si>
  <si>
    <t>TXN-0378</t>
  </si>
  <si>
    <t>INV-032-69250</t>
  </si>
  <si>
    <t>PO409706</t>
  </si>
  <si>
    <t>GR409706</t>
  </si>
  <si>
    <t>TXN-0379</t>
  </si>
  <si>
    <t>INV-032-84148</t>
  </si>
  <si>
    <t>PO496837</t>
  </si>
  <si>
    <t>GR496837</t>
  </si>
  <si>
    <t>TXN-0380</t>
  </si>
  <si>
    <t>INV-036-56567</t>
  </si>
  <si>
    <t>PO429131</t>
  </si>
  <si>
    <t>GR429131</t>
  </si>
  <si>
    <t>TXN-0381</t>
  </si>
  <si>
    <t>INV-040-24965</t>
  </si>
  <si>
    <t>PO413937</t>
  </si>
  <si>
    <t>GR413937</t>
  </si>
  <si>
    <t>TXN-0382</t>
  </si>
  <si>
    <t>INV-012-25985</t>
  </si>
  <si>
    <t>PO401653</t>
  </si>
  <si>
    <t>GR401653</t>
  </si>
  <si>
    <t>TXN-0383</t>
  </si>
  <si>
    <t>INV-013-90879</t>
  </si>
  <si>
    <t>PO457577</t>
  </si>
  <si>
    <t>GR457577</t>
  </si>
  <si>
    <t>TXN-0384</t>
  </si>
  <si>
    <t>INV-023-18965</t>
  </si>
  <si>
    <t>PO426379</t>
  </si>
  <si>
    <t>GR426379</t>
  </si>
  <si>
    <t>TXN-0385</t>
  </si>
  <si>
    <t>INV-035-24936</t>
  </si>
  <si>
    <t>PO459972</t>
  </si>
  <si>
    <t>GR459972</t>
  </si>
  <si>
    <t>TXN-0386</t>
  </si>
  <si>
    <t>INV-036-85197</t>
  </si>
  <si>
    <t>PO428647</t>
  </si>
  <si>
    <t>GR428647</t>
  </si>
  <si>
    <t>TXN-0387</t>
  </si>
  <si>
    <t>INV-014-80402</t>
  </si>
  <si>
    <t>PO498830</t>
  </si>
  <si>
    <t>GR498830</t>
  </si>
  <si>
    <t>TXN-0388</t>
  </si>
  <si>
    <t>INV-036-95626</t>
  </si>
  <si>
    <t>PO407217</t>
  </si>
  <si>
    <t>GR407217</t>
  </si>
  <si>
    <t>TXN-0389</t>
  </si>
  <si>
    <t>INV-037-99957</t>
  </si>
  <si>
    <t>PO429145</t>
  </si>
  <si>
    <t>GR429145</t>
  </si>
  <si>
    <t>TXN-0390</t>
  </si>
  <si>
    <t>INV-038-21898</t>
  </si>
  <si>
    <t>PO403835</t>
  </si>
  <si>
    <t>GR403835</t>
  </si>
  <si>
    <t>TXN-0391</t>
  </si>
  <si>
    <t>INV-001-22752</t>
  </si>
  <si>
    <t>PO440283</t>
  </si>
  <si>
    <t>GR440283</t>
  </si>
  <si>
    <t>TXN-0392</t>
  </si>
  <si>
    <t>INV-010-81938</t>
  </si>
  <si>
    <t>PO477677</t>
  </si>
  <si>
    <t>GR477677</t>
  </si>
  <si>
    <t>TXN-0393</t>
  </si>
  <si>
    <t>INV-013-66059</t>
  </si>
  <si>
    <t>PO453148</t>
  </si>
  <si>
    <t>GR453148</t>
  </si>
  <si>
    <t>TXN-0394</t>
  </si>
  <si>
    <t>TXN-0395</t>
  </si>
  <si>
    <t>INV-033-86865</t>
  </si>
  <si>
    <t>PO451213</t>
  </si>
  <si>
    <t>GR451213</t>
  </si>
  <si>
    <t>TXN-0396</t>
  </si>
  <si>
    <t>INV-038-33704</t>
  </si>
  <si>
    <t>PO414067</t>
  </si>
  <si>
    <t>GR414067</t>
  </si>
  <si>
    <t>TXN-0397</t>
  </si>
  <si>
    <t>INV-024-70956</t>
  </si>
  <si>
    <t>PO457637</t>
  </si>
  <si>
    <t>GR457637</t>
  </si>
  <si>
    <t>TXN-0398</t>
  </si>
  <si>
    <t>INV-035-70505</t>
  </si>
  <si>
    <t>PO495317</t>
  </si>
  <si>
    <t>GR495317</t>
  </si>
  <si>
    <t>TXN-0399</t>
  </si>
  <si>
    <t>INV-038-80736</t>
  </si>
  <si>
    <t>PO471233</t>
  </si>
  <si>
    <t>GR471233</t>
  </si>
  <si>
    <t>TXN-0400</t>
  </si>
  <si>
    <t>INV-014-14541</t>
  </si>
  <si>
    <t>PO419481</t>
  </si>
  <si>
    <t>GR419481</t>
  </si>
  <si>
    <t>TXN-0401</t>
  </si>
  <si>
    <t>INV-002-25435</t>
  </si>
  <si>
    <t>PO473619</t>
  </si>
  <si>
    <t>GR473619</t>
  </si>
  <si>
    <t>TXN-0402</t>
  </si>
  <si>
    <t>INV-005-83889</t>
  </si>
  <si>
    <t>PO498886</t>
  </si>
  <si>
    <t>GR498886</t>
  </si>
  <si>
    <t>TXN-0403</t>
  </si>
  <si>
    <t>INV-015-30889</t>
  </si>
  <si>
    <t>PO466209</t>
  </si>
  <si>
    <t>GR466209</t>
  </si>
  <si>
    <t>TXN-0404</t>
  </si>
  <si>
    <t>INV-015-11965</t>
  </si>
  <si>
    <t>PO422756</t>
  </si>
  <si>
    <t>GR422756</t>
  </si>
  <si>
    <t>TXN-0405</t>
  </si>
  <si>
    <t>INV-018-68226</t>
  </si>
  <si>
    <t>PO475963</t>
  </si>
  <si>
    <t>GR475963</t>
  </si>
  <si>
    <t>TXN-0406</t>
  </si>
  <si>
    <t>INV-021-18286</t>
  </si>
  <si>
    <t>PO443975</t>
  </si>
  <si>
    <t>GR443975</t>
  </si>
  <si>
    <t>TXN-0407</t>
  </si>
  <si>
    <t>INV-022-78062</t>
  </si>
  <si>
    <t>PO448148</t>
  </si>
  <si>
    <t>GR448148</t>
  </si>
  <si>
    <t>TXN-0408</t>
  </si>
  <si>
    <t>INV-024-26090</t>
  </si>
  <si>
    <t>PO452990</t>
  </si>
  <si>
    <t>GR452990</t>
  </si>
  <si>
    <t>TXN-0409</t>
  </si>
  <si>
    <t>INV-025-49418</t>
  </si>
  <si>
    <t>PO429536</t>
  </si>
  <si>
    <t>GR429536</t>
  </si>
  <si>
    <t>TXN-0410</t>
  </si>
  <si>
    <t>INV-025-36212</t>
  </si>
  <si>
    <t>PO431265</t>
  </si>
  <si>
    <t>GR431265</t>
  </si>
  <si>
    <t>TXN-0411</t>
  </si>
  <si>
    <t>INV-035-42771</t>
  </si>
  <si>
    <t>PO443154</t>
  </si>
  <si>
    <t>GR443154</t>
  </si>
  <si>
    <t>TXN-0412</t>
  </si>
  <si>
    <t>INV-036-60639</t>
  </si>
  <si>
    <t>PO409637</t>
  </si>
  <si>
    <t>GR409637</t>
  </si>
  <si>
    <t>TXN-0413</t>
  </si>
  <si>
    <t>INV-036-73680</t>
  </si>
  <si>
    <t>PO494696</t>
  </si>
  <si>
    <t>GR494696</t>
  </si>
  <si>
    <t>TXN-0414</t>
  </si>
  <si>
    <t>INV-037-29342</t>
  </si>
  <si>
    <t>PO431979</t>
  </si>
  <si>
    <t>GR431979</t>
  </si>
  <si>
    <t>TXN-0415</t>
  </si>
  <si>
    <t>INV-039-56913</t>
  </si>
  <si>
    <t>TXN-0416</t>
  </si>
  <si>
    <t>INV-001-43491</t>
  </si>
  <si>
    <t>TXN-0417</t>
  </si>
  <si>
    <t>INV-014-85674</t>
  </si>
  <si>
    <t>PO408200</t>
  </si>
  <si>
    <t>GR408200</t>
  </si>
  <si>
    <t>TXN-0418</t>
  </si>
  <si>
    <t>INV-034-71249</t>
  </si>
  <si>
    <t>PO486613</t>
  </si>
  <si>
    <t>GR486613</t>
  </si>
  <si>
    <t>TXN-0419</t>
  </si>
  <si>
    <t>INV-034-29722</t>
  </si>
  <si>
    <t>PO431506</t>
  </si>
  <si>
    <t>GR431506</t>
  </si>
  <si>
    <t>TXN-0420</t>
  </si>
  <si>
    <t>TXN-0421</t>
  </si>
  <si>
    <t>INV-031-85937</t>
  </si>
  <si>
    <t>PO463492</t>
  </si>
  <si>
    <t>GR463492</t>
  </si>
  <si>
    <t>TXN-0422</t>
  </si>
  <si>
    <t>TXN-0423</t>
  </si>
  <si>
    <t>INV-005-32004</t>
  </si>
  <si>
    <t>PO487046</t>
  </si>
  <si>
    <t>GR487046</t>
  </si>
  <si>
    <t>TXN-0424</t>
  </si>
  <si>
    <t>INV-010-53963</t>
  </si>
  <si>
    <t>PO468852</t>
  </si>
  <si>
    <t>GR468852</t>
  </si>
  <si>
    <t>TXN-0425</t>
  </si>
  <si>
    <t>TXN-0426</t>
  </si>
  <si>
    <t>INV-038-33582</t>
  </si>
  <si>
    <t>PO490476</t>
  </si>
  <si>
    <t>GR490476</t>
  </si>
  <si>
    <t>TXN-0427</t>
  </si>
  <si>
    <t>INV-018-81188</t>
  </si>
  <si>
    <t>PO498616</t>
  </si>
  <si>
    <t>GR498616</t>
  </si>
  <si>
    <t>TXN-0428</t>
  </si>
  <si>
    <t>INV-024-16175</t>
  </si>
  <si>
    <t>PO411915</t>
  </si>
  <si>
    <t>GR411915</t>
  </si>
  <si>
    <t>TXN-0429</t>
  </si>
  <si>
    <t>INV-004-58790</t>
  </si>
  <si>
    <t>PO452505</t>
  </si>
  <si>
    <t>GR452505</t>
  </si>
  <si>
    <t>TXN-0430</t>
  </si>
  <si>
    <t>INV-014-61891</t>
  </si>
  <si>
    <t>PO430721</t>
  </si>
  <si>
    <t>GR430721</t>
  </si>
  <si>
    <t>TXN-0431</t>
  </si>
  <si>
    <t>INV-015-46170</t>
  </si>
  <si>
    <t>PO490402</t>
  </si>
  <si>
    <t>GR490402</t>
  </si>
  <si>
    <t>TXN-0432</t>
  </si>
  <si>
    <t>INV-019-93066</t>
  </si>
  <si>
    <t>PO412903</t>
  </si>
  <si>
    <t>GR412903</t>
  </si>
  <si>
    <t>TXN-0433</t>
  </si>
  <si>
    <t>INV-026-73238</t>
  </si>
  <si>
    <t>PO473080</t>
  </si>
  <si>
    <t>GR473080</t>
  </si>
  <si>
    <t>TXN-0434</t>
  </si>
  <si>
    <t>INV-030-36504</t>
  </si>
  <si>
    <t>PO435349</t>
  </si>
  <si>
    <t>GR435349</t>
  </si>
  <si>
    <t>TXN-0435</t>
  </si>
  <si>
    <t>INV-031-54017</t>
  </si>
  <si>
    <t>PO443365</t>
  </si>
  <si>
    <t>GR443365</t>
  </si>
  <si>
    <t>TXN-0436</t>
  </si>
  <si>
    <t>INV-039-44600</t>
  </si>
  <si>
    <t>PO483130</t>
  </si>
  <si>
    <t>GR483130</t>
  </si>
  <si>
    <t>TXN-0437</t>
  </si>
  <si>
    <t>INV-001-84593</t>
  </si>
  <si>
    <t>PO436352</t>
  </si>
  <si>
    <t>GR436352</t>
  </si>
  <si>
    <t>TXN-0438</t>
  </si>
  <si>
    <t>INV-010-15276</t>
  </si>
  <si>
    <t>PO465546</t>
  </si>
  <si>
    <t>GR465546</t>
  </si>
  <si>
    <t>TXN-0439</t>
  </si>
  <si>
    <t>INV-028-88067</t>
  </si>
  <si>
    <t>PO480460</t>
  </si>
  <si>
    <t>GR480460</t>
  </si>
  <si>
    <t>TXN-0440</t>
  </si>
  <si>
    <t>INV-019-36707</t>
  </si>
  <si>
    <t>PO441359</t>
  </si>
  <si>
    <t>GR441359</t>
  </si>
  <si>
    <t>TXN-0441</t>
  </si>
  <si>
    <t>INV-027-13945</t>
  </si>
  <si>
    <t>PO473196</t>
  </si>
  <si>
    <t>GR473196</t>
  </si>
  <si>
    <t>TXN-0442</t>
  </si>
  <si>
    <t>INV-038-74080</t>
  </si>
  <si>
    <t>PO418558</t>
  </si>
  <si>
    <t>GR418558</t>
  </si>
  <si>
    <t>TXN-0443</t>
  </si>
  <si>
    <t>INV-004-31437</t>
  </si>
  <si>
    <t>PO434108</t>
  </si>
  <si>
    <t>GR434108</t>
  </si>
  <si>
    <t>TXN-0444</t>
  </si>
  <si>
    <t>INV-015-86939</t>
  </si>
  <si>
    <t>PO467610</t>
  </si>
  <si>
    <t>GR467610</t>
  </si>
  <si>
    <t>TXN-0445</t>
  </si>
  <si>
    <t>INV-016-42550</t>
  </si>
  <si>
    <t>PO487163</t>
  </si>
  <si>
    <t>GR487163</t>
  </si>
  <si>
    <t>TXN-0446</t>
  </si>
  <si>
    <t>INV-020-20322</t>
  </si>
  <si>
    <t>PO474364</t>
  </si>
  <si>
    <t>GR474364</t>
  </si>
  <si>
    <t>TXN-0447</t>
  </si>
  <si>
    <t>INV-036-64239</t>
  </si>
  <si>
    <t>PO429949</t>
  </si>
  <si>
    <t>GR429949</t>
  </si>
  <si>
    <t>TXN-0448</t>
  </si>
  <si>
    <t>INV-005-37869</t>
  </si>
  <si>
    <t>PO441245</t>
  </si>
  <si>
    <t>GR441245</t>
  </si>
  <si>
    <t>TXN-0449</t>
  </si>
  <si>
    <t>INV-005-40279</t>
  </si>
  <si>
    <t>PO495049</t>
  </si>
  <si>
    <t>GR495049</t>
  </si>
  <si>
    <t>TXN-0450</t>
  </si>
  <si>
    <t>INV-006-73133</t>
  </si>
  <si>
    <t>PO461789</t>
  </si>
  <si>
    <t>GR461789</t>
  </si>
  <si>
    <t>TXN-0451</t>
  </si>
  <si>
    <t>INV-006-67999</t>
  </si>
  <si>
    <t>TXN-0452</t>
  </si>
  <si>
    <t>INV-007-58905</t>
  </si>
  <si>
    <t>PO423206</t>
  </si>
  <si>
    <t>GR423206</t>
  </si>
  <si>
    <t>TXN-0453</t>
  </si>
  <si>
    <t>INV-007-58033</t>
  </si>
  <si>
    <t>PO462221</t>
  </si>
  <si>
    <t>GR462221</t>
  </si>
  <si>
    <t>TXN-0454</t>
  </si>
  <si>
    <t>INV-010-96725</t>
  </si>
  <si>
    <t>PO455164</t>
  </si>
  <si>
    <t>GR455164</t>
  </si>
  <si>
    <t>TXN-0455</t>
  </si>
  <si>
    <t>INV-011-17120</t>
  </si>
  <si>
    <t>PO445229</t>
  </si>
  <si>
    <t>GR445229</t>
  </si>
  <si>
    <t>TXN-0456</t>
  </si>
  <si>
    <t>INV-011-85304</t>
  </si>
  <si>
    <t>PO441500</t>
  </si>
  <si>
    <t>GR441500</t>
  </si>
  <si>
    <t>TXN-0457</t>
  </si>
  <si>
    <t>INV-014-76003</t>
  </si>
  <si>
    <t>PO435043</t>
  </si>
  <si>
    <t>GR435043</t>
  </si>
  <si>
    <t>TXN-0458</t>
  </si>
  <si>
    <t>INV-020-37168</t>
  </si>
  <si>
    <t>PO492392</t>
  </si>
  <si>
    <t>GR492392</t>
  </si>
  <si>
    <t>TXN-0459</t>
  </si>
  <si>
    <t>INV-024-57537</t>
  </si>
  <si>
    <t>PO430947</t>
  </si>
  <si>
    <t>GR430947</t>
  </si>
  <si>
    <t>TXN-0460</t>
  </si>
  <si>
    <t>INV-026-42189</t>
  </si>
  <si>
    <t>PO403631</t>
  </si>
  <si>
    <t>GR403631</t>
  </si>
  <si>
    <t>TXN-0461</t>
  </si>
  <si>
    <t>INV-027-51934</t>
  </si>
  <si>
    <t>PO494409</t>
  </si>
  <si>
    <t>GR494409</t>
  </si>
  <si>
    <t>TXN-0462</t>
  </si>
  <si>
    <t>INV-028-98760</t>
  </si>
  <si>
    <t>TXN-0463</t>
  </si>
  <si>
    <t>INV-028-99404</t>
  </si>
  <si>
    <t>PO441720</t>
  </si>
  <si>
    <t>GR441720</t>
  </si>
  <si>
    <t>TXN-0464</t>
  </si>
  <si>
    <t>INV-031-12942</t>
  </si>
  <si>
    <t>PO453857</t>
  </si>
  <si>
    <t>GR453857</t>
  </si>
  <si>
    <t>TXN-0465</t>
  </si>
  <si>
    <t>INV-032-63296</t>
  </si>
  <si>
    <t>PO401628</t>
  </si>
  <si>
    <t>GR401628</t>
  </si>
  <si>
    <t>TXN-0466</t>
  </si>
  <si>
    <t>INV-035-78534</t>
  </si>
  <si>
    <t>PO483203</t>
  </si>
  <si>
    <t>GR483203</t>
  </si>
  <si>
    <t>TXN-0467</t>
  </si>
  <si>
    <t>INV-036-49739</t>
  </si>
  <si>
    <t>PO443642</t>
  </si>
  <si>
    <t>GR443642</t>
  </si>
  <si>
    <t>TXN-0468</t>
  </si>
  <si>
    <t>INV-038-41608</t>
  </si>
  <si>
    <t>PO486096</t>
  </si>
  <si>
    <t>GR486096</t>
  </si>
  <si>
    <t>TXN-0469</t>
  </si>
  <si>
    <t>INV-003-69510</t>
  </si>
  <si>
    <t>PO492141</t>
  </si>
  <si>
    <t>GR492141</t>
  </si>
  <si>
    <t>TXN-0470</t>
  </si>
  <si>
    <t>INV-003-58422</t>
  </si>
  <si>
    <t>PO434649</t>
  </si>
  <si>
    <t>GR434649</t>
  </si>
  <si>
    <t>TXN-0471</t>
  </si>
  <si>
    <t>INV-021-68554</t>
  </si>
  <si>
    <t>PO430870</t>
  </si>
  <si>
    <t>GR430870</t>
  </si>
  <si>
    <t>TXN-0472</t>
  </si>
  <si>
    <t>INV-012-26735</t>
  </si>
  <si>
    <t>PO407928</t>
  </si>
  <si>
    <t>GR407928</t>
  </si>
  <si>
    <t>TXN-0473</t>
  </si>
  <si>
    <t>INV-014-69593</t>
  </si>
  <si>
    <t>PO409172</t>
  </si>
  <si>
    <t>GR409172</t>
  </si>
  <si>
    <t>TXN-0474</t>
  </si>
  <si>
    <t>INV-010-58953</t>
  </si>
  <si>
    <t>PO450768</t>
  </si>
  <si>
    <t>GR450768</t>
  </si>
  <si>
    <t>TXN-0475</t>
  </si>
  <si>
    <t>INV-032-46265</t>
  </si>
  <si>
    <t>PO455518</t>
  </si>
  <si>
    <t>GR455518</t>
  </si>
  <si>
    <t>TXN-0476</t>
  </si>
  <si>
    <t>INV-007-23606</t>
  </si>
  <si>
    <t>PO485054</t>
  </si>
  <si>
    <t>GR485054</t>
  </si>
  <si>
    <t>TXN-0477</t>
  </si>
  <si>
    <t>INV-021-94607</t>
  </si>
  <si>
    <t>PO488039</t>
  </si>
  <si>
    <t>GR488039</t>
  </si>
  <si>
    <t>TXN-0478</t>
  </si>
  <si>
    <t>INV-038-30290</t>
  </si>
  <si>
    <t>PO493020</t>
  </si>
  <si>
    <t>GR493020</t>
  </si>
  <si>
    <t>TXN-0479</t>
  </si>
  <si>
    <t>INV-038-16674</t>
  </si>
  <si>
    <t>PO451345</t>
  </si>
  <si>
    <t>GR451345</t>
  </si>
  <si>
    <t>TXN-0480</t>
  </si>
  <si>
    <t>INV-002-29973</t>
  </si>
  <si>
    <t>PO481439</t>
  </si>
  <si>
    <t>GR481439</t>
  </si>
  <si>
    <t>TXN-0481</t>
  </si>
  <si>
    <t>INV-002-91948</t>
  </si>
  <si>
    <t>PO451677</t>
  </si>
  <si>
    <t>GR451677</t>
  </si>
  <si>
    <t>TXN-0482</t>
  </si>
  <si>
    <t>INV-007-96334</t>
  </si>
  <si>
    <t>PO401217</t>
  </si>
  <si>
    <t>GR401217</t>
  </si>
  <si>
    <t>TXN-0483</t>
  </si>
  <si>
    <t>INV-008-42053</t>
  </si>
  <si>
    <t>PO401610</t>
  </si>
  <si>
    <t>GR401610</t>
  </si>
  <si>
    <t>TXN-0484</t>
  </si>
  <si>
    <t>INV-009-98635</t>
  </si>
  <si>
    <t>PO432447</t>
  </si>
  <si>
    <t>GR432447</t>
  </si>
  <si>
    <t>TXN-0485</t>
  </si>
  <si>
    <t>INV-011-60930</t>
  </si>
  <si>
    <t>PO482689</t>
  </si>
  <si>
    <t>GR482689</t>
  </si>
  <si>
    <t>TXN-0486</t>
  </si>
  <si>
    <t>INV-013-78146</t>
  </si>
  <si>
    <t>PO400221</t>
  </si>
  <si>
    <t>GR400221</t>
  </si>
  <si>
    <t>TXN-0487</t>
  </si>
  <si>
    <t>TXN-0488</t>
  </si>
  <si>
    <t>INV-016-21133</t>
  </si>
  <si>
    <t>PO477664</t>
  </si>
  <si>
    <t>GR477664</t>
  </si>
  <si>
    <t>TXN-0489</t>
  </si>
  <si>
    <t>INV-021-67163</t>
  </si>
  <si>
    <t>PO483995</t>
  </si>
  <si>
    <t>GR483995</t>
  </si>
  <si>
    <t>TXN-0490</t>
  </si>
  <si>
    <t>INV-025-71993</t>
  </si>
  <si>
    <t>PO497609</t>
  </si>
  <si>
    <t>GR497609</t>
  </si>
  <si>
    <t>TXN-0491</t>
  </si>
  <si>
    <t>INV-025-20363</t>
  </si>
  <si>
    <t>PO484765</t>
  </si>
  <si>
    <t>GR484765</t>
  </si>
  <si>
    <t>TXN-0492</t>
  </si>
  <si>
    <t>INV-025-32957</t>
  </si>
  <si>
    <t>PO414000</t>
  </si>
  <si>
    <t>GR414000</t>
  </si>
  <si>
    <t>TXN-0493</t>
  </si>
  <si>
    <t>INV-032-38329</t>
  </si>
  <si>
    <t>PO439666</t>
  </si>
  <si>
    <t>GR439666</t>
  </si>
  <si>
    <t>TXN-0494</t>
  </si>
  <si>
    <t>INV-038-19289</t>
  </si>
  <si>
    <t>PO479423</t>
  </si>
  <si>
    <t>GR479423</t>
  </si>
  <si>
    <t>TXN-0495</t>
  </si>
  <si>
    <t>INV-008-98724</t>
  </si>
  <si>
    <t>PO428885</t>
  </si>
  <si>
    <t>GR428885</t>
  </si>
  <si>
    <t>TXN-0496</t>
  </si>
  <si>
    <t>INV-026-85784</t>
  </si>
  <si>
    <t>PO412053</t>
  </si>
  <si>
    <t>GR412053</t>
  </si>
  <si>
    <t>TXN-0497</t>
  </si>
  <si>
    <t>INV-036-47701</t>
  </si>
  <si>
    <t>PO491242</t>
  </si>
  <si>
    <t>GR491242</t>
  </si>
  <si>
    <t>TXN-0498</t>
  </si>
  <si>
    <t>INV-022-54669</t>
  </si>
  <si>
    <t>PO431242</t>
  </si>
  <si>
    <t>GR431242</t>
  </si>
  <si>
    <t>TXN-0499</t>
  </si>
  <si>
    <t>INV-035-28643</t>
  </si>
  <si>
    <t>PO434816</t>
  </si>
  <si>
    <t>GR434816</t>
  </si>
  <si>
    <t>TXN-0500</t>
  </si>
  <si>
    <t>INV-037-32946</t>
  </si>
  <si>
    <t>PO404888</t>
  </si>
  <si>
    <t>GR404888</t>
  </si>
  <si>
    <t>TXN-0501</t>
  </si>
  <si>
    <t>INV-002-75809</t>
  </si>
  <si>
    <t>TXN-0502</t>
  </si>
  <si>
    <t>INV-010-75432</t>
  </si>
  <si>
    <t>PO416760</t>
  </si>
  <si>
    <t>GR416760</t>
  </si>
  <si>
    <t>TXN-0503</t>
  </si>
  <si>
    <t>INV-017-54825</t>
  </si>
  <si>
    <t>PO488302</t>
  </si>
  <si>
    <t>GR488302</t>
  </si>
  <si>
    <t>TXN-0504</t>
  </si>
  <si>
    <t>INV-021-18177</t>
  </si>
  <si>
    <t>PO436344</t>
  </si>
  <si>
    <t>GR436344</t>
  </si>
  <si>
    <t>TXN-0505</t>
  </si>
  <si>
    <t>INV-026-27088</t>
  </si>
  <si>
    <t>PO456949</t>
  </si>
  <si>
    <t>GR456949</t>
  </si>
  <si>
    <t>TXN-0506</t>
  </si>
  <si>
    <t>INV-004-17157</t>
  </si>
  <si>
    <t>PO473328</t>
  </si>
  <si>
    <t>GR473328</t>
  </si>
  <si>
    <t>TXN-0507</t>
  </si>
  <si>
    <t>INV-010-31158</t>
  </si>
  <si>
    <t>PO486848</t>
  </si>
  <si>
    <t>GR486848</t>
  </si>
  <si>
    <t>TXN-0508</t>
  </si>
  <si>
    <t>INV-014-82350</t>
  </si>
  <si>
    <t>PO422782</t>
  </si>
  <si>
    <t>GR422782</t>
  </si>
  <si>
    <t>TXN-0509</t>
  </si>
  <si>
    <t>INV-040-45311</t>
  </si>
  <si>
    <t>PO431082</t>
  </si>
  <si>
    <t>GR431082</t>
  </si>
  <si>
    <t>TXN-0510</t>
  </si>
  <si>
    <t>INV-001-32447</t>
  </si>
  <si>
    <t>PO466194</t>
  </si>
  <si>
    <t>GR466194</t>
  </si>
  <si>
    <t>TXN-0511</t>
  </si>
  <si>
    <t>INV-003-69692</t>
  </si>
  <si>
    <t>PO409545</t>
  </si>
  <si>
    <t>GR409545</t>
  </si>
  <si>
    <t>TXN-0512</t>
  </si>
  <si>
    <t>INV-004-72650</t>
  </si>
  <si>
    <t>PO469002</t>
  </si>
  <si>
    <t>GR469002</t>
  </si>
  <si>
    <t>TXN-0513</t>
  </si>
  <si>
    <t>INV-006-31495</t>
  </si>
  <si>
    <t>PO493253</t>
  </si>
  <si>
    <t>GR493253</t>
  </si>
  <si>
    <t>TXN-0514</t>
  </si>
  <si>
    <t>INV-006-53160</t>
  </si>
  <si>
    <t>PO441079</t>
  </si>
  <si>
    <t>GR441079</t>
  </si>
  <si>
    <t>TXN-0515</t>
  </si>
  <si>
    <t>INV-008-79243</t>
  </si>
  <si>
    <t>PO409307</t>
  </si>
  <si>
    <t>GR409307</t>
  </si>
  <si>
    <t>TXN-0516</t>
  </si>
  <si>
    <t>INV-012-57026</t>
  </si>
  <si>
    <t>TXN-0517</t>
  </si>
  <si>
    <t>INV-013-49728</t>
  </si>
  <si>
    <t>PO432632</t>
  </si>
  <si>
    <t>GR432632</t>
  </si>
  <si>
    <t>TXN-0518</t>
  </si>
  <si>
    <t>INV-015-84588</t>
  </si>
  <si>
    <t>PO452402</t>
  </si>
  <si>
    <t>GR452402</t>
  </si>
  <si>
    <t>TXN-0519</t>
  </si>
  <si>
    <t>INV-016-92700</t>
  </si>
  <si>
    <t>PO447371</t>
  </si>
  <si>
    <t>GR447371</t>
  </si>
  <si>
    <t>TXN-0520</t>
  </si>
  <si>
    <t>INV-022-86037</t>
  </si>
  <si>
    <t>PO462717</t>
  </si>
  <si>
    <t>GR462717</t>
  </si>
  <si>
    <t>TXN-0521</t>
  </si>
  <si>
    <t>INV-023-44782</t>
  </si>
  <si>
    <t>PO422838</t>
  </si>
  <si>
    <t>GR422838</t>
  </si>
  <si>
    <t>TXN-0522</t>
  </si>
  <si>
    <t>INV-027-11390</t>
  </si>
  <si>
    <t>PO481789</t>
  </si>
  <si>
    <t>GR481789</t>
  </si>
  <si>
    <t>TXN-0523</t>
  </si>
  <si>
    <t>INV-030-49874</t>
  </si>
  <si>
    <t>PO489922</t>
  </si>
  <si>
    <t>GR489922</t>
  </si>
  <si>
    <t>TXN-0524</t>
  </si>
  <si>
    <t>INV-033-69437</t>
  </si>
  <si>
    <t>PO444914</t>
  </si>
  <si>
    <t>GR444914</t>
  </si>
  <si>
    <t>TXN-0525</t>
  </si>
  <si>
    <t>INV-016-91080</t>
  </si>
  <si>
    <t>PO432728</t>
  </si>
  <si>
    <t>GR432728</t>
  </si>
  <si>
    <t>TXN-0526</t>
  </si>
  <si>
    <t>INV-024-66489</t>
  </si>
  <si>
    <t>PO424561</t>
  </si>
  <si>
    <t>GR424561</t>
  </si>
  <si>
    <t>TXN-0527</t>
  </si>
  <si>
    <t>INV-014-99816</t>
  </si>
  <si>
    <t>TXN-0528</t>
  </si>
  <si>
    <t>INV-028-69298</t>
  </si>
  <si>
    <t>PO445249</t>
  </si>
  <si>
    <t>GR445249</t>
  </si>
  <si>
    <t>TXN-0529</t>
  </si>
  <si>
    <t>INV-029-92863</t>
  </si>
  <si>
    <t>PO413102</t>
  </si>
  <si>
    <t>GR413102</t>
  </si>
  <si>
    <t>TXN-0530</t>
  </si>
  <si>
    <t>INV-030-42329</t>
  </si>
  <si>
    <t>PO496492</t>
  </si>
  <si>
    <t>GR496492</t>
  </si>
  <si>
    <t>TXN-0531</t>
  </si>
  <si>
    <t>INV-033-91376</t>
  </si>
  <si>
    <t>PO494977</t>
  </si>
  <si>
    <t>GR494977</t>
  </si>
  <si>
    <t>TXN-0532</t>
  </si>
  <si>
    <t>INV-010-71936</t>
  </si>
  <si>
    <t>PO483435</t>
  </si>
  <si>
    <t>GR483435</t>
  </si>
  <si>
    <t>TXN-0533</t>
  </si>
  <si>
    <t>INV-002-79393</t>
  </si>
  <si>
    <t>PO461824</t>
  </si>
  <si>
    <t>GR461824</t>
  </si>
  <si>
    <t>TXN-0534</t>
  </si>
  <si>
    <t>INV-006-89638</t>
  </si>
  <si>
    <t>PO494526</t>
  </si>
  <si>
    <t>GR494526</t>
  </si>
  <si>
    <t>TXN-0535</t>
  </si>
  <si>
    <t>INV-023-75991</t>
  </si>
  <si>
    <t>PO422900</t>
  </si>
  <si>
    <t>GR422900</t>
  </si>
  <si>
    <t>TXN-0536</t>
  </si>
  <si>
    <t>INV-029-14546</t>
  </si>
  <si>
    <t>PO473726</t>
  </si>
  <si>
    <t>GR473726</t>
  </si>
  <si>
    <t>TXN-0537</t>
  </si>
  <si>
    <t>INV-033-48684</t>
  </si>
  <si>
    <t>PO463156</t>
  </si>
  <si>
    <t>GR463156</t>
  </si>
  <si>
    <t>TXN-0538</t>
  </si>
  <si>
    <t>INV-037-20745</t>
  </si>
  <si>
    <t>PO481183</t>
  </si>
  <si>
    <t>TXN-0539</t>
  </si>
  <si>
    <t>INV-003-69942</t>
  </si>
  <si>
    <t>PO422047</t>
  </si>
  <si>
    <t>GR422047</t>
  </si>
  <si>
    <t>TXN-0540</t>
  </si>
  <si>
    <t>INV-006-85007</t>
  </si>
  <si>
    <t>PO421352</t>
  </si>
  <si>
    <t>GR421352</t>
  </si>
  <si>
    <t>TXN-0541</t>
  </si>
  <si>
    <t>INV-016-58200</t>
  </si>
  <si>
    <t>PO493804</t>
  </si>
  <si>
    <t>GR493804</t>
  </si>
  <si>
    <t>TXN-0542</t>
  </si>
  <si>
    <t>INV-016-57560</t>
  </si>
  <si>
    <t>PO483748</t>
  </si>
  <si>
    <t>GR483748</t>
  </si>
  <si>
    <t>TXN-0543</t>
  </si>
  <si>
    <t>INV-027-88804</t>
  </si>
  <si>
    <t>PO433612</t>
  </si>
  <si>
    <t>GR433612</t>
  </si>
  <si>
    <t>TXN-0544</t>
  </si>
  <si>
    <t>INV-029-27840</t>
  </si>
  <si>
    <t>PO426569</t>
  </si>
  <si>
    <t>GR426569</t>
  </si>
  <si>
    <t>TXN-0545</t>
  </si>
  <si>
    <t>INV-030-68422</t>
  </si>
  <si>
    <t>PO418702</t>
  </si>
  <si>
    <t>GR418702</t>
  </si>
  <si>
    <t>TXN-0546</t>
  </si>
  <si>
    <t>INV-031-84997</t>
  </si>
  <si>
    <t>PO452098</t>
  </si>
  <si>
    <t>GR452098</t>
  </si>
  <si>
    <t>TXN-0547</t>
  </si>
  <si>
    <t>INV-033-83804</t>
  </si>
  <si>
    <t>PO470004</t>
  </si>
  <si>
    <t>GR470004</t>
  </si>
  <si>
    <t>TXN-0548</t>
  </si>
  <si>
    <t>INV-034-82199</t>
  </si>
  <si>
    <t>PO483238</t>
  </si>
  <si>
    <t>GR483238</t>
  </si>
  <si>
    <t>TXN-0549</t>
  </si>
  <si>
    <t>INV-034-12559</t>
  </si>
  <si>
    <t>PO471258</t>
  </si>
  <si>
    <t>GR471258</t>
  </si>
  <si>
    <t>TXN-0550</t>
  </si>
  <si>
    <t>INV-038-46559</t>
  </si>
  <si>
    <t>PO411359</t>
  </si>
  <si>
    <t>GR411359</t>
  </si>
  <si>
    <t>TXN-0551</t>
  </si>
  <si>
    <t>INV-040-37665</t>
  </si>
  <si>
    <t>PO424535</t>
  </si>
  <si>
    <t>GR424535</t>
  </si>
  <si>
    <t>TXN-0552</t>
  </si>
  <si>
    <t>INV-006-57216</t>
  </si>
  <si>
    <t>PO409351</t>
  </si>
  <si>
    <t>GR409351</t>
  </si>
  <si>
    <t>TXN-0553</t>
  </si>
  <si>
    <t>INV-023-69606</t>
  </si>
  <si>
    <t>PO425496</t>
  </si>
  <si>
    <t>GR425496</t>
  </si>
  <si>
    <t>TXN-0554</t>
  </si>
  <si>
    <t>INV-023-12132</t>
  </si>
  <si>
    <t>PO465987</t>
  </si>
  <si>
    <t>GR465987</t>
  </si>
  <si>
    <t>TXN-0555</t>
  </si>
  <si>
    <t>INV-024-69759</t>
  </si>
  <si>
    <t>PO437274</t>
  </si>
  <si>
    <t>GR437274</t>
  </si>
  <si>
    <t>TXN-0556</t>
  </si>
  <si>
    <t>INV-007-60012</t>
  </si>
  <si>
    <t>PO476027</t>
  </si>
  <si>
    <t>GR476027</t>
  </si>
  <si>
    <t>TXN-0557</t>
  </si>
  <si>
    <t>INV-037-58688</t>
  </si>
  <si>
    <t>PO415432</t>
  </si>
  <si>
    <t>GR415432</t>
  </si>
  <si>
    <t>TXN-0558</t>
  </si>
  <si>
    <t>INV-005-46073</t>
  </si>
  <si>
    <t>PO436827</t>
  </si>
  <si>
    <t>GR436827</t>
  </si>
  <si>
    <t>TXN-0559</t>
  </si>
  <si>
    <t>INV-017-90200</t>
  </si>
  <si>
    <t>PO447925</t>
  </si>
  <si>
    <t>GR447925</t>
  </si>
  <si>
    <t>TXN-0560</t>
  </si>
  <si>
    <t>INV-033-58099</t>
  </si>
  <si>
    <t>PO475543</t>
  </si>
  <si>
    <t>GR475543</t>
  </si>
  <si>
    <t>TXN-0561</t>
  </si>
  <si>
    <t>INV-033-81646</t>
  </si>
  <si>
    <t>PO470848</t>
  </si>
  <si>
    <t>GR470848</t>
  </si>
  <si>
    <t>TXN-0562</t>
  </si>
  <si>
    <t>INV-007-44619</t>
  </si>
  <si>
    <t>PO438800</t>
  </si>
  <si>
    <t>GR438800</t>
  </si>
  <si>
    <t>TXN-0563</t>
  </si>
  <si>
    <t>INV-024-90847</t>
  </si>
  <si>
    <t>PO443816</t>
  </si>
  <si>
    <t>GR443816</t>
  </si>
  <si>
    <t>TXN-0564</t>
  </si>
  <si>
    <t>INV-035-50927</t>
  </si>
  <si>
    <t>PO472323</t>
  </si>
  <si>
    <t>GR472323</t>
  </si>
  <si>
    <t>TXN-0565</t>
  </si>
  <si>
    <t>INV-005-12960</t>
  </si>
  <si>
    <t>PO415084</t>
  </si>
  <si>
    <t>GR415084</t>
  </si>
  <si>
    <t>TXN-0566</t>
  </si>
  <si>
    <t>INV-007-11075</t>
  </si>
  <si>
    <t>PO457464</t>
  </si>
  <si>
    <t>GR457464</t>
  </si>
  <si>
    <t>TXN-0567</t>
  </si>
  <si>
    <t>INV-008-41252</t>
  </si>
  <si>
    <t>PO406258</t>
  </si>
  <si>
    <t>GR406258</t>
  </si>
  <si>
    <t>TXN-0568</t>
  </si>
  <si>
    <t>INV-012-43902</t>
  </si>
  <si>
    <t>PO497113</t>
  </si>
  <si>
    <t>GR497113</t>
  </si>
  <si>
    <t>TXN-0569</t>
  </si>
  <si>
    <t>INV-018-49163</t>
  </si>
  <si>
    <t>TXN-0570</t>
  </si>
  <si>
    <t>INV-020-66973</t>
  </si>
  <si>
    <t>PO421916</t>
  </si>
  <si>
    <t>GR421916</t>
  </si>
  <si>
    <t>TXN-0571</t>
  </si>
  <si>
    <t>INV-029-37494</t>
  </si>
  <si>
    <t>TXN-0572</t>
  </si>
  <si>
    <t>INV-015-65723</t>
  </si>
  <si>
    <t>PO425928</t>
  </si>
  <si>
    <t>GR425928</t>
  </si>
  <si>
    <t>TXN-0573</t>
  </si>
  <si>
    <t>INV-015-97486</t>
  </si>
  <si>
    <t>PO498596</t>
  </si>
  <si>
    <t>GR498596</t>
  </si>
  <si>
    <t>TXN-0574</t>
  </si>
  <si>
    <t>INV-021-84205</t>
  </si>
  <si>
    <t>PO417117</t>
  </si>
  <si>
    <t>GR417117</t>
  </si>
  <si>
    <t>TXN-0575</t>
  </si>
  <si>
    <t>INV-025-36188</t>
  </si>
  <si>
    <t>PO473905</t>
  </si>
  <si>
    <t>GR473905</t>
  </si>
  <si>
    <t>TXN-0576</t>
  </si>
  <si>
    <t>INV-027-59786</t>
  </si>
  <si>
    <t>PO430149</t>
  </si>
  <si>
    <t>GR430149</t>
  </si>
  <si>
    <t>TXN-0577</t>
  </si>
  <si>
    <t>INV-028-85582</t>
  </si>
  <si>
    <t>PO493365</t>
  </si>
  <si>
    <t>GR493365</t>
  </si>
  <si>
    <t>TXN-0578</t>
  </si>
  <si>
    <t>INV-033-85511</t>
  </si>
  <si>
    <t>PO495881</t>
  </si>
  <si>
    <t>GR495881</t>
  </si>
  <si>
    <t>TXN-0579</t>
  </si>
  <si>
    <t>INV-037-64602</t>
  </si>
  <si>
    <t>TXN-0580</t>
  </si>
  <si>
    <t>INV-017-40862</t>
  </si>
  <si>
    <t>PO499177</t>
  </si>
  <si>
    <t>GR499177</t>
  </si>
  <si>
    <t>TXN-0581</t>
  </si>
  <si>
    <t>INV-026-35008</t>
  </si>
  <si>
    <t>TXN-0582</t>
  </si>
  <si>
    <t>INV-027-37222</t>
  </si>
  <si>
    <t>PO465058</t>
  </si>
  <si>
    <t>GR465058</t>
  </si>
  <si>
    <t>TXN-0583</t>
  </si>
  <si>
    <t>INV-035-80685</t>
  </si>
  <si>
    <t>PO491438</t>
  </si>
  <si>
    <t>GR491438</t>
  </si>
  <si>
    <t>TXN-0584</t>
  </si>
  <si>
    <t>INV-013-21725</t>
  </si>
  <si>
    <t>PO407754</t>
  </si>
  <si>
    <t>TXN-0585</t>
  </si>
  <si>
    <t>INV-016-52762</t>
  </si>
  <si>
    <t>PO451505</t>
  </si>
  <si>
    <t>GR451505</t>
  </si>
  <si>
    <t>TXN-0586</t>
  </si>
  <si>
    <t>INV-033-37839</t>
  </si>
  <si>
    <t>PO476765</t>
  </si>
  <si>
    <t>GR476765</t>
  </si>
  <si>
    <t>TXN-0587</t>
  </si>
  <si>
    <t>INV-034-64896</t>
  </si>
  <si>
    <t>PO417978</t>
  </si>
  <si>
    <t>GR417978</t>
  </si>
  <si>
    <t>TXN-0588</t>
  </si>
  <si>
    <t>INV-035-93584</t>
  </si>
  <si>
    <t>PO493298</t>
  </si>
  <si>
    <t>GR493298</t>
  </si>
  <si>
    <t>TXN-0589</t>
  </si>
  <si>
    <t>INV-006-14039</t>
  </si>
  <si>
    <t>PO486602</t>
  </si>
  <si>
    <t>GR486602</t>
  </si>
  <si>
    <t>TXN-0590</t>
  </si>
  <si>
    <t>INV-019-97965</t>
  </si>
  <si>
    <t>PO457817</t>
  </si>
  <si>
    <t>GR457817</t>
  </si>
  <si>
    <t>TXN-0591</t>
  </si>
  <si>
    <t>INV-020-81576</t>
  </si>
  <si>
    <t>TXN-0592</t>
  </si>
  <si>
    <t>INV-004-42007</t>
  </si>
  <si>
    <t>PO419080</t>
  </si>
  <si>
    <t>GR419080</t>
  </si>
  <si>
    <t>TXN-0593</t>
  </si>
  <si>
    <t>INV-005-80571</t>
  </si>
  <si>
    <t>PO402583</t>
  </si>
  <si>
    <t>GR402583</t>
  </si>
  <si>
    <t>TXN-0594</t>
  </si>
  <si>
    <t>INV-016-28528</t>
  </si>
  <si>
    <t>PO490890</t>
  </si>
  <si>
    <t>GR490890</t>
  </si>
  <si>
    <t>TXN-0595</t>
  </si>
  <si>
    <t>INV-016-79041</t>
  </si>
  <si>
    <t>PO417206</t>
  </si>
  <si>
    <t>GR417206</t>
  </si>
  <si>
    <t>TXN-0596</t>
  </si>
  <si>
    <t>INV-019-59105</t>
  </si>
  <si>
    <t>PO481167</t>
  </si>
  <si>
    <t>GR481167</t>
  </si>
  <si>
    <t>TXN-0597</t>
  </si>
  <si>
    <t>INV-035-23955</t>
  </si>
  <si>
    <t>PO468515</t>
  </si>
  <si>
    <t>GR468515</t>
  </si>
  <si>
    <t>TXN-0598</t>
  </si>
  <si>
    <t>INV-040-50562</t>
  </si>
  <si>
    <t>PO431348</t>
  </si>
  <si>
    <t>GR431348</t>
  </si>
  <si>
    <t>TXN-0599</t>
  </si>
  <si>
    <t>INV-001-63183</t>
  </si>
  <si>
    <t>PO452928</t>
  </si>
  <si>
    <t>GR452928</t>
  </si>
  <si>
    <t>TXN-0600</t>
  </si>
  <si>
    <t>INV-020-78697</t>
  </si>
  <si>
    <t>PO478167</t>
  </si>
  <si>
    <t>GR478167</t>
  </si>
  <si>
    <t>TXN-0601</t>
  </si>
  <si>
    <t>INV-025-67923</t>
  </si>
  <si>
    <t>PO408126</t>
  </si>
  <si>
    <t>GR408126</t>
  </si>
  <si>
    <t>TXN-0602</t>
  </si>
  <si>
    <t>INV-029-13251</t>
  </si>
  <si>
    <t>PO421707</t>
  </si>
  <si>
    <t>GR421707</t>
  </si>
  <si>
    <t>TXN-0603</t>
  </si>
  <si>
    <t>INV-011-23014</t>
  </si>
  <si>
    <t>PO465325</t>
  </si>
  <si>
    <t>GR465325</t>
  </si>
  <si>
    <t>TXN-0604</t>
  </si>
  <si>
    <t>INV-020-59501</t>
  </si>
  <si>
    <t>PO493631</t>
  </si>
  <si>
    <t>GR493631</t>
  </si>
  <si>
    <t>TXN-0605</t>
  </si>
  <si>
    <t>INV-024-73736</t>
  </si>
  <si>
    <t>PO444791</t>
  </si>
  <si>
    <t>GR444791</t>
  </si>
  <si>
    <t>TXN-0606</t>
  </si>
  <si>
    <t>INV-030-83792</t>
  </si>
  <si>
    <t>PO481416</t>
  </si>
  <si>
    <t>GR481416</t>
  </si>
  <si>
    <t>TXN-0607</t>
  </si>
  <si>
    <t>INV-031-66482</t>
  </si>
  <si>
    <t>PO414089</t>
  </si>
  <si>
    <t>GR414089</t>
  </si>
  <si>
    <t>TXN-0608</t>
  </si>
  <si>
    <t>INV-035-14221</t>
  </si>
  <si>
    <t>PO474393</t>
  </si>
  <si>
    <t>GR474393</t>
  </si>
  <si>
    <t>TXN-0609</t>
  </si>
  <si>
    <t>INV-004-64109</t>
  </si>
  <si>
    <t>PO418672</t>
  </si>
  <si>
    <t>GR418672</t>
  </si>
  <si>
    <t>TXN-0610</t>
  </si>
  <si>
    <t>INV-011-25517</t>
  </si>
  <si>
    <t>PO494298</t>
  </si>
  <si>
    <t>GR494298</t>
  </si>
  <si>
    <t>TXN-0611</t>
  </si>
  <si>
    <t>INV-024-28630</t>
  </si>
  <si>
    <t>PO418726</t>
  </si>
  <si>
    <t>GR418726</t>
  </si>
  <si>
    <t>TXN-0612</t>
  </si>
  <si>
    <t>INV-040-75136</t>
  </si>
  <si>
    <t>PO426444</t>
  </si>
  <si>
    <t>GR426444</t>
  </si>
  <si>
    <t>TXN-0613</t>
  </si>
  <si>
    <t>INV-013-57089</t>
  </si>
  <si>
    <t>PO482656</t>
  </si>
  <si>
    <t>GR482656</t>
  </si>
  <si>
    <t>TXN-0614</t>
  </si>
  <si>
    <t>INV-019-77353</t>
  </si>
  <si>
    <t>PO410069</t>
  </si>
  <si>
    <t>GR410069</t>
  </si>
  <si>
    <t>TXN-0615</t>
  </si>
  <si>
    <t>INV-019-26803</t>
  </si>
  <si>
    <t>PO405913</t>
  </si>
  <si>
    <t>GR405913</t>
  </si>
  <si>
    <t>TXN-0616</t>
  </si>
  <si>
    <t>INV-034-93924</t>
  </si>
  <si>
    <t>PO422973</t>
  </si>
  <si>
    <t>GR422973</t>
  </si>
  <si>
    <t>TXN-0617</t>
  </si>
  <si>
    <t>INV-036-46671</t>
  </si>
  <si>
    <t>PO401035</t>
  </si>
  <si>
    <t>GR401035</t>
  </si>
  <si>
    <t>TXN-0618</t>
  </si>
  <si>
    <t>INV-010-39552</t>
  </si>
  <si>
    <t>PO492973</t>
  </si>
  <si>
    <t>GR492973</t>
  </si>
  <si>
    <t>TXN-0619</t>
  </si>
  <si>
    <t>INV-004-85748</t>
  </si>
  <si>
    <t>PO413579</t>
  </si>
  <si>
    <t>GR413579</t>
  </si>
  <si>
    <t>TXN-0620</t>
  </si>
  <si>
    <t>INV-006-12859</t>
  </si>
  <si>
    <t>PO455296</t>
  </si>
  <si>
    <t>GR455296</t>
  </si>
  <si>
    <t>TXN-0621</t>
  </si>
  <si>
    <t>INV-007-88105</t>
  </si>
  <si>
    <t>PO489212</t>
  </si>
  <si>
    <t>GR489212</t>
  </si>
  <si>
    <t>TXN-0622</t>
  </si>
  <si>
    <t>INV-016-17857</t>
  </si>
  <si>
    <t>PO414475</t>
  </si>
  <si>
    <t>GR414475</t>
  </si>
  <si>
    <t>TXN-0623</t>
  </si>
  <si>
    <t>INV-019-99037</t>
  </si>
  <si>
    <t>PO467425</t>
  </si>
  <si>
    <t>GR467425</t>
  </si>
  <si>
    <t>TXN-0624</t>
  </si>
  <si>
    <t>INV-023-97821</t>
  </si>
  <si>
    <t>PO411629</t>
  </si>
  <si>
    <t>GR411629</t>
  </si>
  <si>
    <t>TXN-0625</t>
  </si>
  <si>
    <t>INV-024-65163</t>
  </si>
  <si>
    <t>PO474498</t>
  </si>
  <si>
    <t>GR474498</t>
  </si>
  <si>
    <t>TXN-0626</t>
  </si>
  <si>
    <t>INV-027-42990</t>
  </si>
  <si>
    <t>PO447333</t>
  </si>
  <si>
    <t>GR447333</t>
  </si>
  <si>
    <t>TXN-0627</t>
  </si>
  <si>
    <t>INV-001-52587</t>
  </si>
  <si>
    <t>PO459388</t>
  </si>
  <si>
    <t>GR459388</t>
  </si>
  <si>
    <t>TXN-0628</t>
  </si>
  <si>
    <t>INV-002-76655</t>
  </si>
  <si>
    <t>PO449899</t>
  </si>
  <si>
    <t>GR449899</t>
  </si>
  <si>
    <t>TXN-0629</t>
  </si>
  <si>
    <t>INV-020-58354</t>
  </si>
  <si>
    <t>PO401044</t>
  </si>
  <si>
    <t>GR401044</t>
  </si>
  <si>
    <t>TXN-0630</t>
  </si>
  <si>
    <t>INV-023-97932</t>
  </si>
  <si>
    <t>PO493441</t>
  </si>
  <si>
    <t>GR493441</t>
  </si>
  <si>
    <t>TXN-0631</t>
  </si>
  <si>
    <t>INV-026-81550</t>
  </si>
  <si>
    <t>PO475493</t>
  </si>
  <si>
    <t>GR475493</t>
  </si>
  <si>
    <t>TXN-0632</t>
  </si>
  <si>
    <t>INV-028-77760</t>
  </si>
  <si>
    <t>PO490433</t>
  </si>
  <si>
    <t>TXN-0633</t>
  </si>
  <si>
    <t>INV-001-47298</t>
  </si>
  <si>
    <t>PO443914</t>
  </si>
  <si>
    <t>GR443914</t>
  </si>
  <si>
    <t>TXN-0634</t>
  </si>
  <si>
    <t>INV-029-54430</t>
  </si>
  <si>
    <t>PO459394</t>
  </si>
  <si>
    <t>TXN-0635</t>
  </si>
  <si>
    <t>INV-038-21648</t>
  </si>
  <si>
    <t>PO495374</t>
  </si>
  <si>
    <t>GR495374</t>
  </si>
  <si>
    <t>TXN-0636</t>
  </si>
  <si>
    <t>INV-039-56380</t>
  </si>
  <si>
    <t>PO481689</t>
  </si>
  <si>
    <t>GR481689</t>
  </si>
  <si>
    <t>TXN-0637</t>
  </si>
  <si>
    <t>INV-001-50306</t>
  </si>
  <si>
    <t>PO449319</t>
  </si>
  <si>
    <t>GR449319</t>
  </si>
  <si>
    <t>TXN-0638</t>
  </si>
  <si>
    <t>INV-002-54801</t>
  </si>
  <si>
    <t>PO409725</t>
  </si>
  <si>
    <t>GR409725</t>
  </si>
  <si>
    <t>TXN-0639</t>
  </si>
  <si>
    <t>INV-005-17589</t>
  </si>
  <si>
    <t>PO431278</t>
  </si>
  <si>
    <t>GR431278</t>
  </si>
  <si>
    <t>TXN-0640</t>
  </si>
  <si>
    <t>INV-025-33321</t>
  </si>
  <si>
    <t>PO434690</t>
  </si>
  <si>
    <t>GR434690</t>
  </si>
  <si>
    <t>TXN-0641</t>
  </si>
  <si>
    <t>INV-026-74865</t>
  </si>
  <si>
    <t>PO431370</t>
  </si>
  <si>
    <t>GR431370</t>
  </si>
  <si>
    <t>TXN-0642</t>
  </si>
  <si>
    <t>INV-032-43862</t>
  </si>
  <si>
    <t>PO446507</t>
  </si>
  <si>
    <t>GR446507</t>
  </si>
  <si>
    <t>TXN-0643</t>
  </si>
  <si>
    <t>INV-004-84044</t>
  </si>
  <si>
    <t>PO470769</t>
  </si>
  <si>
    <t>GR470769</t>
  </si>
  <si>
    <t>TXN-0644</t>
  </si>
  <si>
    <t>INV-010-82551</t>
  </si>
  <si>
    <t>PO401461</t>
  </si>
  <si>
    <t>GR401461</t>
  </si>
  <si>
    <t>TXN-0645</t>
  </si>
  <si>
    <t>INV-020-25408</t>
  </si>
  <si>
    <t>PO423684</t>
  </si>
  <si>
    <t>GR423684</t>
  </si>
  <si>
    <t>TXN-0646</t>
  </si>
  <si>
    <t>INV-022-44282</t>
  </si>
  <si>
    <t>PO401498</t>
  </si>
  <si>
    <t>GR401498</t>
  </si>
  <si>
    <t>TXN-0647</t>
  </si>
  <si>
    <t>INV-025-84964</t>
  </si>
  <si>
    <t>PO497316</t>
  </si>
  <si>
    <t>GR497316</t>
  </si>
  <si>
    <t>TXN-0648</t>
  </si>
  <si>
    <t>INV-005-47243</t>
  </si>
  <si>
    <t>PO450667</t>
  </si>
  <si>
    <t>GR450667</t>
  </si>
  <si>
    <t>TXN-0649</t>
  </si>
  <si>
    <t>INV-001-31178</t>
  </si>
  <si>
    <t>PO434335</t>
  </si>
  <si>
    <t>TXN-0650</t>
  </si>
  <si>
    <t>INV-008-64079</t>
  </si>
  <si>
    <t>PO496698</t>
  </si>
  <si>
    <t>GR496698</t>
  </si>
  <si>
    <t>TXN-0651</t>
  </si>
  <si>
    <t>INV-009-51676</t>
  </si>
  <si>
    <t>PO490128</t>
  </si>
  <si>
    <t>GR490128</t>
  </si>
  <si>
    <t>TXN-0652</t>
  </si>
  <si>
    <t>INV-015-80208</t>
  </si>
  <si>
    <t>PO467699</t>
  </si>
  <si>
    <t>GR467699</t>
  </si>
  <si>
    <t>TXN-0653</t>
  </si>
  <si>
    <t>INV-016-79588</t>
  </si>
  <si>
    <t>PO472544</t>
  </si>
  <si>
    <t>GR472544</t>
  </si>
  <si>
    <t>TXN-0654</t>
  </si>
  <si>
    <t>INV-021-58567</t>
  </si>
  <si>
    <t>PO417139</t>
  </si>
  <si>
    <t>GR417139</t>
  </si>
  <si>
    <t>TXN-0655</t>
  </si>
  <si>
    <t>INV-024-67554</t>
  </si>
  <si>
    <t>PO426462</t>
  </si>
  <si>
    <t>GR426462</t>
  </si>
  <si>
    <t>TXN-0656</t>
  </si>
  <si>
    <t>INV-025-50405</t>
  </si>
  <si>
    <t>PO400680</t>
  </si>
  <si>
    <t>GR400680</t>
  </si>
  <si>
    <t>TXN-0657</t>
  </si>
  <si>
    <t>INV-032-57281</t>
  </si>
  <si>
    <t>PO480837</t>
  </si>
  <si>
    <t>GR480837</t>
  </si>
  <si>
    <t>TXN-0658</t>
  </si>
  <si>
    <t>INV-034-74392</t>
  </si>
  <si>
    <t>PO441358</t>
  </si>
  <si>
    <t>GR441358</t>
  </si>
  <si>
    <t>TXN-0659</t>
  </si>
  <si>
    <t>INV-004-73461</t>
  </si>
  <si>
    <t>PO408579</t>
  </si>
  <si>
    <t>GR408579</t>
  </si>
  <si>
    <t>TXN-0660</t>
  </si>
  <si>
    <t>INV-007-21537</t>
  </si>
  <si>
    <t>PO469672</t>
  </si>
  <si>
    <t>GR469672</t>
  </si>
  <si>
    <t>TXN-0661</t>
  </si>
  <si>
    <t>INV-011-22217</t>
  </si>
  <si>
    <t>PO453476</t>
  </si>
  <si>
    <t>GR453476</t>
  </si>
  <si>
    <t>TXN-0662</t>
  </si>
  <si>
    <t>INV-013-93000</t>
  </si>
  <si>
    <t>PO406094</t>
  </si>
  <si>
    <t>GR406094</t>
  </si>
  <si>
    <t>TXN-0663</t>
  </si>
  <si>
    <t>INV-017-99074</t>
  </si>
  <si>
    <t>PO446018</t>
  </si>
  <si>
    <t>GR446018</t>
  </si>
  <si>
    <t>TXN-0664</t>
  </si>
  <si>
    <t>INV-026-45203</t>
  </si>
  <si>
    <t>PO462287</t>
  </si>
  <si>
    <t>GR462287</t>
  </si>
  <si>
    <t>TXN-0665</t>
  </si>
  <si>
    <t>INV-031-21665</t>
  </si>
  <si>
    <t>PO488032</t>
  </si>
  <si>
    <t>GR488032</t>
  </si>
  <si>
    <t>TXN-0666</t>
  </si>
  <si>
    <t>INV-038-58182</t>
  </si>
  <si>
    <t>PO454328</t>
  </si>
  <si>
    <t>GR454328</t>
  </si>
  <si>
    <t>TXN-0667</t>
  </si>
  <si>
    <t>INV-032-45842</t>
  </si>
  <si>
    <t>PO494589</t>
  </si>
  <si>
    <t>GR494589</t>
  </si>
  <si>
    <t>TXN-0668</t>
  </si>
  <si>
    <t>INV-036-37487</t>
  </si>
  <si>
    <t>PO426330</t>
  </si>
  <si>
    <t>GR426330</t>
  </si>
  <si>
    <t>TXN-0669</t>
  </si>
  <si>
    <t>INV-001-12981</t>
  </si>
  <si>
    <t>PO461759</t>
  </si>
  <si>
    <t>GR461759</t>
  </si>
  <si>
    <t>TXN-0670</t>
  </si>
  <si>
    <t>INV-007-85740</t>
  </si>
  <si>
    <t>PO461000</t>
  </si>
  <si>
    <t>GR461000</t>
  </si>
  <si>
    <t>TXN-0671</t>
  </si>
  <si>
    <t>INV-020-97852</t>
  </si>
  <si>
    <t>PO499267</t>
  </si>
  <si>
    <t>GR499267</t>
  </si>
  <si>
    <t>TXN-0672</t>
  </si>
  <si>
    <t>INV-008-58449</t>
  </si>
  <si>
    <t>PO431476</t>
  </si>
  <si>
    <t>GR431476</t>
  </si>
  <si>
    <t>TXN-0673</t>
  </si>
  <si>
    <t>INV-013-72193</t>
  </si>
  <si>
    <t>PO462797</t>
  </si>
  <si>
    <t>GR462797</t>
  </si>
  <si>
    <t>TXN-0674</t>
  </si>
  <si>
    <t>INV-014-76144</t>
  </si>
  <si>
    <t>PO439563</t>
  </si>
  <si>
    <t>GR439563</t>
  </si>
  <si>
    <t>TXN-0675</t>
  </si>
  <si>
    <t>INV-018-43468</t>
  </si>
  <si>
    <t>PO412881</t>
  </si>
  <si>
    <t>GR412881</t>
  </si>
  <si>
    <t>TXN-0676</t>
  </si>
  <si>
    <t>INV-027-26683</t>
  </si>
  <si>
    <t>PO472667</t>
  </si>
  <si>
    <t>GR472667</t>
  </si>
  <si>
    <t>TXN-0677</t>
  </si>
  <si>
    <t>INV-037-36287</t>
  </si>
  <si>
    <t>PO442058</t>
  </si>
  <si>
    <t>GR442058</t>
  </si>
  <si>
    <t>TXN-0678</t>
  </si>
  <si>
    <t>INV-038-52688</t>
  </si>
  <si>
    <t>PO488716</t>
  </si>
  <si>
    <t>GR488716</t>
  </si>
  <si>
    <t>TXN-0679</t>
  </si>
  <si>
    <t>INV-002-99764</t>
  </si>
  <si>
    <t>PO464437</t>
  </si>
  <si>
    <t>GR464437</t>
  </si>
  <si>
    <t>TXN-0680</t>
  </si>
  <si>
    <t>INV-004-64594</t>
  </si>
  <si>
    <t>PO456925</t>
  </si>
  <si>
    <t>GR456925</t>
  </si>
  <si>
    <t>TXN-0681</t>
  </si>
  <si>
    <t>INV-005-85527</t>
  </si>
  <si>
    <t>PO490386</t>
  </si>
  <si>
    <t>GR490386</t>
  </si>
  <si>
    <t>TXN-0682</t>
  </si>
  <si>
    <t>INV-007-67261</t>
  </si>
  <si>
    <t>PO420644</t>
  </si>
  <si>
    <t>GR420644</t>
  </si>
  <si>
    <t>TXN-0683</t>
  </si>
  <si>
    <t>INV-009-20819</t>
  </si>
  <si>
    <t>PO408943</t>
  </si>
  <si>
    <t>GR408943</t>
  </si>
  <si>
    <t>TXN-0684</t>
  </si>
  <si>
    <t>INV-011-48188</t>
  </si>
  <si>
    <t>PO485591</t>
  </si>
  <si>
    <t>GR485591</t>
  </si>
  <si>
    <t>TXN-0685</t>
  </si>
  <si>
    <t>INV-017-41056</t>
  </si>
  <si>
    <t>PO415386</t>
  </si>
  <si>
    <t>GR415386</t>
  </si>
  <si>
    <t>TXN-0686</t>
  </si>
  <si>
    <t>INV-018-28136</t>
  </si>
  <si>
    <t>PO410561</t>
  </si>
  <si>
    <t>GR410561</t>
  </si>
  <si>
    <t>TXN-0687</t>
  </si>
  <si>
    <t>INV-021-31311</t>
  </si>
  <si>
    <t>PO470761</t>
  </si>
  <si>
    <t>GR470761</t>
  </si>
  <si>
    <t>TXN-0688</t>
  </si>
  <si>
    <t>INV-022-91039</t>
  </si>
  <si>
    <t>PO498652</t>
  </si>
  <si>
    <t>GR498652</t>
  </si>
  <si>
    <t>TXN-0689</t>
  </si>
  <si>
    <t>INV-022-72303</t>
  </si>
  <si>
    <t>PO408567</t>
  </si>
  <si>
    <t>GR408567</t>
  </si>
  <si>
    <t>TXN-0690</t>
  </si>
  <si>
    <t>INV-023-68580</t>
  </si>
  <si>
    <t>PO496537</t>
  </si>
  <si>
    <t>GR496537</t>
  </si>
  <si>
    <t>TXN-0691</t>
  </si>
  <si>
    <t>INV-023-62870</t>
  </si>
  <si>
    <t>PO489884</t>
  </si>
  <si>
    <t>TXN-0692</t>
  </si>
  <si>
    <t>INV-026-43913</t>
  </si>
  <si>
    <t>PO412924</t>
  </si>
  <si>
    <t>GR412924</t>
  </si>
  <si>
    <t>TXN-0693</t>
  </si>
  <si>
    <t>INV-030-24790</t>
  </si>
  <si>
    <t>PO495030</t>
  </si>
  <si>
    <t>GR495030</t>
  </si>
  <si>
    <t>TXN-0694</t>
  </si>
  <si>
    <t>INV-034-25544</t>
  </si>
  <si>
    <t>PO403769</t>
  </si>
  <si>
    <t>GR403769</t>
  </si>
  <si>
    <t>TXN-0695</t>
  </si>
  <si>
    <t>INV-037-62162</t>
  </si>
  <si>
    <t>PO427462</t>
  </si>
  <si>
    <t>GR427462</t>
  </si>
  <si>
    <t>TXN-0696</t>
  </si>
  <si>
    <t>INV-038-72294</t>
  </si>
  <si>
    <t>PO469607</t>
  </si>
  <si>
    <t>GR469607</t>
  </si>
  <si>
    <t>TXN-0697</t>
  </si>
  <si>
    <t>INV-004-60324</t>
  </si>
  <si>
    <t>PO425575</t>
  </si>
  <si>
    <t>GR425575</t>
  </si>
  <si>
    <t>TXN-0698</t>
  </si>
  <si>
    <t>INV-006-46046</t>
  </si>
  <si>
    <t>PO416540</t>
  </si>
  <si>
    <t>GR416540</t>
  </si>
  <si>
    <t>TXN-0699</t>
  </si>
  <si>
    <t>INV-012-42527</t>
  </si>
  <si>
    <t>PO496345</t>
  </si>
  <si>
    <t>GR496345</t>
  </si>
  <si>
    <t>TXN-0700</t>
  </si>
  <si>
    <t>INV-030-33091</t>
  </si>
  <si>
    <t>PO458355</t>
  </si>
  <si>
    <t>GR458355</t>
  </si>
  <si>
    <t>TXN-0701</t>
  </si>
  <si>
    <t>INV-010-90689</t>
  </si>
  <si>
    <t>PO481968</t>
  </si>
  <si>
    <t>GR481968</t>
  </si>
  <si>
    <t>TXN-0702</t>
  </si>
  <si>
    <t>INV-024-95905</t>
  </si>
  <si>
    <t>PO477840</t>
  </si>
  <si>
    <t>GR477840</t>
  </si>
  <si>
    <t>TXN-0703</t>
  </si>
  <si>
    <t>INV-027-10679</t>
  </si>
  <si>
    <t>PO418018</t>
  </si>
  <si>
    <t>GR418018</t>
  </si>
  <si>
    <t>TXN-0704</t>
  </si>
  <si>
    <t>INV-005-25818</t>
  </si>
  <si>
    <t>PO429712</t>
  </si>
  <si>
    <t>GR429712</t>
  </si>
  <si>
    <t>TXN-0705</t>
  </si>
  <si>
    <t>INV-020-12408</t>
  </si>
  <si>
    <t>PO420578</t>
  </si>
  <si>
    <t>TXN-0706</t>
  </si>
  <si>
    <t>INV-030-69566</t>
  </si>
  <si>
    <t>PO429218</t>
  </si>
  <si>
    <t>GR429218</t>
  </si>
  <si>
    <t>TXN-0707</t>
  </si>
  <si>
    <t>INV-038-52312</t>
  </si>
  <si>
    <t>PO439229</t>
  </si>
  <si>
    <t>GR439229</t>
  </si>
  <si>
    <t>TXN-0708</t>
  </si>
  <si>
    <t>INV-022-13816</t>
  </si>
  <si>
    <t>PO480739</t>
  </si>
  <si>
    <t>GR480739</t>
  </si>
  <si>
    <t>TXN-0709</t>
  </si>
  <si>
    <t>TXN-0710</t>
  </si>
  <si>
    <t>INV-030-86304</t>
  </si>
  <si>
    <t>PO448114</t>
  </si>
  <si>
    <t>GR448114</t>
  </si>
  <si>
    <t>TXN-0711</t>
  </si>
  <si>
    <t>INV-032-89433</t>
  </si>
  <si>
    <t>PO492280</t>
  </si>
  <si>
    <t>GR492280</t>
  </si>
  <si>
    <t>TXN-0712</t>
  </si>
  <si>
    <t>INV-040-37594</t>
  </si>
  <si>
    <t>PO455567</t>
  </si>
  <si>
    <t>GR455567</t>
  </si>
  <si>
    <t>TXN-0713</t>
  </si>
  <si>
    <t>INV-001-80545</t>
  </si>
  <si>
    <t>PO454921</t>
  </si>
  <si>
    <t>GR454921</t>
  </si>
  <si>
    <t>TXN-0714</t>
  </si>
  <si>
    <t>INV-010-78303</t>
  </si>
  <si>
    <t>PO427114</t>
  </si>
  <si>
    <t>GR427114</t>
  </si>
  <si>
    <t>TXN-0715</t>
  </si>
  <si>
    <t>INV-010-89670</t>
  </si>
  <si>
    <t>PO479036</t>
  </si>
  <si>
    <t>GR479036</t>
  </si>
  <si>
    <t>TXN-0716</t>
  </si>
  <si>
    <t>INV-013-29358</t>
  </si>
  <si>
    <t>PO484599</t>
  </si>
  <si>
    <t>GR484599</t>
  </si>
  <si>
    <t>TXN-0717</t>
  </si>
  <si>
    <t>INV-015-80010</t>
  </si>
  <si>
    <t>PO492801</t>
  </si>
  <si>
    <t>GR492801</t>
  </si>
  <si>
    <t>TXN-0718</t>
  </si>
  <si>
    <t>INV-016-13584</t>
  </si>
  <si>
    <t>PO476916</t>
  </si>
  <si>
    <t>GR476916</t>
  </si>
  <si>
    <t>TXN-0719</t>
  </si>
  <si>
    <t>INV-018-11859</t>
  </si>
  <si>
    <t>TXN-0720</t>
  </si>
  <si>
    <t>INV-019-98906</t>
  </si>
  <si>
    <t>PO486203</t>
  </si>
  <si>
    <t>GR486203</t>
  </si>
  <si>
    <t>TXN-0721</t>
  </si>
  <si>
    <t>INV-020-99399</t>
  </si>
  <si>
    <t>PO427535</t>
  </si>
  <si>
    <t>GR427535</t>
  </si>
  <si>
    <t>TXN-0722</t>
  </si>
  <si>
    <t>INV-029-86568</t>
  </si>
  <si>
    <t>PO490892</t>
  </si>
  <si>
    <t>GR490892</t>
  </si>
  <si>
    <t>TXN-0723</t>
  </si>
  <si>
    <t>INV-031-67925</t>
  </si>
  <si>
    <t>PO418220</t>
  </si>
  <si>
    <t>GR418220</t>
  </si>
  <si>
    <t>TXN-0724</t>
  </si>
  <si>
    <t>INV-032-79523</t>
  </si>
  <si>
    <t>PO441591</t>
  </si>
  <si>
    <t>GR441591</t>
  </si>
  <si>
    <t>TXN-0725</t>
  </si>
  <si>
    <t>INV-032-29331</t>
  </si>
  <si>
    <t>TXN-0726</t>
  </si>
  <si>
    <t>INV-004-76207</t>
  </si>
  <si>
    <t>PO460846</t>
  </si>
  <si>
    <t>GR460846</t>
  </si>
  <si>
    <t>TXN-0727</t>
  </si>
  <si>
    <t>INV-012-12817</t>
  </si>
  <si>
    <t>PO425688</t>
  </si>
  <si>
    <t>GR425688</t>
  </si>
  <si>
    <t>TXN-0728</t>
  </si>
  <si>
    <t>INV-039-20646</t>
  </si>
  <si>
    <t>PO403718</t>
  </si>
  <si>
    <t>GR403718</t>
  </si>
  <si>
    <t>TXN-0729</t>
  </si>
  <si>
    <t>INV-040-13800</t>
  </si>
  <si>
    <t>PO417049</t>
  </si>
  <si>
    <t>GR417049</t>
  </si>
  <si>
    <t>TXN-0730</t>
  </si>
  <si>
    <t>INV-003-21382</t>
  </si>
  <si>
    <t>PO420636</t>
  </si>
  <si>
    <t>GR420636</t>
  </si>
  <si>
    <t>TXN-0731</t>
  </si>
  <si>
    <t>INV-023-10864</t>
  </si>
  <si>
    <t>PO479195</t>
  </si>
  <si>
    <t>GR479195</t>
  </si>
  <si>
    <t>TXN-0732</t>
  </si>
  <si>
    <t>INV-004-69511</t>
  </si>
  <si>
    <t>PO461455</t>
  </si>
  <si>
    <t>GR461455</t>
  </si>
  <si>
    <t>TXN-0733</t>
  </si>
  <si>
    <t>INV-008-60692</t>
  </si>
  <si>
    <t>PO446919</t>
  </si>
  <si>
    <t>GR446919</t>
  </si>
  <si>
    <t>TXN-0734</t>
  </si>
  <si>
    <t>INV-009-12087</t>
  </si>
  <si>
    <t>PO411892</t>
  </si>
  <si>
    <t>GR411892</t>
  </si>
  <si>
    <t>TXN-0735</t>
  </si>
  <si>
    <t>INV-025-42477</t>
  </si>
  <si>
    <t>PO418327</t>
  </si>
  <si>
    <t>GR418327</t>
  </si>
  <si>
    <t>TXN-0736</t>
  </si>
  <si>
    <t>INV-026-77861</t>
  </si>
  <si>
    <t>PO426255</t>
  </si>
  <si>
    <t>GR426255</t>
  </si>
  <si>
    <t>TXN-0737</t>
  </si>
  <si>
    <t>INV-006-11850</t>
  </si>
  <si>
    <t>PO415381</t>
  </si>
  <si>
    <t>GR415381</t>
  </si>
  <si>
    <t>TXN-0738</t>
  </si>
  <si>
    <t>INV-011-85223</t>
  </si>
  <si>
    <t>PO413487</t>
  </si>
  <si>
    <t>GR413487</t>
  </si>
  <si>
    <t>TXN-0739</t>
  </si>
  <si>
    <t>INV-032-43980</t>
  </si>
  <si>
    <t>PO494472</t>
  </si>
  <si>
    <t>GR494472</t>
  </si>
  <si>
    <t>TXN-0740</t>
  </si>
  <si>
    <t>INV-003-19038</t>
  </si>
  <si>
    <t>PO448571</t>
  </si>
  <si>
    <t>GR448571</t>
  </si>
  <si>
    <t>TXN-0741</t>
  </si>
  <si>
    <t>INV-012-73762</t>
  </si>
  <si>
    <t>PO425954</t>
  </si>
  <si>
    <t>GR425954</t>
  </si>
  <si>
    <t>TXN-0742</t>
  </si>
  <si>
    <t>INV-016-49169</t>
  </si>
  <si>
    <t>PO488759</t>
  </si>
  <si>
    <t>GR488759</t>
  </si>
  <si>
    <t>TXN-0743</t>
  </si>
  <si>
    <t>INV-017-18799</t>
  </si>
  <si>
    <t>PO462163</t>
  </si>
  <si>
    <t>GR462163</t>
  </si>
  <si>
    <t>TXN-0744</t>
  </si>
  <si>
    <t>INV-028-72814</t>
  </si>
  <si>
    <t>PO478372</t>
  </si>
  <si>
    <t>GR478372</t>
  </si>
  <si>
    <t>TXN-0745</t>
  </si>
  <si>
    <t>INV-029-40958</t>
  </si>
  <si>
    <t>PO491851</t>
  </si>
  <si>
    <t>GR491851</t>
  </si>
  <si>
    <t>TXN-0746</t>
  </si>
  <si>
    <t>INV-031-92223</t>
  </si>
  <si>
    <t>PO431407</t>
  </si>
  <si>
    <t>GR431407</t>
  </si>
  <si>
    <t>TXN-0747</t>
  </si>
  <si>
    <t>INV-035-72240</t>
  </si>
  <si>
    <t>PO455545</t>
  </si>
  <si>
    <t>GR455545</t>
  </si>
  <si>
    <t>TXN-0748</t>
  </si>
  <si>
    <t>INV-038-45825</t>
  </si>
  <si>
    <t>PO483729</t>
  </si>
  <si>
    <t>GR483729</t>
  </si>
  <si>
    <t>TXN-0749</t>
  </si>
  <si>
    <t>INV-003-32949</t>
  </si>
  <si>
    <t>PO484252</t>
  </si>
  <si>
    <t>GR484252</t>
  </si>
  <si>
    <t>TXN-0750</t>
  </si>
  <si>
    <t>INV-024-89310</t>
  </si>
  <si>
    <t>PO404244</t>
  </si>
  <si>
    <t>GR404244</t>
  </si>
  <si>
    <t>TXN-0751</t>
  </si>
  <si>
    <t>INV-026-73508</t>
  </si>
  <si>
    <t>PO453011</t>
  </si>
  <si>
    <t>GR453011</t>
  </si>
  <si>
    <t>TXN-0752</t>
  </si>
  <si>
    <t>INV-040-26478</t>
  </si>
  <si>
    <t>TXN-0753</t>
  </si>
  <si>
    <t>INV-006-95191</t>
  </si>
  <si>
    <t>PO412987</t>
  </si>
  <si>
    <t>GR412987</t>
  </si>
  <si>
    <t>TXN-0754</t>
  </si>
  <si>
    <t>INV-007-91351</t>
  </si>
  <si>
    <t>PO453264</t>
  </si>
  <si>
    <t>GR453264</t>
  </si>
  <si>
    <t>TXN-0755</t>
  </si>
  <si>
    <t>INV-010-88390</t>
  </si>
  <si>
    <t>PO431203</t>
  </si>
  <si>
    <t>GR431203</t>
  </si>
  <si>
    <t>TXN-0756</t>
  </si>
  <si>
    <t>INV-016-49651</t>
  </si>
  <si>
    <t>PO471200</t>
  </si>
  <si>
    <t>GR471200</t>
  </si>
  <si>
    <t>TXN-0757</t>
  </si>
  <si>
    <t>INV-017-39567</t>
  </si>
  <si>
    <t>PO436725</t>
  </si>
  <si>
    <t>GR436725</t>
  </si>
  <si>
    <t>TXN-0758</t>
  </si>
  <si>
    <t>INV-021-47070</t>
  </si>
  <si>
    <t>PO470809</t>
  </si>
  <si>
    <t>GR470809</t>
  </si>
  <si>
    <t>TXN-0759</t>
  </si>
  <si>
    <t>INV-024-84895</t>
  </si>
  <si>
    <t>PO423578</t>
  </si>
  <si>
    <t>GR423578</t>
  </si>
  <si>
    <t>TXN-0760</t>
  </si>
  <si>
    <t>INV-026-76229</t>
  </si>
  <si>
    <t>PO455403</t>
  </si>
  <si>
    <t>GR455403</t>
  </si>
  <si>
    <t>TXN-0761</t>
  </si>
  <si>
    <t>INV-031-14635</t>
  </si>
  <si>
    <t>PO423456</t>
  </si>
  <si>
    <t>GR423456</t>
  </si>
  <si>
    <t>TXN-0762</t>
  </si>
  <si>
    <t>INV-005-49498</t>
  </si>
  <si>
    <t>PO489899</t>
  </si>
  <si>
    <t>GR489899</t>
  </si>
  <si>
    <t>TXN-0763</t>
  </si>
  <si>
    <t>INV-010-48141</t>
  </si>
  <si>
    <t>PO477280</t>
  </si>
  <si>
    <t>GR477280</t>
  </si>
  <si>
    <t>TXN-0764</t>
  </si>
  <si>
    <t>INV-013-53279</t>
  </si>
  <si>
    <t>PO487062</t>
  </si>
  <si>
    <t>GR487062</t>
  </si>
  <si>
    <t>TXN-0765</t>
  </si>
  <si>
    <t>INV-014-39002</t>
  </si>
  <si>
    <t>PO473731</t>
  </si>
  <si>
    <t>GR473731</t>
  </si>
  <si>
    <t>TXN-0766</t>
  </si>
  <si>
    <t>INV-017-16705</t>
  </si>
  <si>
    <t>TXN-0767</t>
  </si>
  <si>
    <t>INV-025-18855</t>
  </si>
  <si>
    <t>PO446805</t>
  </si>
  <si>
    <t>GR446805</t>
  </si>
  <si>
    <t>TXN-0768</t>
  </si>
  <si>
    <t>INV-034-42717</t>
  </si>
  <si>
    <t>PO436528</t>
  </si>
  <si>
    <t>GR436528</t>
  </si>
  <si>
    <t>TXN-0769</t>
  </si>
  <si>
    <t>INV-015-64377</t>
  </si>
  <si>
    <t>PO408418</t>
  </si>
  <si>
    <t>GR408418</t>
  </si>
  <si>
    <t>TXN-0770</t>
  </si>
  <si>
    <t>INV-025-91962</t>
  </si>
  <si>
    <t>PO455343</t>
  </si>
  <si>
    <t>GR455343</t>
  </si>
  <si>
    <t>TXN-0771</t>
  </si>
  <si>
    <t>INV-029-85225</t>
  </si>
  <si>
    <t>PO410077</t>
  </si>
  <si>
    <t>GR410077</t>
  </si>
  <si>
    <t>TXN-0772</t>
  </si>
  <si>
    <t>INV-003-24335</t>
  </si>
  <si>
    <t>PO411138</t>
  </si>
  <si>
    <t>GR411138</t>
  </si>
  <si>
    <t>TXN-0773</t>
  </si>
  <si>
    <t>INV-004-58374</t>
  </si>
  <si>
    <t>PO454519</t>
  </si>
  <si>
    <t>GR454519</t>
  </si>
  <si>
    <t>TXN-0774</t>
  </si>
  <si>
    <t>INV-004-29785</t>
  </si>
  <si>
    <t>PO484078</t>
  </si>
  <si>
    <t>GR484078</t>
  </si>
  <si>
    <t>TXN-0775</t>
  </si>
  <si>
    <t>INV-018-42171</t>
  </si>
  <si>
    <t>PO487162</t>
  </si>
  <si>
    <t>GR487162</t>
  </si>
  <si>
    <t>TXN-0776</t>
  </si>
  <si>
    <t>INV-023-46159</t>
  </si>
  <si>
    <t>PO465700</t>
  </si>
  <si>
    <t>GR465700</t>
  </si>
  <si>
    <t>TXN-0777</t>
  </si>
  <si>
    <t>INV-026-30969</t>
  </si>
  <si>
    <t>PO489051</t>
  </si>
  <si>
    <t>GR489051</t>
  </si>
  <si>
    <t>TXN-0778</t>
  </si>
  <si>
    <t>INV-026-80056</t>
  </si>
  <si>
    <t>PO408350</t>
  </si>
  <si>
    <t>GR408350</t>
  </si>
  <si>
    <t>TXN-0779</t>
  </si>
  <si>
    <t>INV-027-59236</t>
  </si>
  <si>
    <t>PO449479</t>
  </si>
  <si>
    <t>GR449479</t>
  </si>
  <si>
    <t>TXN-0780</t>
  </si>
  <si>
    <t>INV-028-71171</t>
  </si>
  <si>
    <t>PO428601</t>
  </si>
  <si>
    <t>GR428601</t>
  </si>
  <si>
    <t>TXN-0781</t>
  </si>
  <si>
    <t>INV-030-83000</t>
  </si>
  <si>
    <t>PO483886</t>
  </si>
  <si>
    <t>GR483886</t>
  </si>
  <si>
    <t>TXN-0782</t>
  </si>
  <si>
    <t>INV-035-76316</t>
  </si>
  <si>
    <t>PO483627</t>
  </si>
  <si>
    <t>GR483627</t>
  </si>
  <si>
    <t>TXN-0783</t>
  </si>
  <si>
    <t>INV-040-92111</t>
  </si>
  <si>
    <t>PO460845</t>
  </si>
  <si>
    <t>GR460845</t>
  </si>
  <si>
    <t>TXN-0784</t>
  </si>
  <si>
    <t>INV-006-20545</t>
  </si>
  <si>
    <t>PO444572</t>
  </si>
  <si>
    <t>GR444572</t>
  </si>
  <si>
    <t>TXN-0785</t>
  </si>
  <si>
    <t>INV-012-49582</t>
  </si>
  <si>
    <t>PO405535</t>
  </si>
  <si>
    <t>GR405535</t>
  </si>
  <si>
    <t>TXN-0786</t>
  </si>
  <si>
    <t>INV-017-54236</t>
  </si>
  <si>
    <t>PO442840</t>
  </si>
  <si>
    <t>GR442840</t>
  </si>
  <si>
    <t>TXN-0787</t>
  </si>
  <si>
    <t>INV-032-53286</t>
  </si>
  <si>
    <t>PO404159</t>
  </si>
  <si>
    <t>GR404159</t>
  </si>
  <si>
    <t>TXN-0788</t>
  </si>
  <si>
    <t>INV-018-70161</t>
  </si>
  <si>
    <t>PO453218</t>
  </si>
  <si>
    <t>GR453218</t>
  </si>
  <si>
    <t>TXN-0789</t>
  </si>
  <si>
    <t>INV-022-78251</t>
  </si>
  <si>
    <t>PO450096</t>
  </si>
  <si>
    <t>GR450096</t>
  </si>
  <si>
    <t>TXN-0790</t>
  </si>
  <si>
    <t>INV-027-80909</t>
  </si>
  <si>
    <t>PO444433</t>
  </si>
  <si>
    <t>GR444433</t>
  </si>
  <si>
    <t>TXN-0791</t>
  </si>
  <si>
    <t>INV-040-27125</t>
  </si>
  <si>
    <t>PO489714</t>
  </si>
  <si>
    <t>GR489714</t>
  </si>
  <si>
    <t>TXN-0792</t>
  </si>
  <si>
    <t>INV-005-57214</t>
  </si>
  <si>
    <t>PO486520</t>
  </si>
  <si>
    <t>GR486520</t>
  </si>
  <si>
    <t>TXN-0793</t>
  </si>
  <si>
    <t>INV-011-27197</t>
  </si>
  <si>
    <t>PO495311</t>
  </si>
  <si>
    <t>GR495311</t>
  </si>
  <si>
    <t>TXN-0794</t>
  </si>
  <si>
    <t>INV-011-81884</t>
  </si>
  <si>
    <t>PO462021</t>
  </si>
  <si>
    <t>GR462021</t>
  </si>
  <si>
    <t>TXN-0795</t>
  </si>
  <si>
    <t>INV-013-46932</t>
  </si>
  <si>
    <t>PO460513</t>
  </si>
  <si>
    <t>GR460513</t>
  </si>
  <si>
    <t>TXN-0796</t>
  </si>
  <si>
    <t>INV-021-88265</t>
  </si>
  <si>
    <t>PO441795</t>
  </si>
  <si>
    <t>GR441795</t>
  </si>
  <si>
    <t>TXN-0797</t>
  </si>
  <si>
    <t>INV-033-52182</t>
  </si>
  <si>
    <t>PO423461</t>
  </si>
  <si>
    <t>GR423461</t>
  </si>
  <si>
    <t>TXN-0798</t>
  </si>
  <si>
    <t>INV-003-26704</t>
  </si>
  <si>
    <t>PO456333</t>
  </si>
  <si>
    <t>GR456333</t>
  </si>
  <si>
    <t>TXN-0799</t>
  </si>
  <si>
    <t>INV-004-50980</t>
  </si>
  <si>
    <t>PO489803</t>
  </si>
  <si>
    <t>GR489803</t>
  </si>
  <si>
    <t>TXN-0800</t>
  </si>
  <si>
    <t>INV-006-75568</t>
  </si>
  <si>
    <t>PO474838</t>
  </si>
  <si>
    <t>GR474838</t>
  </si>
  <si>
    <t>TXN-0801</t>
  </si>
  <si>
    <t>INV-007-91766</t>
  </si>
  <si>
    <t>PO456051</t>
  </si>
  <si>
    <t>GR456051</t>
  </si>
  <si>
    <t>TXN-0802</t>
  </si>
  <si>
    <t>INV-008-57916</t>
  </si>
  <si>
    <t>PO405357</t>
  </si>
  <si>
    <t>GR405357</t>
  </si>
  <si>
    <t>TXN-0803</t>
  </si>
  <si>
    <t>INV-008-44018</t>
  </si>
  <si>
    <t>PO402299</t>
  </si>
  <si>
    <t>GR402299</t>
  </si>
  <si>
    <t>TXN-0804</t>
  </si>
  <si>
    <t>INV-034-73806</t>
  </si>
  <si>
    <t>PO458400</t>
  </si>
  <si>
    <t>GR458400</t>
  </si>
  <si>
    <t>TXN-0805</t>
  </si>
  <si>
    <t>INV-035-41300</t>
  </si>
  <si>
    <t>PO424727</t>
  </si>
  <si>
    <t>GR424727</t>
  </si>
  <si>
    <t>TXN-0806</t>
  </si>
  <si>
    <t>INV-001-93354</t>
  </si>
  <si>
    <t>PO445406</t>
  </si>
  <si>
    <t>GR445406</t>
  </si>
  <si>
    <t>TXN-0807</t>
  </si>
  <si>
    <t>INV-002-31632</t>
  </si>
  <si>
    <t>PO452994</t>
  </si>
  <si>
    <t>GR452994</t>
  </si>
  <si>
    <t>TXN-0808</t>
  </si>
  <si>
    <t>INV-003-39170</t>
  </si>
  <si>
    <t>PO454138</t>
  </si>
  <si>
    <t>GR454138</t>
  </si>
  <si>
    <t>TXN-0809</t>
  </si>
  <si>
    <t>INV-007-10611</t>
  </si>
  <si>
    <t>PO478407</t>
  </si>
  <si>
    <t>GR478407</t>
  </si>
  <si>
    <t>TXN-0810</t>
  </si>
  <si>
    <t>INV-010-80455</t>
  </si>
  <si>
    <t>PO432133</t>
  </si>
  <si>
    <t>GR432133</t>
  </si>
  <si>
    <t>TXN-0811</t>
  </si>
  <si>
    <t>INV-014-19575</t>
  </si>
  <si>
    <t>PO433584</t>
  </si>
  <si>
    <t>GR433584</t>
  </si>
  <si>
    <t>TXN-0812</t>
  </si>
  <si>
    <t>INV-018-62654</t>
  </si>
  <si>
    <t>PO489235</t>
  </si>
  <si>
    <t>GR489235</t>
  </si>
  <si>
    <t>TXN-0813</t>
  </si>
  <si>
    <t>INV-018-17097</t>
  </si>
  <si>
    <t>PO416809</t>
  </si>
  <si>
    <t>GR416809</t>
  </si>
  <si>
    <t>TXN-0814</t>
  </si>
  <si>
    <t>INV-019-50425</t>
  </si>
  <si>
    <t>PO447088</t>
  </si>
  <si>
    <t>GR447088</t>
  </si>
  <si>
    <t>TXN-0815</t>
  </si>
  <si>
    <t>INV-022-42847</t>
  </si>
  <si>
    <t>PO401407</t>
  </si>
  <si>
    <t>GR401407</t>
  </si>
  <si>
    <t>TXN-0816</t>
  </si>
  <si>
    <t>INV-025-92213</t>
  </si>
  <si>
    <t>PO490520</t>
  </si>
  <si>
    <t>GR490520</t>
  </si>
  <si>
    <t>TXN-0817</t>
  </si>
  <si>
    <t>INV-026-95054</t>
  </si>
  <si>
    <t>PO403010</t>
  </si>
  <si>
    <t>GR403010</t>
  </si>
  <si>
    <t>TXN-0818</t>
  </si>
  <si>
    <t>TXN-0819</t>
  </si>
  <si>
    <t>INV-033-58394</t>
  </si>
  <si>
    <t>PO408180</t>
  </si>
  <si>
    <t>GR408180</t>
  </si>
  <si>
    <t>TXN-0820</t>
  </si>
  <si>
    <t>INV-035-74843</t>
  </si>
  <si>
    <t>PO427767</t>
  </si>
  <si>
    <t>GR427767</t>
  </si>
  <si>
    <t>TXN-0821</t>
  </si>
  <si>
    <t>INV-016-36106</t>
  </si>
  <si>
    <t>PO404392</t>
  </si>
  <si>
    <t>GR404392</t>
  </si>
  <si>
    <t>TXN-0822</t>
  </si>
  <si>
    <t>INV-026-83207</t>
  </si>
  <si>
    <t>TXN-0823</t>
  </si>
  <si>
    <t>INV-001-53193</t>
  </si>
  <si>
    <t>PO449792</t>
  </si>
  <si>
    <t>GR449792</t>
  </si>
  <si>
    <t>TXN-0824</t>
  </si>
  <si>
    <t>INV-007-18557</t>
  </si>
  <si>
    <t>PO421891</t>
  </si>
  <si>
    <t>GR421891</t>
  </si>
  <si>
    <t>TXN-0825</t>
  </si>
  <si>
    <t>INV-009-34151</t>
  </si>
  <si>
    <t>PO414528</t>
  </si>
  <si>
    <t>GR414528</t>
  </si>
  <si>
    <t>TXN-0826</t>
  </si>
  <si>
    <t>INV-020-28004</t>
  </si>
  <si>
    <t>PO419762</t>
  </si>
  <si>
    <t>GR419762</t>
  </si>
  <si>
    <t>TXN-0827</t>
  </si>
  <si>
    <t>INV-027-93558</t>
  </si>
  <si>
    <t>PO473454</t>
  </si>
  <si>
    <t>GR473454</t>
  </si>
  <si>
    <t>TXN-0828</t>
  </si>
  <si>
    <t>INV-030-91609</t>
  </si>
  <si>
    <t>PO447419</t>
  </si>
  <si>
    <t>GR447419</t>
  </si>
  <si>
    <t>TXN-0829</t>
  </si>
  <si>
    <t>INV-036-97833</t>
  </si>
  <si>
    <t>PO416750</t>
  </si>
  <si>
    <t>GR416750</t>
  </si>
  <si>
    <t>TXN-0830</t>
  </si>
  <si>
    <t>TXN-0831</t>
  </si>
  <si>
    <t>INV-002-40903</t>
  </si>
  <si>
    <t>PO449015</t>
  </si>
  <si>
    <t>GR449015</t>
  </si>
  <si>
    <t>TXN-0832</t>
  </si>
  <si>
    <t>INV-012-35330</t>
  </si>
  <si>
    <t>PO421467</t>
  </si>
  <si>
    <t>GR421467</t>
  </si>
  <si>
    <t>TXN-0833</t>
  </si>
  <si>
    <t>INV-001-76088</t>
  </si>
  <si>
    <t>PO461689</t>
  </si>
  <si>
    <t>GR461689</t>
  </si>
  <si>
    <t>TXN-0834</t>
  </si>
  <si>
    <t>INV-010-32114</t>
  </si>
  <si>
    <t>PO413332</t>
  </si>
  <si>
    <t>GR413332</t>
  </si>
  <si>
    <t>TXN-0835</t>
  </si>
  <si>
    <t>INV-013-46585</t>
  </si>
  <si>
    <t>PO409099</t>
  </si>
  <si>
    <t>GR409099</t>
  </si>
  <si>
    <t>TXN-0836</t>
  </si>
  <si>
    <t>INV-019-64357</t>
  </si>
  <si>
    <t>PO498184</t>
  </si>
  <si>
    <t>GR498184</t>
  </si>
  <si>
    <t>TXN-0837</t>
  </si>
  <si>
    <t>INV-024-75597</t>
  </si>
  <si>
    <t>PO477147</t>
  </si>
  <si>
    <t>GR477147</t>
  </si>
  <si>
    <t>TXN-0838</t>
  </si>
  <si>
    <t>INV-025-42953</t>
  </si>
  <si>
    <t>PO469352</t>
  </si>
  <si>
    <t>GR469352</t>
  </si>
  <si>
    <t>TXN-0839</t>
  </si>
  <si>
    <t>INV-009-26631</t>
  </si>
  <si>
    <t>PO485969</t>
  </si>
  <si>
    <t>GR485969</t>
  </si>
  <si>
    <t>TXN-0840</t>
  </si>
  <si>
    <t>INV-002-35185</t>
  </si>
  <si>
    <t>PO444186</t>
  </si>
  <si>
    <t>GR444186</t>
  </si>
  <si>
    <t>TXN-0841</t>
  </si>
  <si>
    <t>INV-006-38199</t>
  </si>
  <si>
    <t>PO431552</t>
  </si>
  <si>
    <t>GR431552</t>
  </si>
  <si>
    <t>TXN-0842</t>
  </si>
  <si>
    <t>INV-007-21141</t>
  </si>
  <si>
    <t>PO488672</t>
  </si>
  <si>
    <t>GR488672</t>
  </si>
  <si>
    <t>TXN-0843</t>
  </si>
  <si>
    <t>INV-021-57953</t>
  </si>
  <si>
    <t>PO470701</t>
  </si>
  <si>
    <t>GR470701</t>
  </si>
  <si>
    <t>TXN-0844</t>
  </si>
  <si>
    <t>INV-025-14852</t>
  </si>
  <si>
    <t>PO464923</t>
  </si>
  <si>
    <t>GR464923</t>
  </si>
  <si>
    <t>TXN-0845</t>
  </si>
  <si>
    <t>INV-029-14931</t>
  </si>
  <si>
    <t>PO480024</t>
  </si>
  <si>
    <t>GR480024</t>
  </si>
  <si>
    <t>TXN-0846</t>
  </si>
  <si>
    <t>INV-030-65936</t>
  </si>
  <si>
    <t>PO440966</t>
  </si>
  <si>
    <t>GR440966</t>
  </si>
  <si>
    <t>TXN-0847</t>
  </si>
  <si>
    <t>INV-031-51697</t>
  </si>
  <si>
    <t>PO467933</t>
  </si>
  <si>
    <t>GR467933</t>
  </si>
  <si>
    <t>TXN-0848</t>
  </si>
  <si>
    <t>INV-036-34744</t>
  </si>
  <si>
    <t>PO456093</t>
  </si>
  <si>
    <t>GR456093</t>
  </si>
  <si>
    <t>TXN-0849</t>
  </si>
  <si>
    <t>INV-038-98452</t>
  </si>
  <si>
    <t>PO414201</t>
  </si>
  <si>
    <t>GR414201</t>
  </si>
  <si>
    <t>TXN-0850</t>
  </si>
  <si>
    <t>INV-019-94513</t>
  </si>
  <si>
    <t>PO490156</t>
  </si>
  <si>
    <t>GR490156</t>
  </si>
  <si>
    <t>TXN-0851</t>
  </si>
  <si>
    <t>TXN-0852</t>
  </si>
  <si>
    <t>INV-031-68138</t>
  </si>
  <si>
    <t>PO464260</t>
  </si>
  <si>
    <t>GR464260</t>
  </si>
  <si>
    <t>TXN-0853</t>
  </si>
  <si>
    <t>INV-038-30843</t>
  </si>
  <si>
    <t>PO471820</t>
  </si>
  <si>
    <t>GR471820</t>
  </si>
  <si>
    <t>TXN-0854</t>
  </si>
  <si>
    <t>INV-002-23622</t>
  </si>
  <si>
    <t>PO410911</t>
  </si>
  <si>
    <t>GR410911</t>
  </si>
  <si>
    <t>TXN-0855</t>
  </si>
  <si>
    <t>INV-003-17398</t>
  </si>
  <si>
    <t>PO428477</t>
  </si>
  <si>
    <t>GR428477</t>
  </si>
  <si>
    <t>TXN-0856</t>
  </si>
  <si>
    <t>INV-004-30131</t>
  </si>
  <si>
    <t>PO464349</t>
  </si>
  <si>
    <t>GR464349</t>
  </si>
  <si>
    <t>TXN-0857</t>
  </si>
  <si>
    <t>INV-006-81496</t>
  </si>
  <si>
    <t>PO423652</t>
  </si>
  <si>
    <t>GR423652</t>
  </si>
  <si>
    <t>TXN-0858</t>
  </si>
  <si>
    <t>INV-007-10022</t>
  </si>
  <si>
    <t>PO471971</t>
  </si>
  <si>
    <t>GR471971</t>
  </si>
  <si>
    <t>TXN-0859</t>
  </si>
  <si>
    <t>INV-025-96833</t>
  </si>
  <si>
    <t>PO427684</t>
  </si>
  <si>
    <t>GR427684</t>
  </si>
  <si>
    <t>TXN-0860</t>
  </si>
  <si>
    <t>INV-030-48687</t>
  </si>
  <si>
    <t>PO428816</t>
  </si>
  <si>
    <t>GR428816</t>
  </si>
  <si>
    <t>TXN-0861</t>
  </si>
  <si>
    <t>INV-015-87550</t>
  </si>
  <si>
    <t>PO472970</t>
  </si>
  <si>
    <t>GR472970</t>
  </si>
  <si>
    <t>TXN-0862</t>
  </si>
  <si>
    <t>INV-021-95403</t>
  </si>
  <si>
    <t>PO455846</t>
  </si>
  <si>
    <t>GR455846</t>
  </si>
  <si>
    <t>TXN-0863</t>
  </si>
  <si>
    <t>INV-008-65435</t>
  </si>
  <si>
    <t>PO498341</t>
  </si>
  <si>
    <t>GR498341</t>
  </si>
  <si>
    <t>TXN-0864</t>
  </si>
  <si>
    <t>INV-021-16014</t>
  </si>
  <si>
    <t>PO499379</t>
  </si>
  <si>
    <t>GR499379</t>
  </si>
  <si>
    <t>TXN-0865</t>
  </si>
  <si>
    <t>INV-031-96479</t>
  </si>
  <si>
    <t>PO404298</t>
  </si>
  <si>
    <t>GR404298</t>
  </si>
  <si>
    <t>TXN-0866</t>
  </si>
  <si>
    <t>INV-033-25118</t>
  </si>
  <si>
    <t>PO403617</t>
  </si>
  <si>
    <t>GR403617</t>
  </si>
  <si>
    <t>TXN-0867</t>
  </si>
  <si>
    <t>INV-003-59327</t>
  </si>
  <si>
    <t>PO441229</t>
  </si>
  <si>
    <t>TXN-0868</t>
  </si>
  <si>
    <t>INV-008-96200</t>
  </si>
  <si>
    <t>PO400150</t>
  </si>
  <si>
    <t>GR400150</t>
  </si>
  <si>
    <t>TXN-0869</t>
  </si>
  <si>
    <t>INV-011-50760</t>
  </si>
  <si>
    <t>PO492216</t>
  </si>
  <si>
    <t>GR492216</t>
  </si>
  <si>
    <t>TXN-0870</t>
  </si>
  <si>
    <t>INV-015-98503</t>
  </si>
  <si>
    <t>PO463113</t>
  </si>
  <si>
    <t>GR463113</t>
  </si>
  <si>
    <t>TXN-0871</t>
  </si>
  <si>
    <t>INV-016-72402</t>
  </si>
  <si>
    <t>PO431499</t>
  </si>
  <si>
    <t>GR431499</t>
  </si>
  <si>
    <t>TXN-0872</t>
  </si>
  <si>
    <t>INV-018-12540</t>
  </si>
  <si>
    <t>PO461644</t>
  </si>
  <si>
    <t>GR461644</t>
  </si>
  <si>
    <t>TXN-0873</t>
  </si>
  <si>
    <t>INV-019-83339</t>
  </si>
  <si>
    <t>PO495006</t>
  </si>
  <si>
    <t>GR495006</t>
  </si>
  <si>
    <t>TXN-0874</t>
  </si>
  <si>
    <t>INV-020-47606</t>
  </si>
  <si>
    <t>PO439829</t>
  </si>
  <si>
    <t>GR439829</t>
  </si>
  <si>
    <t>TXN-0875</t>
  </si>
  <si>
    <t>INV-021-76330</t>
  </si>
  <si>
    <t>PO427180</t>
  </si>
  <si>
    <t>TXN-0876</t>
  </si>
  <si>
    <t>INV-023-87743</t>
  </si>
  <si>
    <t>PO488930</t>
  </si>
  <si>
    <t>GR488930</t>
  </si>
  <si>
    <t>TXN-0877</t>
  </si>
  <si>
    <t>INV-025-24790</t>
  </si>
  <si>
    <t>PO453422</t>
  </si>
  <si>
    <t>GR453422</t>
  </si>
  <si>
    <t>TXN-0878</t>
  </si>
  <si>
    <t>INV-026-60336</t>
  </si>
  <si>
    <t>PO448908</t>
  </si>
  <si>
    <t>GR448908</t>
  </si>
  <si>
    <t>TXN-0879</t>
  </si>
  <si>
    <t>INV-031-65134</t>
  </si>
  <si>
    <t>PO452565</t>
  </si>
  <si>
    <t>GR452565</t>
  </si>
  <si>
    <t>TXN-0880</t>
  </si>
  <si>
    <t>INV-032-28301</t>
  </si>
  <si>
    <t>PO434718</t>
  </si>
  <si>
    <t>GR434718</t>
  </si>
  <si>
    <t>TXN-0881</t>
  </si>
  <si>
    <t>INV-034-64186</t>
  </si>
  <si>
    <t>PO456206</t>
  </si>
  <si>
    <t>GR456206</t>
  </si>
  <si>
    <t>TXN-0882</t>
  </si>
  <si>
    <t>INV-034-86585</t>
  </si>
  <si>
    <t>PO434562</t>
  </si>
  <si>
    <t>GR434562</t>
  </si>
  <si>
    <t>TXN-0883</t>
  </si>
  <si>
    <t>INV-039-68606</t>
  </si>
  <si>
    <t>PO446077</t>
  </si>
  <si>
    <t>GR446077</t>
  </si>
  <si>
    <t>TXN-0884</t>
  </si>
  <si>
    <t>INV-006-17212</t>
  </si>
  <si>
    <t>PO479800</t>
  </si>
  <si>
    <t>GR479800</t>
  </si>
  <si>
    <t>TXN-0885</t>
  </si>
  <si>
    <t>INV-020-48541</t>
  </si>
  <si>
    <t>PO476751</t>
  </si>
  <si>
    <t>GR476751</t>
  </si>
  <si>
    <t>TXN-0886</t>
  </si>
  <si>
    <t>INV-030-49373</t>
  </si>
  <si>
    <t>PO462601</t>
  </si>
  <si>
    <t>GR462601</t>
  </si>
  <si>
    <t>TXN-0887</t>
  </si>
  <si>
    <t>INV-038-95162</t>
  </si>
  <si>
    <t>PO476543</t>
  </si>
  <si>
    <t>GR476543</t>
  </si>
  <si>
    <t>TXN-0888</t>
  </si>
  <si>
    <t>INV-006-87539</t>
  </si>
  <si>
    <t>PO428369</t>
  </si>
  <si>
    <t>GR428369</t>
  </si>
  <si>
    <t>TXN-0889</t>
  </si>
  <si>
    <t>INV-017-86418</t>
  </si>
  <si>
    <t>PO404629</t>
  </si>
  <si>
    <t>GR404629</t>
  </si>
  <si>
    <t>TXN-0890</t>
  </si>
  <si>
    <t>INV-030-15346</t>
  </si>
  <si>
    <t>PO464868</t>
  </si>
  <si>
    <t>GR464868</t>
  </si>
  <si>
    <t>TXN-0891</t>
  </si>
  <si>
    <t>INV-032-52247</t>
  </si>
  <si>
    <t>PO456626</t>
  </si>
  <si>
    <t>GR456626</t>
  </si>
  <si>
    <t>TXN-0892</t>
  </si>
  <si>
    <t>INV-006-92665</t>
  </si>
  <si>
    <t>PO456899</t>
  </si>
  <si>
    <t>GR456899</t>
  </si>
  <si>
    <t>TXN-0893</t>
  </si>
  <si>
    <t>INV-008-43126</t>
  </si>
  <si>
    <t>PO471733</t>
  </si>
  <si>
    <t>GR471733</t>
  </si>
  <si>
    <t>TXN-0894</t>
  </si>
  <si>
    <t>INV-008-27200</t>
  </si>
  <si>
    <t>PO415278</t>
  </si>
  <si>
    <t>GR415278</t>
  </si>
  <si>
    <t>TXN-0895</t>
  </si>
  <si>
    <t>INV-013-31400</t>
  </si>
  <si>
    <t>PO432754</t>
  </si>
  <si>
    <t>GR432754</t>
  </si>
  <si>
    <t>TXN-0896</t>
  </si>
  <si>
    <t>INV-022-28772</t>
  </si>
  <si>
    <t>PO459974</t>
  </si>
  <si>
    <t>GR459974</t>
  </si>
  <si>
    <t>TXN-0897</t>
  </si>
  <si>
    <t>INV-027-94192</t>
  </si>
  <si>
    <t>PO441553</t>
  </si>
  <si>
    <t>GR441553</t>
  </si>
  <si>
    <t>TXN-0898</t>
  </si>
  <si>
    <t>INV-029-89516</t>
  </si>
  <si>
    <t>PO444589</t>
  </si>
  <si>
    <t>GR444589</t>
  </si>
  <si>
    <t>TXN-0899</t>
  </si>
  <si>
    <t>INV-011-72580</t>
  </si>
  <si>
    <t>PO462350</t>
  </si>
  <si>
    <t>GR462350</t>
  </si>
  <si>
    <t>TXN-0900</t>
  </si>
  <si>
    <t>INV-016-31150</t>
  </si>
  <si>
    <t>PO436587</t>
  </si>
  <si>
    <t>GR436587</t>
  </si>
  <si>
    <t>TXN-0901</t>
  </si>
  <si>
    <t>INV-017-95572</t>
  </si>
  <si>
    <t>PO419510</t>
  </si>
  <si>
    <t>GR419510</t>
  </si>
  <si>
    <t>TXN-0902</t>
  </si>
  <si>
    <t>INV-022-18885</t>
  </si>
  <si>
    <t>PO432707</t>
  </si>
  <si>
    <t>GR432707</t>
  </si>
  <si>
    <t>TXN-0903</t>
  </si>
  <si>
    <t>INV-022-52769</t>
  </si>
  <si>
    <t>PO484679</t>
  </si>
  <si>
    <t>GR484679</t>
  </si>
  <si>
    <t>TXN-0904</t>
  </si>
  <si>
    <t>INV-022-51599</t>
  </si>
  <si>
    <t>PO469193</t>
  </si>
  <si>
    <t>GR469193</t>
  </si>
  <si>
    <t>TXN-0905</t>
  </si>
  <si>
    <t>INV-025-50846</t>
  </si>
  <si>
    <t>PO448503</t>
  </si>
  <si>
    <t>GR448503</t>
  </si>
  <si>
    <t>TXN-0906</t>
  </si>
  <si>
    <t>INV-001-81855</t>
  </si>
  <si>
    <t>PO400946</t>
  </si>
  <si>
    <t>GR400946</t>
  </si>
  <si>
    <t>TXN-0907</t>
  </si>
  <si>
    <t>INV-007-56041</t>
  </si>
  <si>
    <t>PO453992</t>
  </si>
  <si>
    <t>GR453992</t>
  </si>
  <si>
    <t>TXN-0908</t>
  </si>
  <si>
    <t>INV-008-92478</t>
  </si>
  <si>
    <t>PO495069</t>
  </si>
  <si>
    <t>GR495069</t>
  </si>
  <si>
    <t>TXN-0909</t>
  </si>
  <si>
    <t>INV-009-72422</t>
  </si>
  <si>
    <t>PO408330</t>
  </si>
  <si>
    <t>GR408330</t>
  </si>
  <si>
    <t>TXN-0910</t>
  </si>
  <si>
    <t>INV-009-94341</t>
  </si>
  <si>
    <t>PO467441</t>
  </si>
  <si>
    <t>GR467441</t>
  </si>
  <si>
    <t>TXN-0911</t>
  </si>
  <si>
    <t>INV-011-88372</t>
  </si>
  <si>
    <t>PO476962</t>
  </si>
  <si>
    <t>GR476962</t>
  </si>
  <si>
    <t>TXN-0912</t>
  </si>
  <si>
    <t>INV-015-33839</t>
  </si>
  <si>
    <t>PO476368</t>
  </si>
  <si>
    <t>GR476368</t>
  </si>
  <si>
    <t>TXN-0913</t>
  </si>
  <si>
    <t>INV-020-43361</t>
  </si>
  <si>
    <t>PO449034</t>
  </si>
  <si>
    <t>GR449034</t>
  </si>
  <si>
    <t>TXN-0914</t>
  </si>
  <si>
    <t>INV-023-99780</t>
  </si>
  <si>
    <t>PO477025</t>
  </si>
  <si>
    <t>GR477025</t>
  </si>
  <si>
    <t>TXN-0915</t>
  </si>
  <si>
    <t>INV-024-90338</t>
  </si>
  <si>
    <t>PO434500</t>
  </si>
  <si>
    <t>GR434500</t>
  </si>
  <si>
    <t>TXN-0916</t>
  </si>
  <si>
    <t>INV-026-25506</t>
  </si>
  <si>
    <t>PO488250</t>
  </si>
  <si>
    <t>GR488250</t>
  </si>
  <si>
    <t>TXN-0917</t>
  </si>
  <si>
    <t>INV-032-63005</t>
  </si>
  <si>
    <t>PO429045</t>
  </si>
  <si>
    <t>GR429045</t>
  </si>
  <si>
    <t>TXN-0918</t>
  </si>
  <si>
    <t>INV-033-84511</t>
  </si>
  <si>
    <t>PO486619</t>
  </si>
  <si>
    <t>GR486619</t>
  </si>
  <si>
    <t>TXN-0919</t>
  </si>
  <si>
    <t>INV-007-16028</t>
  </si>
  <si>
    <t>PO403794</t>
  </si>
  <si>
    <t>GR403794</t>
  </si>
  <si>
    <t>TXN-0920</t>
  </si>
  <si>
    <t>INV-036-91360</t>
  </si>
  <si>
    <t>PO460902</t>
  </si>
  <si>
    <t>GR460902</t>
  </si>
  <si>
    <t>TXN-0921</t>
  </si>
  <si>
    <t>INV-014-63627</t>
  </si>
  <si>
    <t>PO409064</t>
  </si>
  <si>
    <t>GR409064</t>
  </si>
  <si>
    <t>TXN-0922</t>
  </si>
  <si>
    <t>INV-020-11064</t>
  </si>
  <si>
    <t>PO476379</t>
  </si>
  <si>
    <t>GR476379</t>
  </si>
  <si>
    <t>TXN-0923</t>
  </si>
  <si>
    <t>INV-025-65448</t>
  </si>
  <si>
    <t>PO450293</t>
  </si>
  <si>
    <t>GR450293</t>
  </si>
  <si>
    <t>TXN-0924</t>
  </si>
  <si>
    <t>INV-036-29601</t>
  </si>
  <si>
    <t>PO496802</t>
  </si>
  <si>
    <t>GR496802</t>
  </si>
  <si>
    <t>TXN-0925</t>
  </si>
  <si>
    <t>INV-007-19229</t>
  </si>
  <si>
    <t>PO409557</t>
  </si>
  <si>
    <t>GR409557</t>
  </si>
  <si>
    <t>TXN-0926</t>
  </si>
  <si>
    <t>INV-008-93819</t>
  </si>
  <si>
    <t>PO484109</t>
  </si>
  <si>
    <t>GR484109</t>
  </si>
  <si>
    <t>TXN-0927</t>
  </si>
  <si>
    <t>INV-026-79963</t>
  </si>
  <si>
    <t>PO404944</t>
  </si>
  <si>
    <t>GR404944</t>
  </si>
  <si>
    <t>TXN-0928</t>
  </si>
  <si>
    <t>INV-029-77987</t>
  </si>
  <si>
    <t>PO432207</t>
  </si>
  <si>
    <t>GR432207</t>
  </si>
  <si>
    <t>TXN-0929</t>
  </si>
  <si>
    <t>INV-030-51552</t>
  </si>
  <si>
    <t>PO465213</t>
  </si>
  <si>
    <t>GR465213</t>
  </si>
  <si>
    <t>TXN-0930</t>
  </si>
  <si>
    <t>INV-033-56570</t>
  </si>
  <si>
    <t>PO450425</t>
  </si>
  <si>
    <t>GR450425</t>
  </si>
  <si>
    <t>TXN-0931</t>
  </si>
  <si>
    <t>INV-037-49286</t>
  </si>
  <si>
    <t>PO441497</t>
  </si>
  <si>
    <t>GR441497</t>
  </si>
  <si>
    <t>TXN-0932</t>
  </si>
  <si>
    <t>INV-002-36724</t>
  </si>
  <si>
    <t>TXN-0933</t>
  </si>
  <si>
    <t>INV-020-93090</t>
  </si>
  <si>
    <t>PO408444</t>
  </si>
  <si>
    <t>GR408444</t>
  </si>
  <si>
    <t>TXN-0934</t>
  </si>
  <si>
    <t>INV-022-19351</t>
  </si>
  <si>
    <t>PO453054</t>
  </si>
  <si>
    <t>GR453054</t>
  </si>
  <si>
    <t>TXN-0935</t>
  </si>
  <si>
    <t>INV-029-50026</t>
  </si>
  <si>
    <t>PO456207</t>
  </si>
  <si>
    <t>GR456207</t>
  </si>
  <si>
    <t>TXN-0936</t>
  </si>
  <si>
    <t>INV-001-16797</t>
  </si>
  <si>
    <t>PO485200</t>
  </si>
  <si>
    <t>GR485200</t>
  </si>
  <si>
    <t>TXN-0937</t>
  </si>
  <si>
    <t>INV-003-66774</t>
  </si>
  <si>
    <t>PO475220</t>
  </si>
  <si>
    <t>GR475220</t>
  </si>
  <si>
    <t>TXN-0938</t>
  </si>
  <si>
    <t>INV-010-14514</t>
  </si>
  <si>
    <t>PO493639</t>
  </si>
  <si>
    <t>GR493639</t>
  </si>
  <si>
    <t>TXN-0939</t>
  </si>
  <si>
    <t>INV-012-51373</t>
  </si>
  <si>
    <t>PO460302</t>
  </si>
  <si>
    <t>GR460302</t>
  </si>
  <si>
    <t>TXN-0940</t>
  </si>
  <si>
    <t>INV-012-41031</t>
  </si>
  <si>
    <t>PO465294</t>
  </si>
  <si>
    <t>GR465294</t>
  </si>
  <si>
    <t>TXN-0941</t>
  </si>
  <si>
    <t>INV-018-17330</t>
  </si>
  <si>
    <t>PO477264</t>
  </si>
  <si>
    <t>GR477264</t>
  </si>
  <si>
    <t>TXN-0942</t>
  </si>
  <si>
    <t>INV-019-95527</t>
  </si>
  <si>
    <t>PO473044</t>
  </si>
  <si>
    <t>GR473044</t>
  </si>
  <si>
    <t>TXN-0943</t>
  </si>
  <si>
    <t>INV-019-61172</t>
  </si>
  <si>
    <t>PO437475</t>
  </si>
  <si>
    <t>GR437475</t>
  </si>
  <si>
    <t>TXN-0944</t>
  </si>
  <si>
    <t>INV-024-27499</t>
  </si>
  <si>
    <t>PO466247</t>
  </si>
  <si>
    <t>GR466247</t>
  </si>
  <si>
    <t>TXN-0945</t>
  </si>
  <si>
    <t>INV-031-46347</t>
  </si>
  <si>
    <t>PO483579</t>
  </si>
  <si>
    <t>GR483579</t>
  </si>
  <si>
    <t>TXN-0946</t>
  </si>
  <si>
    <t>INV-032-95638</t>
  </si>
  <si>
    <t>PO465191</t>
  </si>
  <si>
    <t>GR465191</t>
  </si>
  <si>
    <t>TXN-0947</t>
  </si>
  <si>
    <t>INV-034-25533</t>
  </si>
  <si>
    <t>PO464769</t>
  </si>
  <si>
    <t>GR464769</t>
  </si>
  <si>
    <t>TXN-0948</t>
  </si>
  <si>
    <t>INV-039-52553</t>
  </si>
  <si>
    <t>PO472100</t>
  </si>
  <si>
    <t>GR472100</t>
  </si>
  <si>
    <t>TXN-0949</t>
  </si>
  <si>
    <t>INV-040-88215</t>
  </si>
  <si>
    <t>PO465513</t>
  </si>
  <si>
    <t>GR465513</t>
  </si>
  <si>
    <t>TXN-0950</t>
  </si>
  <si>
    <t>INV-007-25919</t>
  </si>
  <si>
    <t>PO418322</t>
  </si>
  <si>
    <t>GR418322</t>
  </si>
  <si>
    <t>TXN-0951</t>
  </si>
  <si>
    <t>INV-008-75323</t>
  </si>
  <si>
    <t>PO420181</t>
  </si>
  <si>
    <t>GR420181</t>
  </si>
  <si>
    <t>TXN-0952</t>
  </si>
  <si>
    <t>INV-015-89711</t>
  </si>
  <si>
    <t>PO407213</t>
  </si>
  <si>
    <t>GR407213</t>
  </si>
  <si>
    <t>TXN-0953</t>
  </si>
  <si>
    <t>INV-038-56890</t>
  </si>
  <si>
    <t>PO498877</t>
  </si>
  <si>
    <t>GR498877</t>
  </si>
  <si>
    <t>TXN-0954</t>
  </si>
  <si>
    <t>INV-039-77154</t>
  </si>
  <si>
    <t>PO498951</t>
  </si>
  <si>
    <t>GR498951</t>
  </si>
  <si>
    <t>TXN-0955</t>
  </si>
  <si>
    <t>INV-039-90744</t>
  </si>
  <si>
    <t>PO406054</t>
  </si>
  <si>
    <t>GR406054</t>
  </si>
  <si>
    <t>TXN-0956</t>
  </si>
  <si>
    <t>INV-007-83446</t>
  </si>
  <si>
    <t>PO447226</t>
  </si>
  <si>
    <t>GR447226</t>
  </si>
  <si>
    <t>TXN-0957</t>
  </si>
  <si>
    <t>INV-022-49378</t>
  </si>
  <si>
    <t>PO417842</t>
  </si>
  <si>
    <t>GR417842</t>
  </si>
  <si>
    <t>TXN-0958</t>
  </si>
  <si>
    <t>INV-022-50957</t>
  </si>
  <si>
    <t>PO486374</t>
  </si>
  <si>
    <t>GR486374</t>
  </si>
  <si>
    <t>TXN-0959</t>
  </si>
  <si>
    <t>INV-024-39451</t>
  </si>
  <si>
    <t>PO432493</t>
  </si>
  <si>
    <t>GR432493</t>
  </si>
  <si>
    <t>TXN-0960</t>
  </si>
  <si>
    <t>INV-028-31344</t>
  </si>
  <si>
    <t>PO454646</t>
  </si>
  <si>
    <t>GR454646</t>
  </si>
  <si>
    <t>TXN-0961</t>
  </si>
  <si>
    <t>INV-032-88687</t>
  </si>
  <si>
    <t>PO473801</t>
  </si>
  <si>
    <t>GR473801</t>
  </si>
  <si>
    <t>TXN-0962</t>
  </si>
  <si>
    <t>INV-008-86062</t>
  </si>
  <si>
    <t>PO476490</t>
  </si>
  <si>
    <t>GR476490</t>
  </si>
  <si>
    <t>TXN-0963</t>
  </si>
  <si>
    <t>INV-008-57349</t>
  </si>
  <si>
    <t>PO464987</t>
  </si>
  <si>
    <t>GR464987</t>
  </si>
  <si>
    <t>TXN-0964</t>
  </si>
  <si>
    <t>INV-019-65965</t>
  </si>
  <si>
    <t>PO436226</t>
  </si>
  <si>
    <t>GR436226</t>
  </si>
  <si>
    <t>TXN-0965</t>
  </si>
  <si>
    <t>INV-021-89682</t>
  </si>
  <si>
    <t>PO405482</t>
  </si>
  <si>
    <t>GR405482</t>
  </si>
  <si>
    <t>TXN-0966</t>
  </si>
  <si>
    <t>INV-026-72684</t>
  </si>
  <si>
    <t>PO490426</t>
  </si>
  <si>
    <t>GR490426</t>
  </si>
  <si>
    <t>TXN-0967</t>
  </si>
  <si>
    <t>INV-029-47287</t>
  </si>
  <si>
    <t>PO404543</t>
  </si>
  <si>
    <t>GR404543</t>
  </si>
  <si>
    <t>TXN-0968</t>
  </si>
  <si>
    <t>INV-030-34241</t>
  </si>
  <si>
    <t>PO453131</t>
  </si>
  <si>
    <t>GR453131</t>
  </si>
  <si>
    <t>TXN-0969</t>
  </si>
  <si>
    <t>INV-021-60488</t>
  </si>
  <si>
    <t>PO415157</t>
  </si>
  <si>
    <t>GR415157</t>
  </si>
  <si>
    <t>TXN-0970</t>
  </si>
  <si>
    <t>INV-023-35192</t>
  </si>
  <si>
    <t>PO437750</t>
  </si>
  <si>
    <t>GR437750</t>
  </si>
  <si>
    <t>TXN-0971</t>
  </si>
  <si>
    <t>INV-021-29525</t>
  </si>
  <si>
    <t>TXN-0972</t>
  </si>
  <si>
    <t>INV-006-71727</t>
  </si>
  <si>
    <t>PO452096</t>
  </si>
  <si>
    <t>GR452096</t>
  </si>
  <si>
    <t>TXN-0973</t>
  </si>
  <si>
    <t>INV-009-43586</t>
  </si>
  <si>
    <t>PO491680</t>
  </si>
  <si>
    <t>GR491680</t>
  </si>
  <si>
    <t>TXN-0974</t>
  </si>
  <si>
    <t>INV-013-39219</t>
  </si>
  <si>
    <t>PO429831</t>
  </si>
  <si>
    <t>GR429831</t>
  </si>
  <si>
    <t>TXN-0975</t>
  </si>
  <si>
    <t>INV-021-44167</t>
  </si>
  <si>
    <t>PO417499</t>
  </si>
  <si>
    <t>GR417499</t>
  </si>
  <si>
    <t>TXN-0976</t>
  </si>
  <si>
    <t>INV-023-69303</t>
  </si>
  <si>
    <t>PO491326</t>
  </si>
  <si>
    <t>GR491326</t>
  </si>
  <si>
    <t>TXN-0977</t>
  </si>
  <si>
    <t>INV-024-21297</t>
  </si>
  <si>
    <t>PO437022</t>
  </si>
  <si>
    <t>GR437022</t>
  </si>
  <si>
    <t>TXN-0978</t>
  </si>
  <si>
    <t>INV-025-83681</t>
  </si>
  <si>
    <t>PO449171</t>
  </si>
  <si>
    <t>GR449171</t>
  </si>
  <si>
    <t>TXN-0979</t>
  </si>
  <si>
    <t>INV-030-34621</t>
  </si>
  <si>
    <t>TXN-0980</t>
  </si>
  <si>
    <t>INV-031-96410</t>
  </si>
  <si>
    <t>PO459183</t>
  </si>
  <si>
    <t>GR459183</t>
  </si>
  <si>
    <t>TXN-0981</t>
  </si>
  <si>
    <t>INV-003-42077</t>
  </si>
  <si>
    <t>PO406380</t>
  </si>
  <si>
    <t>GR406380</t>
  </si>
  <si>
    <t>TXN-0982</t>
  </si>
  <si>
    <t>INV-031-23051</t>
  </si>
  <si>
    <t>PO489220</t>
  </si>
  <si>
    <t>GR489220</t>
  </si>
  <si>
    <t>TXN-0983</t>
  </si>
  <si>
    <t>INV-040-31626</t>
  </si>
  <si>
    <t>PO485673</t>
  </si>
  <si>
    <t>TXN-0984</t>
  </si>
  <si>
    <t>INV-002-24156</t>
  </si>
  <si>
    <t>PO425228</t>
  </si>
  <si>
    <t>GR425228</t>
  </si>
  <si>
    <t>TXN-0985</t>
  </si>
  <si>
    <t>INV-003-89299</t>
  </si>
  <si>
    <t>PO442143</t>
  </si>
  <si>
    <t>GR442143</t>
  </si>
  <si>
    <t>TXN-0986</t>
  </si>
  <si>
    <t>INV-003-44946</t>
  </si>
  <si>
    <t>PO455203</t>
  </si>
  <si>
    <t>GR455203</t>
  </si>
  <si>
    <t>TXN-0987</t>
  </si>
  <si>
    <t>INV-007-93964</t>
  </si>
  <si>
    <t>PO436239</t>
  </si>
  <si>
    <t>GR436239</t>
  </si>
  <si>
    <t>TXN-0988</t>
  </si>
  <si>
    <t>INV-008-75597</t>
  </si>
  <si>
    <t>PO435683</t>
  </si>
  <si>
    <t>GR435683</t>
  </si>
  <si>
    <t>TXN-0989</t>
  </si>
  <si>
    <t>INV-031-12490</t>
  </si>
  <si>
    <t>PO410384</t>
  </si>
  <si>
    <t>GR410384</t>
  </si>
  <si>
    <t>TXN-0990</t>
  </si>
  <si>
    <t>INV-037-20487</t>
  </si>
  <si>
    <t>PO463068</t>
  </si>
  <si>
    <t>GR463068</t>
  </si>
  <si>
    <t>TXN-0991</t>
  </si>
  <si>
    <t>INV-006-10157</t>
  </si>
  <si>
    <t>PO470685</t>
  </si>
  <si>
    <t>GR470685</t>
  </si>
  <si>
    <t>TXN-0992</t>
  </si>
  <si>
    <t>INV-007-44340</t>
  </si>
  <si>
    <t>PO470381</t>
  </si>
  <si>
    <t>GR470381</t>
  </si>
  <si>
    <t>TXN-0993</t>
  </si>
  <si>
    <t>INV-011-93032</t>
  </si>
  <si>
    <t>PO456847</t>
  </si>
  <si>
    <t>GR456847</t>
  </si>
  <si>
    <t>TXN-0994</t>
  </si>
  <si>
    <t>INV-017-45537</t>
  </si>
  <si>
    <t>PO470592</t>
  </si>
  <si>
    <t>GR470592</t>
  </si>
  <si>
    <t>TXN-0995</t>
  </si>
  <si>
    <t>INV-019-18601</t>
  </si>
  <si>
    <t>PO488251</t>
  </si>
  <si>
    <t>GR488251</t>
  </si>
  <si>
    <t>TXN-0996</t>
  </si>
  <si>
    <t>INV-019-85199</t>
  </si>
  <si>
    <t>PO498849</t>
  </si>
  <si>
    <t>GR498849</t>
  </si>
  <si>
    <t>TXN-0997</t>
  </si>
  <si>
    <t>INV-019-68190</t>
  </si>
  <si>
    <t>PO490052</t>
  </si>
  <si>
    <t>GR490052</t>
  </si>
  <si>
    <t>TXN-0998</t>
  </si>
  <si>
    <t>INV-025-57049</t>
  </si>
  <si>
    <t>PO474963</t>
  </si>
  <si>
    <t>GR474963</t>
  </si>
  <si>
    <t>TXN-0999</t>
  </si>
  <si>
    <t>INV-025-23274</t>
  </si>
  <si>
    <t>PO481163</t>
  </si>
  <si>
    <t>GR481163</t>
  </si>
  <si>
    <t>TXN-1000</t>
  </si>
  <si>
    <t>INV-027-33566</t>
  </si>
  <si>
    <t>PO481690</t>
  </si>
  <si>
    <t>GR481690</t>
  </si>
  <si>
    <t>TXN-1001</t>
  </si>
  <si>
    <t>INV-037-99709</t>
  </si>
  <si>
    <t>PO409744</t>
  </si>
  <si>
    <t>GR409744</t>
  </si>
  <si>
    <t>TXN-1002</t>
  </si>
  <si>
    <t>INV-039-85711</t>
  </si>
  <si>
    <t>TXN-1003</t>
  </si>
  <si>
    <t>INV-039-60579</t>
  </si>
  <si>
    <t>PO409108</t>
  </si>
  <si>
    <t>GR409108</t>
  </si>
  <si>
    <t>TXN-1004</t>
  </si>
  <si>
    <t>INV-009-94500</t>
  </si>
  <si>
    <t>PO496693</t>
  </si>
  <si>
    <t>GR496693</t>
  </si>
  <si>
    <t>TXN-1005</t>
  </si>
  <si>
    <t>INV-026-17026</t>
  </si>
  <si>
    <t>PO489974</t>
  </si>
  <si>
    <t>GR489974</t>
  </si>
  <si>
    <t>TXN-1006</t>
  </si>
  <si>
    <t>INV-014-27527</t>
  </si>
  <si>
    <t>PO490681</t>
  </si>
  <si>
    <t>GR490681</t>
  </si>
  <si>
    <t>TXN-1007</t>
  </si>
  <si>
    <t>INV-020-40102</t>
  </si>
  <si>
    <t>PO449712</t>
  </si>
  <si>
    <t>GR449712</t>
  </si>
  <si>
    <t>TXN-1008</t>
  </si>
  <si>
    <t>INV-026-32650</t>
  </si>
  <si>
    <t>PO455923</t>
  </si>
  <si>
    <t>GR455923</t>
  </si>
  <si>
    <t>TXN-1009</t>
  </si>
  <si>
    <t>INV-029-93859</t>
  </si>
  <si>
    <t>PO472260</t>
  </si>
  <si>
    <t>GR472260</t>
  </si>
  <si>
    <t>TXN-1010</t>
  </si>
  <si>
    <t>INV-012-59487</t>
  </si>
  <si>
    <t>PO445121</t>
  </si>
  <si>
    <t>GR445121</t>
  </si>
  <si>
    <t>TXN-1011</t>
  </si>
  <si>
    <t>INV-016-54092</t>
  </si>
  <si>
    <t>PO449674</t>
  </si>
  <si>
    <t>GR449674</t>
  </si>
  <si>
    <t>TXN-1012</t>
  </si>
  <si>
    <t>INV-029-38905</t>
  </si>
  <si>
    <t>PO404044</t>
  </si>
  <si>
    <t>GR404044</t>
  </si>
  <si>
    <t>TXN-1013</t>
  </si>
  <si>
    <t>INV-006-71377</t>
  </si>
  <si>
    <t>PO491566</t>
  </si>
  <si>
    <t>GR491566</t>
  </si>
  <si>
    <t>TXN-1014</t>
  </si>
  <si>
    <t>INV-009-94495</t>
  </si>
  <si>
    <t>PO473184</t>
  </si>
  <si>
    <t>GR473184</t>
  </si>
  <si>
    <t>TXN-1015</t>
  </si>
  <si>
    <t>INV-011-63636</t>
  </si>
  <si>
    <t>PO497322</t>
  </si>
  <si>
    <t>GR497322</t>
  </si>
  <si>
    <t>TXN-1016</t>
  </si>
  <si>
    <t>INV-016-36911</t>
  </si>
  <si>
    <t>PO449271</t>
  </si>
  <si>
    <t>GR449271</t>
  </si>
  <si>
    <t>TXN-1017</t>
  </si>
  <si>
    <t>INV-002-37175</t>
  </si>
  <si>
    <t>PO496661</t>
  </si>
  <si>
    <t>GR496661</t>
  </si>
  <si>
    <t>TXN-1018</t>
  </si>
  <si>
    <t>INV-005-94604</t>
  </si>
  <si>
    <t>PO423388</t>
  </si>
  <si>
    <t>GR423388</t>
  </si>
  <si>
    <t>TXN-1019</t>
  </si>
  <si>
    <t>INV-006-60871</t>
  </si>
  <si>
    <t>PO466665</t>
  </si>
  <si>
    <t>GR466665</t>
  </si>
  <si>
    <t>TXN-1020</t>
  </si>
  <si>
    <t>INV-011-69113</t>
  </si>
  <si>
    <t>PO441232</t>
  </si>
  <si>
    <t>GR441232</t>
  </si>
  <si>
    <t>TXN-1021</t>
  </si>
  <si>
    <t>INV-015-85513</t>
  </si>
  <si>
    <t>PO497175</t>
  </si>
  <si>
    <t>GR497175</t>
  </si>
  <si>
    <t>TXN-1022</t>
  </si>
  <si>
    <t>INV-015-16117</t>
  </si>
  <si>
    <t>PO446562</t>
  </si>
  <si>
    <t>GR446562</t>
  </si>
  <si>
    <t>TXN-1023</t>
  </si>
  <si>
    <t>INV-016-60446</t>
  </si>
  <si>
    <t>PO484070</t>
  </si>
  <si>
    <t>GR484070</t>
  </si>
  <si>
    <t>TXN-1024</t>
  </si>
  <si>
    <t>INV-019-72530</t>
  </si>
  <si>
    <t>PO464478</t>
  </si>
  <si>
    <t>GR464478</t>
  </si>
  <si>
    <t>TXN-1025</t>
  </si>
  <si>
    <t>INV-021-16253</t>
  </si>
  <si>
    <t>PO474427</t>
  </si>
  <si>
    <t>GR474427</t>
  </si>
  <si>
    <t>TXN-1026</t>
  </si>
  <si>
    <t>INV-023-55693</t>
  </si>
  <si>
    <t>PO436996</t>
  </si>
  <si>
    <t>GR436996</t>
  </si>
  <si>
    <t>TXN-1027</t>
  </si>
  <si>
    <t>INV-029-30195</t>
  </si>
  <si>
    <t>TXN-1028</t>
  </si>
  <si>
    <t>INV-031-33559</t>
  </si>
  <si>
    <t>PO469711</t>
  </si>
  <si>
    <t>GR469711</t>
  </si>
  <si>
    <t>TXN-1029</t>
  </si>
  <si>
    <t>INV-036-42435</t>
  </si>
  <si>
    <t>PO428627</t>
  </si>
  <si>
    <t>TXN-1030</t>
  </si>
  <si>
    <t>INV-038-42129</t>
  </si>
  <si>
    <t>PO471638</t>
  </si>
  <si>
    <t>GR471638</t>
  </si>
  <si>
    <t>TXN-1031</t>
  </si>
  <si>
    <t>INV-002-95037</t>
  </si>
  <si>
    <t>PO491920</t>
  </si>
  <si>
    <t>GR491920</t>
  </si>
  <si>
    <t>TXN-1032</t>
  </si>
  <si>
    <t>INV-012-31432</t>
  </si>
  <si>
    <t>TXN-1033</t>
  </si>
  <si>
    <t>INV-030-12122</t>
  </si>
  <si>
    <t>PO455314</t>
  </si>
  <si>
    <t>GR455314</t>
  </si>
  <si>
    <t>TXN-1034</t>
  </si>
  <si>
    <t>INV-031-17305</t>
  </si>
  <si>
    <t>PO466412</t>
  </si>
  <si>
    <t>GR466412</t>
  </si>
  <si>
    <t>TXN-1035</t>
  </si>
  <si>
    <t>INV-001-29566</t>
  </si>
  <si>
    <t>PO499766</t>
  </si>
  <si>
    <t>GR499766</t>
  </si>
  <si>
    <t>TXN-1036</t>
  </si>
  <si>
    <t>INV-013-17346</t>
  </si>
  <si>
    <t>PO467050</t>
  </si>
  <si>
    <t>GR467050</t>
  </si>
  <si>
    <t>TXN-1037</t>
  </si>
  <si>
    <t>INV-016-50824</t>
  </si>
  <si>
    <t>PO461220</t>
  </si>
  <si>
    <t>GR461220</t>
  </si>
  <si>
    <t>TXN-1038</t>
  </si>
  <si>
    <t>INV-017-91959</t>
  </si>
  <si>
    <t>PO413947</t>
  </si>
  <si>
    <t>GR413947</t>
  </si>
  <si>
    <t>TXN-1039</t>
  </si>
  <si>
    <t>INV-027-16166</t>
  </si>
  <si>
    <t>PO472984</t>
  </si>
  <si>
    <t>GR472984</t>
  </si>
  <si>
    <t>TXN-1040</t>
  </si>
  <si>
    <t>INV-031-75976</t>
  </si>
  <si>
    <t>PO445519</t>
  </si>
  <si>
    <t>GR445519</t>
  </si>
  <si>
    <t>TXN-1041</t>
  </si>
  <si>
    <t>INV-003-34874</t>
  </si>
  <si>
    <t>PO464237</t>
  </si>
  <si>
    <t>GR464237</t>
  </si>
  <si>
    <t>TXN-1042</t>
  </si>
  <si>
    <t>INV-003-36920</t>
  </si>
  <si>
    <t>PO415474</t>
  </si>
  <si>
    <t>GR415474</t>
  </si>
  <si>
    <t>TXN-1043</t>
  </si>
  <si>
    <t>INV-010-21097</t>
  </si>
  <si>
    <t>PO417796</t>
  </si>
  <si>
    <t>GR417796</t>
  </si>
  <si>
    <t>TXN-1044</t>
  </si>
  <si>
    <t>INV-012-75972</t>
  </si>
  <si>
    <t>PO469655</t>
  </si>
  <si>
    <t>GR469655</t>
  </si>
  <si>
    <t>TXN-1045</t>
  </si>
  <si>
    <t>INV-023-84141</t>
  </si>
  <si>
    <t>PO445093</t>
  </si>
  <si>
    <t>GR445093</t>
  </si>
  <si>
    <t>TXN-1046</t>
  </si>
  <si>
    <t>INV-040-82305</t>
  </si>
  <si>
    <t>PO469758</t>
  </si>
  <si>
    <t>GR469758</t>
  </si>
  <si>
    <t>TXN-1047</t>
  </si>
  <si>
    <t>INV-022-28781</t>
  </si>
  <si>
    <t>PO442904</t>
  </si>
  <si>
    <t>GR442904</t>
  </si>
  <si>
    <t>TXN-1048</t>
  </si>
  <si>
    <t>INV-028-87810</t>
  </si>
  <si>
    <t>PO476273</t>
  </si>
  <si>
    <t>GR476273</t>
  </si>
  <si>
    <t>TXN-1049</t>
  </si>
  <si>
    <t>INV-005-77277</t>
  </si>
  <si>
    <t>PO415336</t>
  </si>
  <si>
    <t>GR415336</t>
  </si>
  <si>
    <t>TXN-1050</t>
  </si>
  <si>
    <t>INV-006-47642</t>
  </si>
  <si>
    <t>PO492642</t>
  </si>
  <si>
    <t>GR492642</t>
  </si>
  <si>
    <t>TXN-1051</t>
  </si>
  <si>
    <t>INV-010-96594</t>
  </si>
  <si>
    <t>PO431188</t>
  </si>
  <si>
    <t>GR431188</t>
  </si>
  <si>
    <t>TXN-1052</t>
  </si>
  <si>
    <t>INV-011-60997</t>
  </si>
  <si>
    <t>PO493811</t>
  </si>
  <si>
    <t>GR493811</t>
  </si>
  <si>
    <t>TXN-1053</t>
  </si>
  <si>
    <t>INV-017-16827</t>
  </si>
  <si>
    <t>PO447241</t>
  </si>
  <si>
    <t>GR447241</t>
  </si>
  <si>
    <t>TXN-1054</t>
  </si>
  <si>
    <t>INV-020-89511</t>
  </si>
  <si>
    <t>PO484613</t>
  </si>
  <si>
    <t>GR484613</t>
  </si>
  <si>
    <t>TXN-1055</t>
  </si>
  <si>
    <t>INV-021-61495</t>
  </si>
  <si>
    <t>PO488294</t>
  </si>
  <si>
    <t>GR488294</t>
  </si>
  <si>
    <t>TXN-1056</t>
  </si>
  <si>
    <t>INV-024-16155</t>
  </si>
  <si>
    <t>TXN-1057</t>
  </si>
  <si>
    <t>INV-024-61262</t>
  </si>
  <si>
    <t>PO453852</t>
  </si>
  <si>
    <t>GR453852</t>
  </si>
  <si>
    <t>TXN-1058</t>
  </si>
  <si>
    <t>INV-027-23294</t>
  </si>
  <si>
    <t>PO449197</t>
  </si>
  <si>
    <t>GR449197</t>
  </si>
  <si>
    <t>TXN-1059</t>
  </si>
  <si>
    <t>INV-027-63790</t>
  </si>
  <si>
    <t>TXN-1060</t>
  </si>
  <si>
    <t>INV-030-94793</t>
  </si>
  <si>
    <t>TXN-1061</t>
  </si>
  <si>
    <t>INV-031-81260</t>
  </si>
  <si>
    <t>PO409034</t>
  </si>
  <si>
    <t>GR409034</t>
  </si>
  <si>
    <t>TXN-1062</t>
  </si>
  <si>
    <t>INV-031-26827</t>
  </si>
  <si>
    <t>PO422760</t>
  </si>
  <si>
    <t>GR422760</t>
  </si>
  <si>
    <t>TXN-1063</t>
  </si>
  <si>
    <t>INV-032-68303</t>
  </si>
  <si>
    <t>PO430841</t>
  </si>
  <si>
    <t>GR430841</t>
  </si>
  <si>
    <t>TXN-1064</t>
  </si>
  <si>
    <t>INV-034-75260</t>
  </si>
  <si>
    <t>PO486781</t>
  </si>
  <si>
    <t>GR486781</t>
  </si>
  <si>
    <t>TXN-1065</t>
  </si>
  <si>
    <t>INV-024-28202</t>
  </si>
  <si>
    <t>PO426342</t>
  </si>
  <si>
    <t>GR426342</t>
  </si>
  <si>
    <t>TXN-1066</t>
  </si>
  <si>
    <t>INV-039-51750</t>
  </si>
  <si>
    <t>PO480356</t>
  </si>
  <si>
    <t>GR480356</t>
  </si>
  <si>
    <t>TXN-1067</t>
  </si>
  <si>
    <t>INV-005-75484</t>
  </si>
  <si>
    <t>PO407266</t>
  </si>
  <si>
    <t>GR407266</t>
  </si>
  <si>
    <t>TXN-1068</t>
  </si>
  <si>
    <t>INV-016-25083</t>
  </si>
  <si>
    <t>PO450469</t>
  </si>
  <si>
    <t>GR450469</t>
  </si>
  <si>
    <t>TXN-1069</t>
  </si>
  <si>
    <t>INV-019-71894</t>
  </si>
  <si>
    <t>PO463242</t>
  </si>
  <si>
    <t>GR463242</t>
  </si>
  <si>
    <t>TXN-1070</t>
  </si>
  <si>
    <t>INV-002-10860</t>
  </si>
  <si>
    <t>PO439562</t>
  </si>
  <si>
    <t>GR439562</t>
  </si>
  <si>
    <t>TXN-1071</t>
  </si>
  <si>
    <t>INV-007-14288</t>
  </si>
  <si>
    <t>PO436666</t>
  </si>
  <si>
    <t>GR436666</t>
  </si>
  <si>
    <t>TXN-1072</t>
  </si>
  <si>
    <t>INV-010-21006</t>
  </si>
  <si>
    <t>PO468770</t>
  </si>
  <si>
    <t>GR468770</t>
  </si>
  <si>
    <t>TXN-1073</t>
  </si>
  <si>
    <t>INV-013-14975</t>
  </si>
  <si>
    <t>PO464282</t>
  </si>
  <si>
    <t>GR464282</t>
  </si>
  <si>
    <t>TXN-1074</t>
  </si>
  <si>
    <t>INV-020-51662</t>
  </si>
  <si>
    <t>PO409552</t>
  </si>
  <si>
    <t>GR409552</t>
  </si>
  <si>
    <t>TXN-1075</t>
  </si>
  <si>
    <t>INV-020-13517</t>
  </si>
  <si>
    <t>PO429428</t>
  </si>
  <si>
    <t>GR429428</t>
  </si>
  <si>
    <t>TXN-1076</t>
  </si>
  <si>
    <t>INV-004-82516</t>
  </si>
  <si>
    <t>PO441399</t>
  </si>
  <si>
    <t>GR441399</t>
  </si>
  <si>
    <t>TXN-1077</t>
  </si>
  <si>
    <t>INV-005-38080</t>
  </si>
  <si>
    <t>PO463624</t>
  </si>
  <si>
    <t>GR463624</t>
  </si>
  <si>
    <t>TXN-1078</t>
  </si>
  <si>
    <t>INV-013-42426</t>
  </si>
  <si>
    <t>PO405210</t>
  </si>
  <si>
    <t>GR405210</t>
  </si>
  <si>
    <t>TXN-1079</t>
  </si>
  <si>
    <t>INV-021-33969</t>
  </si>
  <si>
    <t>PO464330</t>
  </si>
  <si>
    <t>GR464330</t>
  </si>
  <si>
    <t>TXN-1080</t>
  </si>
  <si>
    <t>INV-022-54504</t>
  </si>
  <si>
    <t>PO487475</t>
  </si>
  <si>
    <t>GR487475</t>
  </si>
  <si>
    <t>TXN-1081</t>
  </si>
  <si>
    <t>INV-026-54500</t>
  </si>
  <si>
    <t>PO440668</t>
  </si>
  <si>
    <t>GR440668</t>
  </si>
  <si>
    <t>TXN-1082</t>
  </si>
  <si>
    <t>INV-005-77681</t>
  </si>
  <si>
    <t>PO429215</t>
  </si>
  <si>
    <t>GR429215</t>
  </si>
  <si>
    <t>TXN-1083</t>
  </si>
  <si>
    <t>INV-007-50908</t>
  </si>
  <si>
    <t>PO489318</t>
  </si>
  <si>
    <t>GR489318</t>
  </si>
  <si>
    <t>TXN-1084</t>
  </si>
  <si>
    <t>INV-009-78875</t>
  </si>
  <si>
    <t>PO462701</t>
  </si>
  <si>
    <t>GR462701</t>
  </si>
  <si>
    <t>TXN-1085</t>
  </si>
  <si>
    <t>INV-010-62965</t>
  </si>
  <si>
    <t>PO478647</t>
  </si>
  <si>
    <t>GR478647</t>
  </si>
  <si>
    <t>TXN-1086</t>
  </si>
  <si>
    <t>INV-011-75191</t>
  </si>
  <si>
    <t>PO440441</t>
  </si>
  <si>
    <t>GR440441</t>
  </si>
  <si>
    <t>TXN-1087</t>
  </si>
  <si>
    <t>INV-012-29014</t>
  </si>
  <si>
    <t>PO411062</t>
  </si>
  <si>
    <t>GR411062</t>
  </si>
  <si>
    <t>TXN-1088</t>
  </si>
  <si>
    <t>INV-014-93588</t>
  </si>
  <si>
    <t>PO480980</t>
  </si>
  <si>
    <t>GR480980</t>
  </si>
  <si>
    <t>TXN-1089</t>
  </si>
  <si>
    <t>INV-014-90481</t>
  </si>
  <si>
    <t>PO472165</t>
  </si>
  <si>
    <t>GR472165</t>
  </si>
  <si>
    <t>TXN-1090</t>
  </si>
  <si>
    <t>INV-016-54245</t>
  </si>
  <si>
    <t>PO489764</t>
  </si>
  <si>
    <t>GR489764</t>
  </si>
  <si>
    <t>TXN-1091</t>
  </si>
  <si>
    <t>INV-017-98668</t>
  </si>
  <si>
    <t>PO480863</t>
  </si>
  <si>
    <t>GR480863</t>
  </si>
  <si>
    <t>TXN-1092</t>
  </si>
  <si>
    <t>INV-020-12151</t>
  </si>
  <si>
    <t>TXN-1093</t>
  </si>
  <si>
    <t>INV-022-91207</t>
  </si>
  <si>
    <t>PO478638</t>
  </si>
  <si>
    <t>GR478638</t>
  </si>
  <si>
    <t>TXN-1094</t>
  </si>
  <si>
    <t>INV-030-75820</t>
  </si>
  <si>
    <t>PO447692</t>
  </si>
  <si>
    <t>GR447692</t>
  </si>
  <si>
    <t>TXN-1095</t>
  </si>
  <si>
    <t>INV-031-20500</t>
  </si>
  <si>
    <t>PO466562</t>
  </si>
  <si>
    <t>GR466562</t>
  </si>
  <si>
    <t>TXN-1096</t>
  </si>
  <si>
    <t>INV-033-98907</t>
  </si>
  <si>
    <t>PO469717</t>
  </si>
  <si>
    <t>GR469717</t>
  </si>
  <si>
    <t>TXN-1097</t>
  </si>
  <si>
    <t>INV-035-97862</t>
  </si>
  <si>
    <t>PO427627</t>
  </si>
  <si>
    <t>GR427627</t>
  </si>
  <si>
    <t>TXN-1098</t>
  </si>
  <si>
    <t>INV-037-28198</t>
  </si>
  <si>
    <t>PO422216</t>
  </si>
  <si>
    <t>GR422216</t>
  </si>
  <si>
    <t>TXN-1099</t>
  </si>
  <si>
    <t>INV-040-68446</t>
  </si>
  <si>
    <t>PO471810</t>
  </si>
  <si>
    <t>GR471810</t>
  </si>
  <si>
    <t>TXN-1100</t>
  </si>
  <si>
    <t>INV-002-49596</t>
  </si>
  <si>
    <t>PO484136</t>
  </si>
  <si>
    <t>GR484136</t>
  </si>
  <si>
    <t>TXN-1101</t>
  </si>
  <si>
    <t>INV-012-49478</t>
  </si>
  <si>
    <t>PO482207</t>
  </si>
  <si>
    <t>GR482207</t>
  </si>
  <si>
    <t>TXN-1102</t>
  </si>
  <si>
    <t>INV-026-10455</t>
  </si>
  <si>
    <t>PO429188</t>
  </si>
  <si>
    <t>GR429188</t>
  </si>
  <si>
    <t>TXN-1103</t>
  </si>
  <si>
    <t>INV-036-53479</t>
  </si>
  <si>
    <t>PO489848</t>
  </si>
  <si>
    <t>GR489848</t>
  </si>
  <si>
    <t>TXN-1104</t>
  </si>
  <si>
    <t>INV-003-98805</t>
  </si>
  <si>
    <t>PO474905</t>
  </si>
  <si>
    <t>GR474905</t>
  </si>
  <si>
    <t>TXN-1105</t>
  </si>
  <si>
    <t>INV-005-68350</t>
  </si>
  <si>
    <t>PO488029</t>
  </si>
  <si>
    <t>GR488029</t>
  </si>
  <si>
    <t>TXN-1106</t>
  </si>
  <si>
    <t>INV-020-72049</t>
  </si>
  <si>
    <t>PO471176</t>
  </si>
  <si>
    <t>GR471176</t>
  </si>
  <si>
    <t>TXN-1107</t>
  </si>
  <si>
    <t>INV-032-30836</t>
  </si>
  <si>
    <t>PO467537</t>
  </si>
  <si>
    <t>GR467537</t>
  </si>
  <si>
    <t>TXN-1108</t>
  </si>
  <si>
    <t>INV-014-32241</t>
  </si>
  <si>
    <t>PO496463</t>
  </si>
  <si>
    <t>GR496463</t>
  </si>
  <si>
    <t>TXN-1109</t>
  </si>
  <si>
    <t>INV-020-24920</t>
  </si>
  <si>
    <t>PO400803</t>
  </si>
  <si>
    <t>GR400803</t>
  </si>
  <si>
    <t>TXN-1110</t>
  </si>
  <si>
    <t>INV-024-71537</t>
  </si>
  <si>
    <t>TXN-1111</t>
  </si>
  <si>
    <t>INV-030-24996</t>
  </si>
  <si>
    <t>PO491983</t>
  </si>
  <si>
    <t>GR491983</t>
  </si>
  <si>
    <t>TXN-1112</t>
  </si>
  <si>
    <t>INV-040-33671</t>
  </si>
  <si>
    <t>PO471770</t>
  </si>
  <si>
    <t>GR471770</t>
  </si>
  <si>
    <t>TXN-1113</t>
  </si>
  <si>
    <t>INV-022-45361</t>
  </si>
  <si>
    <t>PO498682</t>
  </si>
  <si>
    <t>GR498682</t>
  </si>
  <si>
    <t>TXN-1114</t>
  </si>
  <si>
    <t>INV-030-29082</t>
  </si>
  <si>
    <t>PO458009</t>
  </si>
  <si>
    <t>GR458009</t>
  </si>
  <si>
    <t>TXN-1115</t>
  </si>
  <si>
    <t>INV-005-48970</t>
  </si>
  <si>
    <t>PO406230</t>
  </si>
  <si>
    <t>GR406230</t>
  </si>
  <si>
    <t>TXN-1116</t>
  </si>
  <si>
    <t>INV-006-81313</t>
  </si>
  <si>
    <t>PO468951</t>
  </si>
  <si>
    <t>GR468951</t>
  </si>
  <si>
    <t>TXN-1117</t>
  </si>
  <si>
    <t>INV-008-11031</t>
  </si>
  <si>
    <t>PO450917</t>
  </si>
  <si>
    <t>GR450917</t>
  </si>
  <si>
    <t>TXN-1118</t>
  </si>
  <si>
    <t>INV-011-81529</t>
  </si>
  <si>
    <t>PO451248</t>
  </si>
  <si>
    <t>GR451248</t>
  </si>
  <si>
    <t>TXN-1119</t>
  </si>
  <si>
    <t>INV-014-28661</t>
  </si>
  <si>
    <t>PO407850</t>
  </si>
  <si>
    <t>GR407850</t>
  </si>
  <si>
    <t>TXN-1120</t>
  </si>
  <si>
    <t>INV-023-52421</t>
  </si>
  <si>
    <t>PO422069</t>
  </si>
  <si>
    <t>GR422069</t>
  </si>
  <si>
    <t>TXN-1121</t>
  </si>
  <si>
    <t>INV-024-39038</t>
  </si>
  <si>
    <t>PO466039</t>
  </si>
  <si>
    <t>GR466039</t>
  </si>
  <si>
    <t>TXN-1122</t>
  </si>
  <si>
    <t>INV-024-81611</t>
  </si>
  <si>
    <t>PO457850</t>
  </si>
  <si>
    <t>GR457850</t>
  </si>
  <si>
    <t>TXN-1123</t>
  </si>
  <si>
    <t>INV-025-56421</t>
  </si>
  <si>
    <t>PO487562</t>
  </si>
  <si>
    <t>GR487562</t>
  </si>
  <si>
    <t>TXN-1124</t>
  </si>
  <si>
    <t>INV-025-29558</t>
  </si>
  <si>
    <t>PO453511</t>
  </si>
  <si>
    <t>GR453511</t>
  </si>
  <si>
    <t>TXN-1125</t>
  </si>
  <si>
    <t>INV-028-79444</t>
  </si>
  <si>
    <t>PO405693</t>
  </si>
  <si>
    <t>GR405693</t>
  </si>
  <si>
    <t>TXN-1126</t>
  </si>
  <si>
    <t>INV-031-61127</t>
  </si>
  <si>
    <t>PO492485</t>
  </si>
  <si>
    <t>GR492485</t>
  </si>
  <si>
    <t>TXN-1127</t>
  </si>
  <si>
    <t>INV-032-92727</t>
  </si>
  <si>
    <t>PO430771</t>
  </si>
  <si>
    <t>GR430771</t>
  </si>
  <si>
    <t>TXN-1128</t>
  </si>
  <si>
    <t>INV-032-41179</t>
  </si>
  <si>
    <t>PO464679</t>
  </si>
  <si>
    <t>GR464679</t>
  </si>
  <si>
    <t>TXN-1129</t>
  </si>
  <si>
    <t>INV-032-73950</t>
  </si>
  <si>
    <t>PO488954</t>
  </si>
  <si>
    <t>GR488954</t>
  </si>
  <si>
    <t>TXN-1130</t>
  </si>
  <si>
    <t>INV-038-16572</t>
  </si>
  <si>
    <t>PO407492</t>
  </si>
  <si>
    <t>GR407492</t>
  </si>
  <si>
    <t>TXN-1131</t>
  </si>
  <si>
    <t>INV-005-55745</t>
  </si>
  <si>
    <t>PO417361</t>
  </si>
  <si>
    <t>GR417361</t>
  </si>
  <si>
    <t>TXN-1132</t>
  </si>
  <si>
    <t>INV-014-43902</t>
  </si>
  <si>
    <t>PO468585</t>
  </si>
  <si>
    <t>GR468585</t>
  </si>
  <si>
    <t>TXN-1133</t>
  </si>
  <si>
    <t>INV-022-22483</t>
  </si>
  <si>
    <t>PO481033</t>
  </si>
  <si>
    <t>GR481033</t>
  </si>
  <si>
    <t>TXN-1134</t>
  </si>
  <si>
    <t>INV-027-66485</t>
  </si>
  <si>
    <t>PO496081</t>
  </si>
  <si>
    <t>GR496081</t>
  </si>
  <si>
    <t>TXN-1135</t>
  </si>
  <si>
    <t>INV-038-89079</t>
  </si>
  <si>
    <t>PO440458</t>
  </si>
  <si>
    <t>GR440458</t>
  </si>
  <si>
    <t>TXN-1136</t>
  </si>
  <si>
    <t>INV-026-43082</t>
  </si>
  <si>
    <t>PO441224</t>
  </si>
  <si>
    <t>GR441224</t>
  </si>
  <si>
    <t>TXN-1137</t>
  </si>
  <si>
    <t>INV-033-38971</t>
  </si>
  <si>
    <t>PO475397</t>
  </si>
  <si>
    <t>GR475397</t>
  </si>
  <si>
    <t>TXN-1138</t>
  </si>
  <si>
    <t>INV-013-89365</t>
  </si>
  <si>
    <t>PO419603</t>
  </si>
  <si>
    <t>GR419603</t>
  </si>
  <si>
    <t>TXN-1139</t>
  </si>
  <si>
    <t>INV-013-42397</t>
  </si>
  <si>
    <t>PO442949</t>
  </si>
  <si>
    <t>GR442949</t>
  </si>
  <si>
    <t>TXN-1140</t>
  </si>
  <si>
    <t>INV-028-22844</t>
  </si>
  <si>
    <t>PO491311</t>
  </si>
  <si>
    <t>GR491311</t>
  </si>
  <si>
    <t>TXN-1141</t>
  </si>
  <si>
    <t>INV-033-89254</t>
  </si>
  <si>
    <t>PO426174</t>
  </si>
  <si>
    <t>GR426174</t>
  </si>
  <si>
    <t>TXN-1142</t>
  </si>
  <si>
    <t>INV-033-15706</t>
  </si>
  <si>
    <t>PO461621</t>
  </si>
  <si>
    <t>GR461621</t>
  </si>
  <si>
    <t>TXN-1143</t>
  </si>
  <si>
    <t>INV-035-76088</t>
  </si>
  <si>
    <t>PO417589</t>
  </si>
  <si>
    <t>GR417589</t>
  </si>
  <si>
    <t>TXN-1144</t>
  </si>
  <si>
    <t>INV-036-86484</t>
  </si>
  <si>
    <t>PO456155</t>
  </si>
  <si>
    <t>GR456155</t>
  </si>
  <si>
    <t>TXN-1145</t>
  </si>
  <si>
    <t>INV-019-61296</t>
  </si>
  <si>
    <t>PO477858</t>
  </si>
  <si>
    <t>GR477858</t>
  </si>
  <si>
    <t>TXN-1146</t>
  </si>
  <si>
    <t>INV-024-72096</t>
  </si>
  <si>
    <t>PO464853</t>
  </si>
  <si>
    <t>GR464853</t>
  </si>
  <si>
    <t>TXN-1147</t>
  </si>
  <si>
    <t>INV-036-41135</t>
  </si>
  <si>
    <t>PO438980</t>
  </si>
  <si>
    <t>GR438980</t>
  </si>
  <si>
    <t>TXN-1148</t>
  </si>
  <si>
    <t>INV-038-13027</t>
  </si>
  <si>
    <t>PO424102</t>
  </si>
  <si>
    <t>GR424102</t>
  </si>
  <si>
    <t>TXN-1149</t>
  </si>
  <si>
    <t>INV-001-42264</t>
  </si>
  <si>
    <t>PO410070</t>
  </si>
  <si>
    <t>GR410070</t>
  </si>
  <si>
    <t>TXN-1150</t>
  </si>
  <si>
    <t>INV-008-69233</t>
  </si>
  <si>
    <t>PO427215</t>
  </si>
  <si>
    <t>GR427215</t>
  </si>
  <si>
    <t>TXN-1151</t>
  </si>
  <si>
    <t>INV-009-32264</t>
  </si>
  <si>
    <t>PO434116</t>
  </si>
  <si>
    <t>GR434116</t>
  </si>
  <si>
    <t>TXN-1152</t>
  </si>
  <si>
    <t>INV-012-70562</t>
  </si>
  <si>
    <t>PO455885</t>
  </si>
  <si>
    <t>GR455885</t>
  </si>
  <si>
    <t>TXN-1153</t>
  </si>
  <si>
    <t>INV-014-99443</t>
  </si>
  <si>
    <t>PO454596</t>
  </si>
  <si>
    <t>GR454596</t>
  </si>
  <si>
    <t>TXN-1154</t>
  </si>
  <si>
    <t>INV-019-25167</t>
  </si>
  <si>
    <t>PO464711</t>
  </si>
  <si>
    <t>GR464711</t>
  </si>
  <si>
    <t>TXN-1155</t>
  </si>
  <si>
    <t>INV-027-23791</t>
  </si>
  <si>
    <t>PO410031</t>
  </si>
  <si>
    <t>GR410031</t>
  </si>
  <si>
    <t>TXN-1156</t>
  </si>
  <si>
    <t>INV-030-76616</t>
  </si>
  <si>
    <t>PO478561</t>
  </si>
  <si>
    <t>GR478561</t>
  </si>
  <si>
    <t>TXN-1157</t>
  </si>
  <si>
    <t>INV-032-63713</t>
  </si>
  <si>
    <t>PO442283</t>
  </si>
  <si>
    <t>GR442283</t>
  </si>
  <si>
    <t>TXN-1158</t>
  </si>
  <si>
    <t>INV-035-37964</t>
  </si>
  <si>
    <t>PO428992</t>
  </si>
  <si>
    <t>GR428992</t>
  </si>
  <si>
    <t>TXN-1159</t>
  </si>
  <si>
    <t>INV-037-43303</t>
  </si>
  <si>
    <t>PO472120</t>
  </si>
  <si>
    <t>GR472120</t>
  </si>
  <si>
    <t>TXN-1160</t>
  </si>
  <si>
    <t>INV-037-62509</t>
  </si>
  <si>
    <t>PO439692</t>
  </si>
  <si>
    <t>GR439692</t>
  </si>
  <si>
    <t>TXN-1161</t>
  </si>
  <si>
    <t>INV-038-35443</t>
  </si>
  <si>
    <t>PO413176</t>
  </si>
  <si>
    <t>GR413176</t>
  </si>
  <si>
    <t>TXN-1162</t>
  </si>
  <si>
    <t>INV-011-18569</t>
  </si>
  <si>
    <t>PO493184</t>
  </si>
  <si>
    <t>GR493184</t>
  </si>
  <si>
    <t>TXN-1163</t>
  </si>
  <si>
    <t>INV-035-78242</t>
  </si>
  <si>
    <t>PO405047</t>
  </si>
  <si>
    <t>GR405047</t>
  </si>
  <si>
    <t>TXN-1164</t>
  </si>
  <si>
    <t>INV-005-53064</t>
  </si>
  <si>
    <t>PO430539</t>
  </si>
  <si>
    <t>GR430539</t>
  </si>
  <si>
    <t>TXN-1165</t>
  </si>
  <si>
    <t>INV-006-77081</t>
  </si>
  <si>
    <t>PO411452</t>
  </si>
  <si>
    <t>GR411452</t>
  </si>
  <si>
    <t>TXN-1166</t>
  </si>
  <si>
    <t>INV-012-46087</t>
  </si>
  <si>
    <t>PO461393</t>
  </si>
  <si>
    <t>GR461393</t>
  </si>
  <si>
    <t>TXN-1167</t>
  </si>
  <si>
    <t>INV-029-99181</t>
  </si>
  <si>
    <t>TXN-1168</t>
  </si>
  <si>
    <t>INV-035-12052</t>
  </si>
  <si>
    <t>PO441220</t>
  </si>
  <si>
    <t>GR441220</t>
  </si>
  <si>
    <t>TXN-1169</t>
  </si>
  <si>
    <t>INV-001-75107</t>
  </si>
  <si>
    <t>PO497671</t>
  </si>
  <si>
    <t>GR497671</t>
  </si>
  <si>
    <t>TXN-1170</t>
  </si>
  <si>
    <t>INV-032-90125</t>
  </si>
  <si>
    <t>PO450939</t>
  </si>
  <si>
    <t>GR450939</t>
  </si>
  <si>
    <t>TXN-1171</t>
  </si>
  <si>
    <t>INV-038-79541</t>
  </si>
  <si>
    <t>PO478301</t>
  </si>
  <si>
    <t>GR478301</t>
  </si>
  <si>
    <t>TXN-1172</t>
  </si>
  <si>
    <t>INV-022-65069</t>
  </si>
  <si>
    <t>PO427110</t>
  </si>
  <si>
    <t>GR427110</t>
  </si>
  <si>
    <t>TXN-1173</t>
  </si>
  <si>
    <t>INV-028-45509</t>
  </si>
  <si>
    <t>PO459473</t>
  </si>
  <si>
    <t>GR459473</t>
  </si>
  <si>
    <t>TXN-1174</t>
  </si>
  <si>
    <t>INV-039-10932</t>
  </si>
  <si>
    <t>PO400716</t>
  </si>
  <si>
    <t>GR400716</t>
  </si>
  <si>
    <t>TXN-1175</t>
  </si>
  <si>
    <t>INV-026-64827</t>
  </si>
  <si>
    <t>PO490663</t>
  </si>
  <si>
    <t>GR490663</t>
  </si>
  <si>
    <t>TXN-1176</t>
  </si>
  <si>
    <t>INV-027-35507</t>
  </si>
  <si>
    <t>PO451361</t>
  </si>
  <si>
    <t>GR451361</t>
  </si>
  <si>
    <t>TXN-1177</t>
  </si>
  <si>
    <t>TXN-1178</t>
  </si>
  <si>
    <t>INV-004-69829</t>
  </si>
  <si>
    <t>PO415906</t>
  </si>
  <si>
    <t>GR415906</t>
  </si>
  <si>
    <t>TXN-1179</t>
  </si>
  <si>
    <t>INV-006-65550</t>
  </si>
  <si>
    <t>PO429573</t>
  </si>
  <si>
    <t>GR429573</t>
  </si>
  <si>
    <t>TXN-1180</t>
  </si>
  <si>
    <t>INV-009-94123</t>
  </si>
  <si>
    <t>PO471058</t>
  </si>
  <si>
    <t>GR471058</t>
  </si>
  <si>
    <t>TXN-1181</t>
  </si>
  <si>
    <t>INV-012-30732</t>
  </si>
  <si>
    <t>PO486184</t>
  </si>
  <si>
    <t>GR486184</t>
  </si>
  <si>
    <t>TXN-1182</t>
  </si>
  <si>
    <t>INV-025-53934</t>
  </si>
  <si>
    <t>PO422398</t>
  </si>
  <si>
    <t>GR422398</t>
  </si>
  <si>
    <t>TXN-1183</t>
  </si>
  <si>
    <t>INV-027-89887</t>
  </si>
  <si>
    <t>PO410350</t>
  </si>
  <si>
    <t>GR410350</t>
  </si>
  <si>
    <t>TXN-1184</t>
  </si>
  <si>
    <t>INV-031-84885</t>
  </si>
  <si>
    <t>PO485491</t>
  </si>
  <si>
    <t>GR485491</t>
  </si>
  <si>
    <t>TXN-1185</t>
  </si>
  <si>
    <t>INV-033-11832</t>
  </si>
  <si>
    <t>PO475777</t>
  </si>
  <si>
    <t>GR475777</t>
  </si>
  <si>
    <t>TXN-1186</t>
  </si>
  <si>
    <t>INV-035-50620</t>
  </si>
  <si>
    <t>PO410957</t>
  </si>
  <si>
    <t>GR410957</t>
  </si>
  <si>
    <t>TXN-1187</t>
  </si>
  <si>
    <t>INV-037-78248</t>
  </si>
  <si>
    <t>TXN-1188</t>
  </si>
  <si>
    <t>INV-039-18526</t>
  </si>
  <si>
    <t>TXN-1189</t>
  </si>
  <si>
    <t>TXN-1190</t>
  </si>
  <si>
    <t>INV-023-86791</t>
  </si>
  <si>
    <t>PO489088</t>
  </si>
  <si>
    <t>GR489088</t>
  </si>
  <si>
    <t>TXN-1191</t>
  </si>
  <si>
    <t>INV-029-29536</t>
  </si>
  <si>
    <t>PO490573</t>
  </si>
  <si>
    <t>GR490573</t>
  </si>
  <si>
    <t>TXN-1192</t>
  </si>
  <si>
    <t>INV-030-94711</t>
  </si>
  <si>
    <t>PO437737</t>
  </si>
  <si>
    <t>GR437737</t>
  </si>
  <si>
    <t>TXN-1193</t>
  </si>
  <si>
    <t>INV-040-20611</t>
  </si>
  <si>
    <t>PO489740</t>
  </si>
  <si>
    <t>GR489740</t>
  </si>
  <si>
    <t>TXN-1194</t>
  </si>
  <si>
    <t>INV-040-78387</t>
  </si>
  <si>
    <t>PO474743</t>
  </si>
  <si>
    <t>GR474743</t>
  </si>
  <si>
    <t>TXN-1195</t>
  </si>
  <si>
    <t>INV-021-98488</t>
  </si>
  <si>
    <t>PO413114</t>
  </si>
  <si>
    <t>GR413114</t>
  </si>
  <si>
    <t>TXN-1196</t>
  </si>
  <si>
    <t>INV-025-78116</t>
  </si>
  <si>
    <t>PO436202</t>
  </si>
  <si>
    <t>GR436202</t>
  </si>
  <si>
    <t>TXN-1197</t>
  </si>
  <si>
    <t>INV-026-11824</t>
  </si>
  <si>
    <t>TXN-1198</t>
  </si>
  <si>
    <t>INV-003-33597</t>
  </si>
  <si>
    <t>PO433850</t>
  </si>
  <si>
    <t>GR433850</t>
  </si>
  <si>
    <t>TXN-1199</t>
  </si>
  <si>
    <t>INV-010-25525</t>
  </si>
  <si>
    <t>PO432530</t>
  </si>
  <si>
    <t>GR432530</t>
  </si>
  <si>
    <t>TXN-1200</t>
  </si>
  <si>
    <t>INV-019-70807</t>
  </si>
  <si>
    <t>PO431795</t>
  </si>
  <si>
    <t>GR431795</t>
  </si>
  <si>
    <t>TXN-1201</t>
  </si>
  <si>
    <t>INV-032-45112</t>
  </si>
  <si>
    <t>PO414969</t>
  </si>
  <si>
    <t>GR414969</t>
  </si>
  <si>
    <t>TXN-1202</t>
  </si>
  <si>
    <t>INV-033-56168</t>
  </si>
  <si>
    <t>PO415126</t>
  </si>
  <si>
    <t>GR415126</t>
  </si>
  <si>
    <t>TXN-1203</t>
  </si>
  <si>
    <t>INV-012-27947</t>
  </si>
  <si>
    <t>PO498991</t>
  </si>
  <si>
    <t>GR498991</t>
  </si>
  <si>
    <t>TXN-1204</t>
  </si>
  <si>
    <t>INV-014-18357</t>
  </si>
  <si>
    <t>PO445158</t>
  </si>
  <si>
    <t>GR445158</t>
  </si>
  <si>
    <t>TXN-1205</t>
  </si>
  <si>
    <t>INV-017-45956</t>
  </si>
  <si>
    <t>PO495538</t>
  </si>
  <si>
    <t>GR495538</t>
  </si>
  <si>
    <t>TXN-1206</t>
  </si>
  <si>
    <t>INV-023-54729</t>
  </si>
  <si>
    <t>PO481940</t>
  </si>
  <si>
    <t>GR481940</t>
  </si>
  <si>
    <t>TXN-1207</t>
  </si>
  <si>
    <t>INV-024-46160</t>
  </si>
  <si>
    <t>PO452184</t>
  </si>
  <si>
    <t>GR452184</t>
  </si>
  <si>
    <t>TXN-1208</t>
  </si>
  <si>
    <t>INV-005-60860</t>
  </si>
  <si>
    <t>PO453429</t>
  </si>
  <si>
    <t>GR453429</t>
  </si>
  <si>
    <t>TXN-1209</t>
  </si>
  <si>
    <t>INV-007-59074</t>
  </si>
  <si>
    <t>PO456139</t>
  </si>
  <si>
    <t>GR456139</t>
  </si>
  <si>
    <t>TXN-1210</t>
  </si>
  <si>
    <t>INV-009-11268</t>
  </si>
  <si>
    <t>PO496705</t>
  </si>
  <si>
    <t>GR496705</t>
  </si>
  <si>
    <t>TXN-1211</t>
  </si>
  <si>
    <t>INV-027-20636</t>
  </si>
  <si>
    <t>PO470533</t>
  </si>
  <si>
    <t>GR470533</t>
  </si>
  <si>
    <t>TXN-1212</t>
  </si>
  <si>
    <t>INV-028-32686</t>
  </si>
  <si>
    <t>PO430953</t>
  </si>
  <si>
    <t>GR430953</t>
  </si>
  <si>
    <t>TXN-1213</t>
  </si>
  <si>
    <t>INV-031-61747</t>
  </si>
  <si>
    <t>PO410348</t>
  </si>
  <si>
    <t>GR410348</t>
  </si>
  <si>
    <t>TXN-1214</t>
  </si>
  <si>
    <t>INV-031-84757</t>
  </si>
  <si>
    <t>PO449510</t>
  </si>
  <si>
    <t>GR449510</t>
  </si>
  <si>
    <t>TXN-1215</t>
  </si>
  <si>
    <t>INV-036-21746</t>
  </si>
  <si>
    <t>PO403442</t>
  </si>
  <si>
    <t>GR403442</t>
  </si>
  <si>
    <t>TXN-1216</t>
  </si>
  <si>
    <t>TXN-1217</t>
  </si>
  <si>
    <t>INV-012-93705</t>
  </si>
  <si>
    <t>PO413829</t>
  </si>
  <si>
    <t>GR413829</t>
  </si>
  <si>
    <t>TXN-1218</t>
  </si>
  <si>
    <t>INV-031-72289</t>
  </si>
  <si>
    <t>PO449454</t>
  </si>
  <si>
    <t>GR449454</t>
  </si>
  <si>
    <t>TXN-1219</t>
  </si>
  <si>
    <t>INV-033-22358</t>
  </si>
  <si>
    <t>PO420278</t>
  </si>
  <si>
    <t>GR420278</t>
  </si>
  <si>
    <t>TXN-1220</t>
  </si>
  <si>
    <t>INV-035-83815</t>
  </si>
  <si>
    <t>PO449424</t>
  </si>
  <si>
    <t>GR449424</t>
  </si>
  <si>
    <t>TXN-1221</t>
  </si>
  <si>
    <t>INV-005-16903</t>
  </si>
  <si>
    <t>PO488254</t>
  </si>
  <si>
    <t>GR488254</t>
  </si>
  <si>
    <t>TXN-1222</t>
  </si>
  <si>
    <t>INV-010-72781</t>
  </si>
  <si>
    <t>PO414721</t>
  </si>
  <si>
    <t>GR414721</t>
  </si>
  <si>
    <t>TXN-1223</t>
  </si>
  <si>
    <t>INV-018-50685</t>
  </si>
  <si>
    <t>PO409724</t>
  </si>
  <si>
    <t>GR409724</t>
  </si>
  <si>
    <t>TXN-1224</t>
  </si>
  <si>
    <t>INV-020-75592</t>
  </si>
  <si>
    <t>PO483335</t>
  </si>
  <si>
    <t>GR483335</t>
  </si>
  <si>
    <t>TXN-1225</t>
  </si>
  <si>
    <t>INV-024-85713</t>
  </si>
  <si>
    <t>PO440193</t>
  </si>
  <si>
    <t>GR440193</t>
  </si>
  <si>
    <t>TXN-1226</t>
  </si>
  <si>
    <t>TXN-1227</t>
  </si>
  <si>
    <t>INV-031-47907</t>
  </si>
  <si>
    <t>PO438616</t>
  </si>
  <si>
    <t>GR438616</t>
  </si>
  <si>
    <t>TXN-1228</t>
  </si>
  <si>
    <t>INV-040-75239</t>
  </si>
  <si>
    <t>PO482818</t>
  </si>
  <si>
    <t>GR482818</t>
  </si>
  <si>
    <t>TXN-1229</t>
  </si>
  <si>
    <t>INV-003-86056</t>
  </si>
  <si>
    <t>PO414832</t>
  </si>
  <si>
    <t>GR414832</t>
  </si>
  <si>
    <t>TXN-1230</t>
  </si>
  <si>
    <t>INV-012-66959</t>
  </si>
  <si>
    <t>PO478193</t>
  </si>
  <si>
    <t>GR478193</t>
  </si>
  <si>
    <t>TXN-1231</t>
  </si>
  <si>
    <t>INV-024-13784</t>
  </si>
  <si>
    <t>PO420155</t>
  </si>
  <si>
    <t>GR420155</t>
  </si>
  <si>
    <t>TXN-1232</t>
  </si>
  <si>
    <t>INV-028-47947</t>
  </si>
  <si>
    <t>PO454747</t>
  </si>
  <si>
    <t>GR454747</t>
  </si>
  <si>
    <t>TXN-1233</t>
  </si>
  <si>
    <t>INV-038-36772</t>
  </si>
  <si>
    <t>PO434179</t>
  </si>
  <si>
    <t>GR434179</t>
  </si>
  <si>
    <t>TXN-1234</t>
  </si>
  <si>
    <t>INV-016-53480</t>
  </si>
  <si>
    <t>PO470852</t>
  </si>
  <si>
    <t>GR470852</t>
  </si>
  <si>
    <t>TXN-1235</t>
  </si>
  <si>
    <t>INV-018-11170</t>
  </si>
  <si>
    <t>PO431862</t>
  </si>
  <si>
    <t>GR431862</t>
  </si>
  <si>
    <t>TXN-1236</t>
  </si>
  <si>
    <t>INV-001-85132</t>
  </si>
  <si>
    <t>PO425377</t>
  </si>
  <si>
    <t>GR425377</t>
  </si>
  <si>
    <t>TXN-1237</t>
  </si>
  <si>
    <t>INV-005-62923</t>
  </si>
  <si>
    <t>PO430828</t>
  </si>
  <si>
    <t>GR430828</t>
  </si>
  <si>
    <t>TXN-1238</t>
  </si>
  <si>
    <t>INV-008-80699</t>
  </si>
  <si>
    <t>PO489833</t>
  </si>
  <si>
    <t>GR489833</t>
  </si>
  <si>
    <t>TXN-1239</t>
  </si>
  <si>
    <t>INV-012-73373</t>
  </si>
  <si>
    <t>PO419162</t>
  </si>
  <si>
    <t>GR419162</t>
  </si>
  <si>
    <t>TXN-1240</t>
  </si>
  <si>
    <t>INV-018-90341</t>
  </si>
  <si>
    <t>PO465619</t>
  </si>
  <si>
    <t>GR465619</t>
  </si>
  <si>
    <t>TXN-1241</t>
  </si>
  <si>
    <t>INV-020-21161</t>
  </si>
  <si>
    <t>PO473315</t>
  </si>
  <si>
    <t>GR473315</t>
  </si>
  <si>
    <t>TXN-1242</t>
  </si>
  <si>
    <t>INV-024-49121</t>
  </si>
  <si>
    <t>PO437051</t>
  </si>
  <si>
    <t>GR437051</t>
  </si>
  <si>
    <t>TXN-1243</t>
  </si>
  <si>
    <t>INV-031-55351</t>
  </si>
  <si>
    <t>PO487679</t>
  </si>
  <si>
    <t>GR487679</t>
  </si>
  <si>
    <t>TXN-1244</t>
  </si>
  <si>
    <t>INV-021-30392</t>
  </si>
  <si>
    <t>PO406895</t>
  </si>
  <si>
    <t>GR406895</t>
  </si>
  <si>
    <t>TXN-1245</t>
  </si>
  <si>
    <t>INV-038-40649</t>
  </si>
  <si>
    <t>PO478059</t>
  </si>
  <si>
    <t>GR478059</t>
  </si>
  <si>
    <t>TXN-1246</t>
  </si>
  <si>
    <t>INV-002-80851</t>
  </si>
  <si>
    <t>PO408256</t>
  </si>
  <si>
    <t>GR408256</t>
  </si>
  <si>
    <t>TXN-1247</t>
  </si>
  <si>
    <t>INV-008-55237</t>
  </si>
  <si>
    <t>PO451712</t>
  </si>
  <si>
    <t>GR451712</t>
  </si>
  <si>
    <t>TXN-1248</t>
  </si>
  <si>
    <t>INV-009-63354</t>
  </si>
  <si>
    <t>PO461993</t>
  </si>
  <si>
    <t>GR461993</t>
  </si>
  <si>
    <t>TXN-1249</t>
  </si>
  <si>
    <t>INV-039-47982</t>
  </si>
  <si>
    <t>PO456614</t>
  </si>
  <si>
    <t>GR456614</t>
  </si>
  <si>
    <t>TXN-1250</t>
  </si>
  <si>
    <t>INV-006-90473</t>
  </si>
  <si>
    <t>PO452513</t>
  </si>
  <si>
    <t>GR452513</t>
  </si>
  <si>
    <t>TXN-1251</t>
  </si>
  <si>
    <t>INV-010-18783</t>
  </si>
  <si>
    <t>PO495302</t>
  </si>
  <si>
    <t>GR495302</t>
  </si>
  <si>
    <t>TXN-1252</t>
  </si>
  <si>
    <t>INV-015-57089</t>
  </si>
  <si>
    <t>PO403418</t>
  </si>
  <si>
    <t>GR403418</t>
  </si>
  <si>
    <t>TXN-1253</t>
  </si>
  <si>
    <t>INV-024-99903</t>
  </si>
  <si>
    <t>PO482312</t>
  </si>
  <si>
    <t>GR482312</t>
  </si>
  <si>
    <t>TXN-1254</t>
  </si>
  <si>
    <t>INV-033-23069</t>
  </si>
  <si>
    <t>PO457711</t>
  </si>
  <si>
    <t>GR457711</t>
  </si>
  <si>
    <t>TXN-1255</t>
  </si>
  <si>
    <t>INV-002-80078</t>
  </si>
  <si>
    <t>PO416272</t>
  </si>
  <si>
    <t>GR416272</t>
  </si>
  <si>
    <t>TXN-1256</t>
  </si>
  <si>
    <t>INV-004-91230</t>
  </si>
  <si>
    <t>PO482447</t>
  </si>
  <si>
    <t>GR482447</t>
  </si>
  <si>
    <t>TXN-1257</t>
  </si>
  <si>
    <t>INV-007-82297</t>
  </si>
  <si>
    <t>PO426517</t>
  </si>
  <si>
    <t>GR426517</t>
  </si>
  <si>
    <t>TXN-1258</t>
  </si>
  <si>
    <t>INV-009-72739</t>
  </si>
  <si>
    <t>PO452187</t>
  </si>
  <si>
    <t>GR452187</t>
  </si>
  <si>
    <t>TXN-1259</t>
  </si>
  <si>
    <t>TXN-1260</t>
  </si>
  <si>
    <t>INV-013-32877</t>
  </si>
  <si>
    <t>PO470574</t>
  </si>
  <si>
    <t>GR470574</t>
  </si>
  <si>
    <t>TXN-1261</t>
  </si>
  <si>
    <t>INV-013-35652</t>
  </si>
  <si>
    <t>PO436428</t>
  </si>
  <si>
    <t>GR436428</t>
  </si>
  <si>
    <t>TXN-1262</t>
  </si>
  <si>
    <t>INV-014-68390</t>
  </si>
  <si>
    <t>PO466895</t>
  </si>
  <si>
    <t>GR466895</t>
  </si>
  <si>
    <t>TXN-1263</t>
  </si>
  <si>
    <t>INV-014-92441</t>
  </si>
  <si>
    <t>PO495646</t>
  </si>
  <si>
    <t>GR495646</t>
  </si>
  <si>
    <t>TXN-1264</t>
  </si>
  <si>
    <t>INV-018-35042</t>
  </si>
  <si>
    <t>PO467715</t>
  </si>
  <si>
    <t>GR467715</t>
  </si>
  <si>
    <t>TXN-1265</t>
  </si>
  <si>
    <t>INV-022-49273</t>
  </si>
  <si>
    <t>PO480753</t>
  </si>
  <si>
    <t>GR480753</t>
  </si>
  <si>
    <t>TXN-1266</t>
  </si>
  <si>
    <t>INV-027-23224</t>
  </si>
  <si>
    <t>PO408819</t>
  </si>
  <si>
    <t>GR408819</t>
  </si>
  <si>
    <t>TXN-1267</t>
  </si>
  <si>
    <t>INV-028-67905</t>
  </si>
  <si>
    <t>PO460946</t>
  </si>
  <si>
    <t>GR460946</t>
  </si>
  <si>
    <t>TXN-1268</t>
  </si>
  <si>
    <t>INV-035-67125</t>
  </si>
  <si>
    <t>PO435774</t>
  </si>
  <si>
    <t>GR435774</t>
  </si>
  <si>
    <t>TXN-1269</t>
  </si>
  <si>
    <t>INV-036-76265</t>
  </si>
  <si>
    <t>PO420568</t>
  </si>
  <si>
    <t>GR420568</t>
  </si>
  <si>
    <t>TXN-1270</t>
  </si>
  <si>
    <t>INV-006-12857</t>
  </si>
  <si>
    <t>PO409828</t>
  </si>
  <si>
    <t>GR409828</t>
  </si>
  <si>
    <t>TXN-1271</t>
  </si>
  <si>
    <t>INV-026-74350</t>
  </si>
  <si>
    <t>PO474609</t>
  </si>
  <si>
    <t>GR474609</t>
  </si>
  <si>
    <t>TXN-1272</t>
  </si>
  <si>
    <t>INV-031-64719</t>
  </si>
  <si>
    <t>PO493077</t>
  </si>
  <si>
    <t>GR493077</t>
  </si>
  <si>
    <t>TXN-1273</t>
  </si>
  <si>
    <t>INV-037-96535</t>
  </si>
  <si>
    <t>PO418777</t>
  </si>
  <si>
    <t>GR418777</t>
  </si>
  <si>
    <t>TXN-1274</t>
  </si>
  <si>
    <t>INV-002-95267</t>
  </si>
  <si>
    <t>PO448049</t>
  </si>
  <si>
    <t>GR448049</t>
  </si>
  <si>
    <t>TXN-1275</t>
  </si>
  <si>
    <t>INV-006-66858</t>
  </si>
  <si>
    <t>PO413936</t>
  </si>
  <si>
    <t>GR413936</t>
  </si>
  <si>
    <t>TXN-1276</t>
  </si>
  <si>
    <t>INV-027-67430</t>
  </si>
  <si>
    <t>PO488918</t>
  </si>
  <si>
    <t>GR488918</t>
  </si>
  <si>
    <t>TXN-1277</t>
  </si>
  <si>
    <t>INV-033-31174</t>
  </si>
  <si>
    <t>PO499943</t>
  </si>
  <si>
    <t>GR499943</t>
  </si>
  <si>
    <t>TXN-1278</t>
  </si>
  <si>
    <t>INV-002-66164</t>
  </si>
  <si>
    <t>PO496719</t>
  </si>
  <si>
    <t>GR496719</t>
  </si>
  <si>
    <t>TXN-1279</t>
  </si>
  <si>
    <t>INV-017-38257</t>
  </si>
  <si>
    <t>PO451497</t>
  </si>
  <si>
    <t>GR451497</t>
  </si>
  <si>
    <t>TXN-1280</t>
  </si>
  <si>
    <t>INV-024-35362</t>
  </si>
  <si>
    <t>PO425751</t>
  </si>
  <si>
    <t>GR425751</t>
  </si>
  <si>
    <t>TXN-1281</t>
  </si>
  <si>
    <t>INV-027-48557</t>
  </si>
  <si>
    <t>PO444939</t>
  </si>
  <si>
    <t>GR444939</t>
  </si>
  <si>
    <t>TXN-1282</t>
  </si>
  <si>
    <t>INV-011-17780</t>
  </si>
  <si>
    <t>PO427124</t>
  </si>
  <si>
    <t>GR427124</t>
  </si>
  <si>
    <t>TXN-1283</t>
  </si>
  <si>
    <t>INV-012-10207</t>
  </si>
  <si>
    <t>PO425369</t>
  </si>
  <si>
    <t>GR425369</t>
  </si>
  <si>
    <t>TXN-1284</t>
  </si>
  <si>
    <t>INV-016-68487</t>
  </si>
  <si>
    <t>PO418398</t>
  </si>
  <si>
    <t>GR418398</t>
  </si>
  <si>
    <t>TXN-1285</t>
  </si>
  <si>
    <t>INV-019-26622</t>
  </si>
  <si>
    <t>PO410814</t>
  </si>
  <si>
    <t>GR410814</t>
  </si>
  <si>
    <t>TXN-1286</t>
  </si>
  <si>
    <t>INV-020-37100</t>
  </si>
  <si>
    <t>PO417271</t>
  </si>
  <si>
    <t>GR417271</t>
  </si>
  <si>
    <t>TXN-1287</t>
  </si>
  <si>
    <t>INV-033-75239</t>
  </si>
  <si>
    <t>PO413928</t>
  </si>
  <si>
    <t>GR413928</t>
  </si>
  <si>
    <t>TXN-1288</t>
  </si>
  <si>
    <t>INV-038-83922</t>
  </si>
  <si>
    <t>PO483342</t>
  </si>
  <si>
    <t>GR483342</t>
  </si>
  <si>
    <t>TXN-1289</t>
  </si>
  <si>
    <t>INV-002-60965</t>
  </si>
  <si>
    <t>PO456302</t>
  </si>
  <si>
    <t>GR456302</t>
  </si>
  <si>
    <t>TXN-1290</t>
  </si>
  <si>
    <t>INV-003-90634</t>
  </si>
  <si>
    <t>PO430365</t>
  </si>
  <si>
    <t>GR430365</t>
  </si>
  <si>
    <t>TXN-1291</t>
  </si>
  <si>
    <t>INV-011-91851</t>
  </si>
  <si>
    <t>PO486341</t>
  </si>
  <si>
    <t>GR486341</t>
  </si>
  <si>
    <t>TXN-1292</t>
  </si>
  <si>
    <t>INV-015-91381</t>
  </si>
  <si>
    <t>PO424920</t>
  </si>
  <si>
    <t>GR424920</t>
  </si>
  <si>
    <t>TXN-1293</t>
  </si>
  <si>
    <t>INV-020-80278</t>
  </si>
  <si>
    <t>PO413344</t>
  </si>
  <si>
    <t>GR413344</t>
  </si>
  <si>
    <t>TXN-1294</t>
  </si>
  <si>
    <t>INV-020-33029</t>
  </si>
  <si>
    <t>PO495243</t>
  </si>
  <si>
    <t>GR495243</t>
  </si>
  <si>
    <t>TXN-1295</t>
  </si>
  <si>
    <t>INV-022-33260</t>
  </si>
  <si>
    <t>PO444663</t>
  </si>
  <si>
    <t>GR444663</t>
  </si>
  <si>
    <t>TXN-1296</t>
  </si>
  <si>
    <t>INV-031-39067</t>
  </si>
  <si>
    <t>PO434483</t>
  </si>
  <si>
    <t>GR434483</t>
  </si>
  <si>
    <t>TXN-1297</t>
  </si>
  <si>
    <t>INV-031-12410</t>
  </si>
  <si>
    <t>PO487590</t>
  </si>
  <si>
    <t>GR487590</t>
  </si>
  <si>
    <t>TXN-1298</t>
  </si>
  <si>
    <t>INV-034-79722</t>
  </si>
  <si>
    <t>PO497376</t>
  </si>
  <si>
    <t>GR497376</t>
  </si>
  <si>
    <t>TXN-1299</t>
  </si>
  <si>
    <t>INV-035-74418</t>
  </si>
  <si>
    <t>PO405896</t>
  </si>
  <si>
    <t>GR405896</t>
  </si>
  <si>
    <t>TXN-1300</t>
  </si>
  <si>
    <t>INV-038-73897</t>
  </si>
  <si>
    <t>PO404851</t>
  </si>
  <si>
    <t>GR404851</t>
  </si>
  <si>
    <t>TXN-1301</t>
  </si>
  <si>
    <t>INV-039-65864</t>
  </si>
  <si>
    <t>PO426560</t>
  </si>
  <si>
    <t>GR426560</t>
  </si>
  <si>
    <t>TXN-1302</t>
  </si>
  <si>
    <t>INV-040-64000</t>
  </si>
  <si>
    <t>PO465390</t>
  </si>
  <si>
    <t>GR465390</t>
  </si>
  <si>
    <t>TXN-1303</t>
  </si>
  <si>
    <t>INV-004-19225</t>
  </si>
  <si>
    <t>PO496246</t>
  </si>
  <si>
    <t>GR496246</t>
  </si>
  <si>
    <t>TXN-1304</t>
  </si>
  <si>
    <t>INV-011-78278</t>
  </si>
  <si>
    <t>PO472034</t>
  </si>
  <si>
    <t>GR472034</t>
  </si>
  <si>
    <t>TXN-1305</t>
  </si>
  <si>
    <t>INV-015-67981</t>
  </si>
  <si>
    <t>PO424057</t>
  </si>
  <si>
    <t>GR424057</t>
  </si>
  <si>
    <t>TXN-1306</t>
  </si>
  <si>
    <t>INV-015-85809</t>
  </si>
  <si>
    <t>PO496704</t>
  </si>
  <si>
    <t>GR496704</t>
  </si>
  <si>
    <t>TXN-1307</t>
  </si>
  <si>
    <t>INV-025-31964</t>
  </si>
  <si>
    <t>PO418985</t>
  </si>
  <si>
    <t>GR418985</t>
  </si>
  <si>
    <t>TXN-1308</t>
  </si>
  <si>
    <t>INV-032-27758</t>
  </si>
  <si>
    <t>PO414021</t>
  </si>
  <si>
    <t>GR414021</t>
  </si>
  <si>
    <t>TXN-1309</t>
  </si>
  <si>
    <t>INV-039-68436</t>
  </si>
  <si>
    <t>PO491667</t>
  </si>
  <si>
    <t>GR491667</t>
  </si>
  <si>
    <t>TXN-1310</t>
  </si>
  <si>
    <t>INV-009-15167</t>
  </si>
  <si>
    <t>PO484717</t>
  </si>
  <si>
    <t>GR484717</t>
  </si>
  <si>
    <t>TXN-1311</t>
  </si>
  <si>
    <t>INV-026-76809</t>
  </si>
  <si>
    <t>PO466494</t>
  </si>
  <si>
    <t>GR466494</t>
  </si>
  <si>
    <t>TXN-1312</t>
  </si>
  <si>
    <t>INV-026-96736</t>
  </si>
  <si>
    <t>PO494312</t>
  </si>
  <si>
    <t>GR494312</t>
  </si>
  <si>
    <t>TXN-1313</t>
  </si>
  <si>
    <t>INV-010-40932</t>
  </si>
  <si>
    <t>PO408812</t>
  </si>
  <si>
    <t>GR408812</t>
  </si>
  <si>
    <t>TXN-1314</t>
  </si>
  <si>
    <t>INV-013-66083</t>
  </si>
  <si>
    <t>PO451781</t>
  </si>
  <si>
    <t>GR451781</t>
  </si>
  <si>
    <t>TXN-1315</t>
  </si>
  <si>
    <t>INV-014-99989</t>
  </si>
  <si>
    <t>PO480750</t>
  </si>
  <si>
    <t>GR480750</t>
  </si>
  <si>
    <t>TXN-1316</t>
  </si>
  <si>
    <t>INV-015-16927</t>
  </si>
  <si>
    <t>TXN-1317</t>
  </si>
  <si>
    <t>INV-027-13584</t>
  </si>
  <si>
    <t>PO459409</t>
  </si>
  <si>
    <t>GR459409</t>
  </si>
  <si>
    <t>TXN-1318</t>
  </si>
  <si>
    <t>INV-001-98172</t>
  </si>
  <si>
    <t>PO401255</t>
  </si>
  <si>
    <t>GR401255</t>
  </si>
  <si>
    <t>TXN-1319</t>
  </si>
  <si>
    <t>INV-010-88172</t>
  </si>
  <si>
    <t>PO455333</t>
  </si>
  <si>
    <t>GR455333</t>
  </si>
  <si>
    <t>TXN-1320</t>
  </si>
  <si>
    <t>INV-014-21322</t>
  </si>
  <si>
    <t>PO415725</t>
  </si>
  <si>
    <t>GR415725</t>
  </si>
  <si>
    <t>TXN-1321</t>
  </si>
  <si>
    <t>INV-001-50906</t>
  </si>
  <si>
    <t>PO445134</t>
  </si>
  <si>
    <t>GR445134</t>
  </si>
  <si>
    <t>TXN-1322</t>
  </si>
  <si>
    <t>INV-009-75873</t>
  </si>
  <si>
    <t>PO412245</t>
  </si>
  <si>
    <t>GR412245</t>
  </si>
  <si>
    <t>TXN-1323</t>
  </si>
  <si>
    <t>INV-011-25012</t>
  </si>
  <si>
    <t>TXN-1324</t>
  </si>
  <si>
    <t>INV-011-36604</t>
  </si>
  <si>
    <t>PO477003</t>
  </si>
  <si>
    <t>GR477003</t>
  </si>
  <si>
    <t>TXN-1325</t>
  </si>
  <si>
    <t>INV-012-34044</t>
  </si>
  <si>
    <t>PO486386</t>
  </si>
  <si>
    <t>GR486386</t>
  </si>
  <si>
    <t>TXN-1326</t>
  </si>
  <si>
    <t>INV-018-57600</t>
  </si>
  <si>
    <t>PO458313</t>
  </si>
  <si>
    <t>GR458313</t>
  </si>
  <si>
    <t>TXN-1327</t>
  </si>
  <si>
    <t>INV-019-71548</t>
  </si>
  <si>
    <t>PO432311</t>
  </si>
  <si>
    <t>GR432311</t>
  </si>
  <si>
    <t>TXN-1328</t>
  </si>
  <si>
    <t>INV-023-19835</t>
  </si>
  <si>
    <t>PO407518</t>
  </si>
  <si>
    <t>GR407518</t>
  </si>
  <si>
    <t>TXN-1329</t>
  </si>
  <si>
    <t>INV-026-66640</t>
  </si>
  <si>
    <t>PO486154</t>
  </si>
  <si>
    <t>GR486154</t>
  </si>
  <si>
    <t>TXN-1330</t>
  </si>
  <si>
    <t>INV-027-78494</t>
  </si>
  <si>
    <t>PO429581</t>
  </si>
  <si>
    <t>GR429581</t>
  </si>
  <si>
    <t>TXN-1331</t>
  </si>
  <si>
    <t>INV-027-37707</t>
  </si>
  <si>
    <t>PO457896</t>
  </si>
  <si>
    <t>GR457896</t>
  </si>
  <si>
    <t>TXN-1332</t>
  </si>
  <si>
    <t>INV-032-47450</t>
  </si>
  <si>
    <t>PO410155</t>
  </si>
  <si>
    <t>GR410155</t>
  </si>
  <si>
    <t>TXN-1333</t>
  </si>
  <si>
    <t>INV-033-18163</t>
  </si>
  <si>
    <t>PO496447</t>
  </si>
  <si>
    <t>GR496447</t>
  </si>
  <si>
    <t>TXN-1334</t>
  </si>
  <si>
    <t>INV-033-97983</t>
  </si>
  <si>
    <t>PO451733</t>
  </si>
  <si>
    <t>GR451733</t>
  </si>
  <si>
    <t>TXN-1335</t>
  </si>
  <si>
    <t>INV-035-92150</t>
  </si>
  <si>
    <t>PO495238</t>
  </si>
  <si>
    <t>GR495238</t>
  </si>
  <si>
    <t>TXN-1336</t>
  </si>
  <si>
    <t>INV-040-30021</t>
  </si>
  <si>
    <t>PO475090</t>
  </si>
  <si>
    <t>GR475090</t>
  </si>
  <si>
    <t>TXN-1337</t>
  </si>
  <si>
    <t>INV-040-35987</t>
  </si>
  <si>
    <t>PO460610</t>
  </si>
  <si>
    <t>GR460610</t>
  </si>
  <si>
    <t>TXN-1338</t>
  </si>
  <si>
    <t>INV-013-24526</t>
  </si>
  <si>
    <t>PO410778</t>
  </si>
  <si>
    <t>GR410778</t>
  </si>
  <si>
    <t>TXN-1339</t>
  </si>
  <si>
    <t>INV-016-86402</t>
  </si>
  <si>
    <t>PO448449</t>
  </si>
  <si>
    <t>GR448449</t>
  </si>
  <si>
    <t>TXN-1340</t>
  </si>
  <si>
    <t>INV-022-87660</t>
  </si>
  <si>
    <t>PO470770</t>
  </si>
  <si>
    <t>GR470770</t>
  </si>
  <si>
    <t>TXN-1341</t>
  </si>
  <si>
    <t>INV-030-74486</t>
  </si>
  <si>
    <t>PO481625</t>
  </si>
  <si>
    <t>GR481625</t>
  </si>
  <si>
    <t>TXN-1342</t>
  </si>
  <si>
    <t>INV-005-42087</t>
  </si>
  <si>
    <t>PO495568</t>
  </si>
  <si>
    <t>GR495568</t>
  </si>
  <si>
    <t>TXN-1343</t>
  </si>
  <si>
    <t>INV-019-33254</t>
  </si>
  <si>
    <t>PO473685</t>
  </si>
  <si>
    <t>GR473685</t>
  </si>
  <si>
    <t>TXN-1344</t>
  </si>
  <si>
    <t>INV-027-45279</t>
  </si>
  <si>
    <t>PO402440</t>
  </si>
  <si>
    <t>GR402440</t>
  </si>
  <si>
    <t>TXN-1345</t>
  </si>
  <si>
    <t>INV-032-86122</t>
  </si>
  <si>
    <t>PO418208</t>
  </si>
  <si>
    <t>GR418208</t>
  </si>
  <si>
    <t>TXN-1346</t>
  </si>
  <si>
    <t>INV-034-77045</t>
  </si>
  <si>
    <t>PO400963</t>
  </si>
  <si>
    <t>GR400963</t>
  </si>
  <si>
    <t>TXN-1347</t>
  </si>
  <si>
    <t>INV-036-44898</t>
  </si>
  <si>
    <t>PO409390</t>
  </si>
  <si>
    <t>GR409390</t>
  </si>
  <si>
    <t>TXN-1348</t>
  </si>
  <si>
    <t>INV-018-67091</t>
  </si>
  <si>
    <t>PO460931</t>
  </si>
  <si>
    <t>GR460931</t>
  </si>
  <si>
    <t>TXN-1349</t>
  </si>
  <si>
    <t>INV-020-51049</t>
  </si>
  <si>
    <t>PO417556</t>
  </si>
  <si>
    <t>GR417556</t>
  </si>
  <si>
    <t>TXN-1350</t>
  </si>
  <si>
    <t>INV-020-98809</t>
  </si>
  <si>
    <t>PO413346</t>
  </si>
  <si>
    <t>GR413346</t>
  </si>
  <si>
    <t>TXN-1351</t>
  </si>
  <si>
    <t>INV-034-85842</t>
  </si>
  <si>
    <t>PO434513</t>
  </si>
  <si>
    <t>GR434513</t>
  </si>
  <si>
    <t>TXN-1352</t>
  </si>
  <si>
    <t>INV-001-18891</t>
  </si>
  <si>
    <t>PO433347</t>
  </si>
  <si>
    <t>GR433347</t>
  </si>
  <si>
    <t>TXN-1353</t>
  </si>
  <si>
    <t>INV-006-86064</t>
  </si>
  <si>
    <t>PO460648</t>
  </si>
  <si>
    <t>GR460648</t>
  </si>
  <si>
    <t>TXN-1354</t>
  </si>
  <si>
    <t>INV-012-55143</t>
  </si>
  <si>
    <t>PO406145</t>
  </si>
  <si>
    <t>GR406145</t>
  </si>
  <si>
    <t>TXN-1355</t>
  </si>
  <si>
    <t>INV-015-49608</t>
  </si>
  <si>
    <t>PO460852</t>
  </si>
  <si>
    <t>GR460852</t>
  </si>
  <si>
    <t>TXN-1356</t>
  </si>
  <si>
    <t>INV-023-23935</t>
  </si>
  <si>
    <t>PO449006</t>
  </si>
  <si>
    <t>GR449006</t>
  </si>
  <si>
    <t>TXN-1357</t>
  </si>
  <si>
    <t>INV-028-13113</t>
  </si>
  <si>
    <t>PO420152</t>
  </si>
  <si>
    <t>GR420152</t>
  </si>
  <si>
    <t>TXN-1358</t>
  </si>
  <si>
    <t>INV-026-40689</t>
  </si>
  <si>
    <t>PO498989</t>
  </si>
  <si>
    <t>GR498989</t>
  </si>
  <si>
    <t>TXN-1359</t>
  </si>
  <si>
    <t>INV-001-91778</t>
  </si>
  <si>
    <t>PO461149</t>
  </si>
  <si>
    <t>GR461149</t>
  </si>
  <si>
    <t>TXN-1360</t>
  </si>
  <si>
    <t>INV-006-38986</t>
  </si>
  <si>
    <t>PO494084</t>
  </si>
  <si>
    <t>GR494084</t>
  </si>
  <si>
    <t>TXN-1361</t>
  </si>
  <si>
    <t>INV-007-17954</t>
  </si>
  <si>
    <t>PO411211</t>
  </si>
  <si>
    <t>GR411211</t>
  </si>
  <si>
    <t>TXN-1362</t>
  </si>
  <si>
    <t>INV-008-38721</t>
  </si>
  <si>
    <t>PO428947</t>
  </si>
  <si>
    <t>GR428947</t>
  </si>
  <si>
    <t>TXN-1363</t>
  </si>
  <si>
    <t>INV-009-87580</t>
  </si>
  <si>
    <t>PO451645</t>
  </si>
  <si>
    <t>GR451645</t>
  </si>
  <si>
    <t>TXN-1364</t>
  </si>
  <si>
    <t>INV-012-10403</t>
  </si>
  <si>
    <t>PO417837</t>
  </si>
  <si>
    <t>GR417837</t>
  </si>
  <si>
    <t>TXN-1365</t>
  </si>
  <si>
    <t>INV-025-16368</t>
  </si>
  <si>
    <t>PO481675</t>
  </si>
  <si>
    <t>GR481675</t>
  </si>
  <si>
    <t>TXN-1366</t>
  </si>
  <si>
    <t>INV-029-23994</t>
  </si>
  <si>
    <t>PO424632</t>
  </si>
  <si>
    <t>GR424632</t>
  </si>
  <si>
    <t>TXN-1367</t>
  </si>
  <si>
    <t>INV-030-11231</t>
  </si>
  <si>
    <t>PO487404</t>
  </si>
  <si>
    <t>GR487404</t>
  </si>
  <si>
    <t>TXN-1368</t>
  </si>
  <si>
    <t>INV-032-60506</t>
  </si>
  <si>
    <t>PO485315</t>
  </si>
  <si>
    <t>GR485315</t>
  </si>
  <si>
    <t>TXN-1369</t>
  </si>
  <si>
    <t>INV-033-11742</t>
  </si>
  <si>
    <t>PO492357</t>
  </si>
  <si>
    <t>GR492357</t>
  </si>
  <si>
    <t>TXN-1370</t>
  </si>
  <si>
    <t>INV-036-57617</t>
  </si>
  <si>
    <t>PO486136</t>
  </si>
  <si>
    <t>GR486136</t>
  </si>
  <si>
    <t>TXN-1371</t>
  </si>
  <si>
    <t>INV-036-70420</t>
  </si>
  <si>
    <t>PO469828</t>
  </si>
  <si>
    <t>GR469828</t>
  </si>
  <si>
    <t>TXN-1372</t>
  </si>
  <si>
    <t>INV-039-83706</t>
  </si>
  <si>
    <t>PO466628</t>
  </si>
  <si>
    <t>GR466628</t>
  </si>
  <si>
    <t>TXN-1373</t>
  </si>
  <si>
    <t>INV-003-95948</t>
  </si>
  <si>
    <t>PO406265</t>
  </si>
  <si>
    <t>GR406265</t>
  </si>
  <si>
    <t>TXN-1374</t>
  </si>
  <si>
    <t>INV-006-14679</t>
  </si>
  <si>
    <t>PO418342</t>
  </si>
  <si>
    <t>GR418342</t>
  </si>
  <si>
    <t>TXN-1375</t>
  </si>
  <si>
    <t>INV-017-95322</t>
  </si>
  <si>
    <t>PO406256</t>
  </si>
  <si>
    <t>GR406256</t>
  </si>
  <si>
    <t>TXN-1376</t>
  </si>
  <si>
    <t>INV-019-62727</t>
  </si>
  <si>
    <t>TXN-1377</t>
  </si>
  <si>
    <t>INV-019-60353</t>
  </si>
  <si>
    <t>PO405155</t>
  </si>
  <si>
    <t>GR405155</t>
  </si>
  <si>
    <t>TXN-1378</t>
  </si>
  <si>
    <t>INV-027-89745</t>
  </si>
  <si>
    <t>PO442395</t>
  </si>
  <si>
    <t>GR442395</t>
  </si>
  <si>
    <t>TXN-1379</t>
  </si>
  <si>
    <t>INV-035-90017</t>
  </si>
  <si>
    <t>TXN-1380</t>
  </si>
  <si>
    <t>INV-039-60010</t>
  </si>
  <si>
    <t>TXN-1381</t>
  </si>
  <si>
    <t>INV-015-95404</t>
  </si>
  <si>
    <t>PO435269</t>
  </si>
  <si>
    <t>GR435269</t>
  </si>
  <si>
    <t>TXN-1382</t>
  </si>
  <si>
    <t>INV-018-38476</t>
  </si>
  <si>
    <t>PO408748</t>
  </si>
  <si>
    <t>GR408748</t>
  </si>
  <si>
    <t>TXN-1383</t>
  </si>
  <si>
    <t>INV-002-28818</t>
  </si>
  <si>
    <t>PO494181</t>
  </si>
  <si>
    <t>GR494181</t>
  </si>
  <si>
    <t>TXN-1384</t>
  </si>
  <si>
    <t>INV-004-62691</t>
  </si>
  <si>
    <t>PO454959</t>
  </si>
  <si>
    <t>GR454959</t>
  </si>
  <si>
    <t>TXN-1385</t>
  </si>
  <si>
    <t>INV-010-80593</t>
  </si>
  <si>
    <t>PO482058</t>
  </si>
  <si>
    <t>GR482058</t>
  </si>
  <si>
    <t>TXN-1386</t>
  </si>
  <si>
    <t>INV-019-22577</t>
  </si>
  <si>
    <t>PO410793</t>
  </si>
  <si>
    <t>GR410793</t>
  </si>
  <si>
    <t>TXN-1387</t>
  </si>
  <si>
    <t>INV-020-49599</t>
  </si>
  <si>
    <t>PO459878</t>
  </si>
  <si>
    <t>GR459878</t>
  </si>
  <si>
    <t>TXN-1388</t>
  </si>
  <si>
    <t>INV-027-53420</t>
  </si>
  <si>
    <t>PO430016</t>
  </si>
  <si>
    <t>GR430016</t>
  </si>
  <si>
    <t>TXN-1389</t>
  </si>
  <si>
    <t>INV-037-14379</t>
  </si>
  <si>
    <t>PO409661</t>
  </si>
  <si>
    <t>GR409661</t>
  </si>
  <si>
    <t>TXN-1390</t>
  </si>
  <si>
    <t>INV-037-91785</t>
  </si>
  <si>
    <t>PO468920</t>
  </si>
  <si>
    <t>GR468920</t>
  </si>
  <si>
    <t>TXN-1391</t>
  </si>
  <si>
    <t>INV-004-16765</t>
  </si>
  <si>
    <t>PO475085</t>
  </si>
  <si>
    <t>GR475085</t>
  </si>
  <si>
    <t>TXN-1392</t>
  </si>
  <si>
    <t>INV-004-16322</t>
  </si>
  <si>
    <t>PO402587</t>
  </si>
  <si>
    <t>GR402587</t>
  </si>
  <si>
    <t>TXN-1393</t>
  </si>
  <si>
    <t>INV-009-22234</t>
  </si>
  <si>
    <t>PO435916</t>
  </si>
  <si>
    <t>GR435916</t>
  </si>
  <si>
    <t>TXN-1394</t>
  </si>
  <si>
    <t>INV-020-88878</t>
  </si>
  <si>
    <t>PO416225</t>
  </si>
  <si>
    <t>GR416225</t>
  </si>
  <si>
    <t>TXN-1395</t>
  </si>
  <si>
    <t>INV-021-76469</t>
  </si>
  <si>
    <t>PO439363</t>
  </si>
  <si>
    <t>GR439363</t>
  </si>
  <si>
    <t>TXN-1396</t>
  </si>
  <si>
    <t>INV-032-56160</t>
  </si>
  <si>
    <t>PO496045</t>
  </si>
  <si>
    <t>GR496045</t>
  </si>
  <si>
    <t>TXN-1397</t>
  </si>
  <si>
    <t>INV-032-32706</t>
  </si>
  <si>
    <t>PO484575</t>
  </si>
  <si>
    <t>GR484575</t>
  </si>
  <si>
    <t>TXN-1398</t>
  </si>
  <si>
    <t>INV-032-90440</t>
  </si>
  <si>
    <t>PO473659</t>
  </si>
  <si>
    <t>GR473659</t>
  </si>
  <si>
    <t>TXN-1399</t>
  </si>
  <si>
    <t>INV-013-53456</t>
  </si>
  <si>
    <t>PO412055</t>
  </si>
  <si>
    <t>GR412055</t>
  </si>
  <si>
    <t>TXN-1400</t>
  </si>
  <si>
    <t>INV-018-74852</t>
  </si>
  <si>
    <t>PO415327</t>
  </si>
  <si>
    <t>GR415327</t>
  </si>
  <si>
    <t>TXN-1401</t>
  </si>
  <si>
    <t>INV-030-24833</t>
  </si>
  <si>
    <t>PO465622</t>
  </si>
  <si>
    <t>GR465622</t>
  </si>
  <si>
    <t>TXN-1402</t>
  </si>
  <si>
    <t>INV-011-82450</t>
  </si>
  <si>
    <t>PO475775</t>
  </si>
  <si>
    <t>GR475775</t>
  </si>
  <si>
    <t>TXN-1403</t>
  </si>
  <si>
    <t>INV-002-76784</t>
  </si>
  <si>
    <t>TXN-1404</t>
  </si>
  <si>
    <t>INV-016-20494</t>
  </si>
  <si>
    <t>PO491841</t>
  </si>
  <si>
    <t>GR491841</t>
  </si>
  <si>
    <t>TXN-1405</t>
  </si>
  <si>
    <t>INV-020-26315</t>
  </si>
  <si>
    <t>PO405089</t>
  </si>
  <si>
    <t>GR405089</t>
  </si>
  <si>
    <t>TXN-1406</t>
  </si>
  <si>
    <t>INV-027-38939</t>
  </si>
  <si>
    <t>PO424116</t>
  </si>
  <si>
    <t>GR424116</t>
  </si>
  <si>
    <t>TXN-1407</t>
  </si>
  <si>
    <t>INV-001-86756</t>
  </si>
  <si>
    <t>PO497773</t>
  </si>
  <si>
    <t>GR497773</t>
  </si>
  <si>
    <t>TXN-1408</t>
  </si>
  <si>
    <t>INV-016-15226</t>
  </si>
  <si>
    <t>PO431958</t>
  </si>
  <si>
    <t>GR431958</t>
  </si>
  <si>
    <t>TXN-1409</t>
  </si>
  <si>
    <t>INV-019-94985</t>
  </si>
  <si>
    <t>PO409403</t>
  </si>
  <si>
    <t>GR409403</t>
  </si>
  <si>
    <t>TXN-1410</t>
  </si>
  <si>
    <t>INV-020-21104</t>
  </si>
  <si>
    <t>PO492908</t>
  </si>
  <si>
    <t>GR492908</t>
  </si>
  <si>
    <t>TXN-1411</t>
  </si>
  <si>
    <t>INV-030-18829</t>
  </si>
  <si>
    <t>TXN-1412</t>
  </si>
  <si>
    <t>INV-032-89244</t>
  </si>
  <si>
    <t>PO450152</t>
  </si>
  <si>
    <t>GR450152</t>
  </si>
  <si>
    <t>TXN-1413</t>
  </si>
  <si>
    <t>INV-034-86720</t>
  </si>
  <si>
    <t>PO423788</t>
  </si>
  <si>
    <t>GR423788</t>
  </si>
  <si>
    <t>TXN-1414</t>
  </si>
  <si>
    <t>INV-034-73131</t>
  </si>
  <si>
    <t>PO445504</t>
  </si>
  <si>
    <t>GR445504</t>
  </si>
  <si>
    <t>TXN-1415</t>
  </si>
  <si>
    <t>INV-040-63019</t>
  </si>
  <si>
    <t>PO485033</t>
  </si>
  <si>
    <t>GR485033</t>
  </si>
  <si>
    <t>TXN-1416</t>
  </si>
  <si>
    <t>INV-002-96798</t>
  </si>
  <si>
    <t>PO496921</t>
  </si>
  <si>
    <t>GR496921</t>
  </si>
  <si>
    <t>TXN-1417</t>
  </si>
  <si>
    <t>INV-003-60868</t>
  </si>
  <si>
    <t>PO447349</t>
  </si>
  <si>
    <t>GR447349</t>
  </si>
  <si>
    <t>TXN-1418</t>
  </si>
  <si>
    <t>INV-008-87862</t>
  </si>
  <si>
    <t>PO464066</t>
  </si>
  <si>
    <t>GR464066</t>
  </si>
  <si>
    <t>TXN-1419</t>
  </si>
  <si>
    <t>INV-012-36832</t>
  </si>
  <si>
    <t>PO473499</t>
  </si>
  <si>
    <t>GR473499</t>
  </si>
  <si>
    <t>TXN-1420</t>
  </si>
  <si>
    <t>INV-014-71349</t>
  </si>
  <si>
    <t>PO410480</t>
  </si>
  <si>
    <t>GR410480</t>
  </si>
  <si>
    <t>TXN-1421</t>
  </si>
  <si>
    <t>INV-014-80328</t>
  </si>
  <si>
    <t>PO488877</t>
  </si>
  <si>
    <t>GR488877</t>
  </si>
  <si>
    <t>TXN-1422</t>
  </si>
  <si>
    <t>INV-022-70238</t>
  </si>
  <si>
    <t>PO482074</t>
  </si>
  <si>
    <t>GR482074</t>
  </si>
  <si>
    <t>TXN-1423</t>
  </si>
  <si>
    <t>INV-025-14910</t>
  </si>
  <si>
    <t>PO462003</t>
  </si>
  <si>
    <t>GR462003</t>
  </si>
  <si>
    <t>TXN-1424</t>
  </si>
  <si>
    <t>INV-033-64477</t>
  </si>
  <si>
    <t>PO464451</t>
  </si>
  <si>
    <t>GR464451</t>
  </si>
  <si>
    <t>TXN-1425</t>
  </si>
  <si>
    <t>INV-034-88554</t>
  </si>
  <si>
    <t>PO451807</t>
  </si>
  <si>
    <t>GR451807</t>
  </si>
  <si>
    <t>TXN-1426</t>
  </si>
  <si>
    <t>INV-034-70210</t>
  </si>
  <si>
    <t>PO404791</t>
  </si>
  <si>
    <t>GR404791</t>
  </si>
  <si>
    <t>TXN-1427</t>
  </si>
  <si>
    <t>INV-038-95400</t>
  </si>
  <si>
    <t>PO472706</t>
  </si>
  <si>
    <t>GR472706</t>
  </si>
  <si>
    <t>TXN-1428</t>
  </si>
  <si>
    <t>INV-039-61166</t>
  </si>
  <si>
    <t>PO438455</t>
  </si>
  <si>
    <t>GR438455</t>
  </si>
  <si>
    <t>TXN-1429</t>
  </si>
  <si>
    <t>INV-001-44973</t>
  </si>
  <si>
    <t>TXN-1430</t>
  </si>
  <si>
    <t>INV-007-41970</t>
  </si>
  <si>
    <t>PO497057</t>
  </si>
  <si>
    <t>GR497057</t>
  </si>
  <si>
    <t>TXN-1431</t>
  </si>
  <si>
    <t>INV-018-38647</t>
  </si>
  <si>
    <t>PO408825</t>
  </si>
  <si>
    <t>GR408825</t>
  </si>
  <si>
    <t>TXN-1432</t>
  </si>
  <si>
    <t>INV-002-32962</t>
  </si>
  <si>
    <t>PO499125</t>
  </si>
  <si>
    <t>GR499125</t>
  </si>
  <si>
    <t>TXN-1433</t>
  </si>
  <si>
    <t>INV-021-75191</t>
  </si>
  <si>
    <t>PO485904</t>
  </si>
  <si>
    <t>GR485904</t>
  </si>
  <si>
    <t>TXN-1434</t>
  </si>
  <si>
    <t>INV-027-90676</t>
  </si>
  <si>
    <t>PO422810</t>
  </si>
  <si>
    <t>GR422810</t>
  </si>
  <si>
    <t>TXN-1435</t>
  </si>
  <si>
    <t>INV-038-20407</t>
  </si>
  <si>
    <t>PO457917</t>
  </si>
  <si>
    <t>GR457917</t>
  </si>
  <si>
    <t>TXN-1436</t>
  </si>
  <si>
    <t>INV-003-14082</t>
  </si>
  <si>
    <t>PO484323</t>
  </si>
  <si>
    <t>GR484323</t>
  </si>
  <si>
    <t>TXN-1437</t>
  </si>
  <si>
    <t>INV-006-87296</t>
  </si>
  <si>
    <t>PO454262</t>
  </si>
  <si>
    <t>GR454262</t>
  </si>
  <si>
    <t>TXN-1438</t>
  </si>
  <si>
    <t>INV-015-92862</t>
  </si>
  <si>
    <t>PO483084</t>
  </si>
  <si>
    <t>GR483084</t>
  </si>
  <si>
    <t>TXN-1439</t>
  </si>
  <si>
    <t>INV-016-29313</t>
  </si>
  <si>
    <t>PO426100</t>
  </si>
  <si>
    <t>GR426100</t>
  </si>
  <si>
    <t>TXN-1440</t>
  </si>
  <si>
    <t>INV-030-43352</t>
  </si>
  <si>
    <t>PO451897</t>
  </si>
  <si>
    <t>GR451897</t>
  </si>
  <si>
    <t>TXN-1441</t>
  </si>
  <si>
    <t>INV-036-38534</t>
  </si>
  <si>
    <t>PO438890</t>
  </si>
  <si>
    <t>GR438890</t>
  </si>
  <si>
    <t>TXN-1442</t>
  </si>
  <si>
    <t>INV-005-78690</t>
  </si>
  <si>
    <t>PO424886</t>
  </si>
  <si>
    <t>GR424886</t>
  </si>
  <si>
    <t>TXN-1443</t>
  </si>
  <si>
    <t>INV-009-17038</t>
  </si>
  <si>
    <t>PO445332</t>
  </si>
  <si>
    <t>GR445332</t>
  </si>
  <si>
    <t>TXN-1444</t>
  </si>
  <si>
    <t>INV-031-96194</t>
  </si>
  <si>
    <t>PO422280</t>
  </si>
  <si>
    <t>GR422280</t>
  </si>
  <si>
    <t>TXN-1445</t>
  </si>
  <si>
    <t>INV-035-12187</t>
  </si>
  <si>
    <t>PO409567</t>
  </si>
  <si>
    <t>TXN-1446</t>
  </si>
  <si>
    <t>INV-010-24404</t>
  </si>
  <si>
    <t>PO491818</t>
  </si>
  <si>
    <t>GR491818</t>
  </si>
  <si>
    <t>TXN-1447</t>
  </si>
  <si>
    <t>INV-012-40783</t>
  </si>
  <si>
    <t>PO426170</t>
  </si>
  <si>
    <t>GR426170</t>
  </si>
  <si>
    <t>TXN-1448</t>
  </si>
  <si>
    <t>INV-013-88612</t>
  </si>
  <si>
    <t>PO461263</t>
  </si>
  <si>
    <t>GR461263</t>
  </si>
  <si>
    <t>TXN-1449</t>
  </si>
  <si>
    <t>INV-016-53583</t>
  </si>
  <si>
    <t>PO476271</t>
  </si>
  <si>
    <t>GR476271</t>
  </si>
  <si>
    <t>TXN-1450</t>
  </si>
  <si>
    <t>INV-019-91313</t>
  </si>
  <si>
    <t>PO476435</t>
  </si>
  <si>
    <t>GR476435</t>
  </si>
  <si>
    <t>TXN-1451</t>
  </si>
  <si>
    <t>INV-019-48684</t>
  </si>
  <si>
    <t>PO408130</t>
  </si>
  <si>
    <t>GR408130</t>
  </si>
  <si>
    <t>TXN-1452</t>
  </si>
  <si>
    <t>INV-025-76074</t>
  </si>
  <si>
    <t>PO442184</t>
  </si>
  <si>
    <t>GR442184</t>
  </si>
  <si>
    <t>TXN-1453</t>
  </si>
  <si>
    <t>INV-025-15376</t>
  </si>
  <si>
    <t>PO489505</t>
  </si>
  <si>
    <t>GR489505</t>
  </si>
  <si>
    <t>TXN-1454</t>
  </si>
  <si>
    <t>INV-028-57087</t>
  </si>
  <si>
    <t>TXN-1455</t>
  </si>
  <si>
    <t>INV-028-62730</t>
  </si>
  <si>
    <t>PO454304</t>
  </si>
  <si>
    <t>GR454304</t>
  </si>
  <si>
    <t>TXN-1456</t>
  </si>
  <si>
    <t>INV-030-51588</t>
  </si>
  <si>
    <t>PO478047</t>
  </si>
  <si>
    <t>GR478047</t>
  </si>
  <si>
    <t>TXN-1457</t>
  </si>
  <si>
    <t>INV-031-24890</t>
  </si>
  <si>
    <t>TXN-1458</t>
  </si>
  <si>
    <t>TXN-1459</t>
  </si>
  <si>
    <t>INV-036-34762</t>
  </si>
  <si>
    <t>PO406975</t>
  </si>
  <si>
    <t>GR406975</t>
  </si>
  <si>
    <t>TXN-1460</t>
  </si>
  <si>
    <t>INV-037-77070</t>
  </si>
  <si>
    <t>PO411807</t>
  </si>
  <si>
    <t>GR411807</t>
  </si>
  <si>
    <t>TXN-1461</t>
  </si>
  <si>
    <t>INV-038-59857</t>
  </si>
  <si>
    <t>PO475456</t>
  </si>
  <si>
    <t>GR475456</t>
  </si>
  <si>
    <t>TXN-1462</t>
  </si>
  <si>
    <t>INV-038-17878</t>
  </si>
  <si>
    <t>PO422324</t>
  </si>
  <si>
    <t>GR422324</t>
  </si>
  <si>
    <t>TXN-1463</t>
  </si>
  <si>
    <t>INV-038-70031</t>
  </si>
  <si>
    <t>PO458360</t>
  </si>
  <si>
    <t>GR458360</t>
  </si>
  <si>
    <t>TXN-1464</t>
  </si>
  <si>
    <t>INV-004-16880</t>
  </si>
  <si>
    <t>PO430518</t>
  </si>
  <si>
    <t>GR430518</t>
  </si>
  <si>
    <t>TXN-1465</t>
  </si>
  <si>
    <t>INV-007-72460</t>
  </si>
  <si>
    <t>PO433330</t>
  </si>
  <si>
    <t>GR433330</t>
  </si>
  <si>
    <t>TXN-1466</t>
  </si>
  <si>
    <t>INV-015-50215</t>
  </si>
  <si>
    <t>PO449595</t>
  </si>
  <si>
    <t>GR449595</t>
  </si>
  <si>
    <t>TXN-1467</t>
  </si>
  <si>
    <t>INV-031-45513</t>
  </si>
  <si>
    <t>PO483863</t>
  </si>
  <si>
    <t>GR483863</t>
  </si>
  <si>
    <t>TXN-1468</t>
  </si>
  <si>
    <t>INV-031-74441</t>
  </si>
  <si>
    <t>PO488363</t>
  </si>
  <si>
    <t>GR488363</t>
  </si>
  <si>
    <t>TXN-1469</t>
  </si>
  <si>
    <t>INV-034-43004</t>
  </si>
  <si>
    <t>PO468846</t>
  </si>
  <si>
    <t>GR468846</t>
  </si>
  <si>
    <t>TXN-1470</t>
  </si>
  <si>
    <t>INV-035-73464</t>
  </si>
  <si>
    <t>PO496810</t>
  </si>
  <si>
    <t>GR496810</t>
  </si>
  <si>
    <t>TXN-1471</t>
  </si>
  <si>
    <t>INV-037-45382</t>
  </si>
  <si>
    <t>PO494478</t>
  </si>
  <si>
    <t>GR494478</t>
  </si>
  <si>
    <t>TXN-1472</t>
  </si>
  <si>
    <t>INV-009-67372</t>
  </si>
  <si>
    <t>PO446861</t>
  </si>
  <si>
    <t>GR446861</t>
  </si>
  <si>
    <t>TXN-1473</t>
  </si>
  <si>
    <t>INV-009-26429</t>
  </si>
  <si>
    <t>PO440295</t>
  </si>
  <si>
    <t>GR440295</t>
  </si>
  <si>
    <t>TXN-1474</t>
  </si>
  <si>
    <t>INV-009-66063</t>
  </si>
  <si>
    <t>PO468562</t>
  </si>
  <si>
    <t>GR468562</t>
  </si>
  <si>
    <t>TXN-1475</t>
  </si>
  <si>
    <t>INV-023-23644</t>
  </si>
  <si>
    <t>PO455977</t>
  </si>
  <si>
    <t>GR455977</t>
  </si>
  <si>
    <t>TXN-1476</t>
  </si>
  <si>
    <t>INV-035-98039</t>
  </si>
  <si>
    <t>PO452296</t>
  </si>
  <si>
    <t>GR452296</t>
  </si>
  <si>
    <t>TXN-1477</t>
  </si>
  <si>
    <t>INV-017-37886</t>
  </si>
  <si>
    <t>PO482864</t>
  </si>
  <si>
    <t>GR482864</t>
  </si>
  <si>
    <t>TXN-1478</t>
  </si>
  <si>
    <t>INV-024-30253</t>
  </si>
  <si>
    <t>PO497290</t>
  </si>
  <si>
    <t>GR497290</t>
  </si>
  <si>
    <t>TXN-1479</t>
  </si>
  <si>
    <t>INV-008-30557</t>
  </si>
  <si>
    <t>PO404273</t>
  </si>
  <si>
    <t>GR404273</t>
  </si>
  <si>
    <t>TXN-1480</t>
  </si>
  <si>
    <t>INV-024-71000</t>
  </si>
  <si>
    <t>PO415495</t>
  </si>
  <si>
    <t>GR415495</t>
  </si>
  <si>
    <t>TXN-1481</t>
  </si>
  <si>
    <t>INV-039-62198</t>
  </si>
  <si>
    <t>TXN-1482</t>
  </si>
  <si>
    <t>INV-001-94529</t>
  </si>
  <si>
    <t>TXN-1483</t>
  </si>
  <si>
    <t>INV-002-73060</t>
  </si>
  <si>
    <t>PO427424</t>
  </si>
  <si>
    <t>GR427424</t>
  </si>
  <si>
    <t>TXN-1484</t>
  </si>
  <si>
    <t>INV-004-17944</t>
  </si>
  <si>
    <t>PO412899</t>
  </si>
  <si>
    <t>GR412899</t>
  </si>
  <si>
    <t>TXN-1485</t>
  </si>
  <si>
    <t>INV-006-20215</t>
  </si>
  <si>
    <t>PO462496</t>
  </si>
  <si>
    <t>GR462496</t>
  </si>
  <si>
    <t>TXN-1486</t>
  </si>
  <si>
    <t>INV-009-62642</t>
  </si>
  <si>
    <t>PO403250</t>
  </si>
  <si>
    <t>GR403250</t>
  </si>
  <si>
    <t>TXN-1487</t>
  </si>
  <si>
    <t>INV-011-71694</t>
  </si>
  <si>
    <t>PO405075</t>
  </si>
  <si>
    <t>GR405075</t>
  </si>
  <si>
    <t>TXN-1488</t>
  </si>
  <si>
    <t>INV-014-80484</t>
  </si>
  <si>
    <t>PO426945</t>
  </si>
  <si>
    <t>GR426945</t>
  </si>
  <si>
    <t>TXN-1489</t>
  </si>
  <si>
    <t>INV-016-17852</t>
  </si>
  <si>
    <t>PO409564</t>
  </si>
  <si>
    <t>GR409564</t>
  </si>
  <si>
    <t>TXN-1490</t>
  </si>
  <si>
    <t>INV-016-95686</t>
  </si>
  <si>
    <t>PO410566</t>
  </si>
  <si>
    <t>GR410566</t>
  </si>
  <si>
    <t>TXN-1491</t>
  </si>
  <si>
    <t>INV-017-96309</t>
  </si>
  <si>
    <t>PO469887</t>
  </si>
  <si>
    <t>GR469887</t>
  </si>
  <si>
    <t>TXN-1492</t>
  </si>
  <si>
    <t>INV-019-55293</t>
  </si>
  <si>
    <t>PO457898</t>
  </si>
  <si>
    <t>GR457898</t>
  </si>
  <si>
    <t>TXN-1493</t>
  </si>
  <si>
    <t>INV-019-95208</t>
  </si>
  <si>
    <t>PO417389</t>
  </si>
  <si>
    <t>GR417389</t>
  </si>
  <si>
    <t>TXN-1494</t>
  </si>
  <si>
    <t>INV-022-92155</t>
  </si>
  <si>
    <t>PO441505</t>
  </si>
  <si>
    <t>GR441505</t>
  </si>
  <si>
    <t>TXN-1495</t>
  </si>
  <si>
    <t>INV-025-34662</t>
  </si>
  <si>
    <t>PO409539</t>
  </si>
  <si>
    <t>GR409539</t>
  </si>
  <si>
    <t>TXN-1496</t>
  </si>
  <si>
    <t>INV-038-92938</t>
  </si>
  <si>
    <t>PO479988</t>
  </si>
  <si>
    <t>GR479988</t>
  </si>
  <si>
    <t>TXN-1497</t>
  </si>
  <si>
    <t>INV-039-10702</t>
  </si>
  <si>
    <t>PO405965</t>
  </si>
  <si>
    <t>GR405965</t>
  </si>
  <si>
    <t>TXN-1498</t>
  </si>
  <si>
    <t>INV-007-25866</t>
  </si>
  <si>
    <t>PO478697</t>
  </si>
  <si>
    <t>GR478697</t>
  </si>
  <si>
    <t>TXN-1499</t>
  </si>
  <si>
    <t>INV-040-96223</t>
  </si>
  <si>
    <t>PO479822</t>
  </si>
  <si>
    <t>GR479822</t>
  </si>
  <si>
    <t>TXN-1500</t>
  </si>
  <si>
    <t>INV-007-11512</t>
  </si>
  <si>
    <t>PO496180</t>
  </si>
  <si>
    <t>GR496180</t>
  </si>
  <si>
    <t>TXN-1501</t>
  </si>
  <si>
    <t>INV-018-52898</t>
  </si>
  <si>
    <t>PO463968</t>
  </si>
  <si>
    <t>GR463968</t>
  </si>
  <si>
    <t>TXN-1502</t>
  </si>
  <si>
    <t>INV-022-94843</t>
  </si>
  <si>
    <t>PO482691</t>
  </si>
  <si>
    <t>GR482691</t>
  </si>
  <si>
    <t>TXN-1503</t>
  </si>
  <si>
    <t>INV-029-52363</t>
  </si>
  <si>
    <t>PO481857</t>
  </si>
  <si>
    <t>GR481857</t>
  </si>
  <si>
    <t>TXN-1504</t>
  </si>
  <si>
    <t>INV-030-88890</t>
  </si>
  <si>
    <t>PO497549</t>
  </si>
  <si>
    <t>GR497549</t>
  </si>
  <si>
    <t>TXN-1505</t>
  </si>
  <si>
    <t>INV-039-82362</t>
  </si>
  <si>
    <t>PO431369</t>
  </si>
  <si>
    <t>GR431369</t>
  </si>
  <si>
    <t>TXN-1506</t>
  </si>
  <si>
    <t>INV-023-64401</t>
  </si>
  <si>
    <t>PO422954</t>
  </si>
  <si>
    <t>GR422954</t>
  </si>
  <si>
    <t>TXN-1507</t>
  </si>
  <si>
    <t>INV-021-64209</t>
  </si>
  <si>
    <t>PO488047</t>
  </si>
  <si>
    <t>GR488047</t>
  </si>
  <si>
    <t>TXN-1508</t>
  </si>
  <si>
    <t>INV-038-58679</t>
  </si>
  <si>
    <t>PO420315</t>
  </si>
  <si>
    <t>GR420315</t>
  </si>
  <si>
    <t>TXN-1509</t>
  </si>
  <si>
    <t>INV-019-61879</t>
  </si>
  <si>
    <t>PO486275</t>
  </si>
  <si>
    <t>GR486275</t>
  </si>
  <si>
    <t>TXN-1510</t>
  </si>
  <si>
    <t>INV-002-28625</t>
  </si>
  <si>
    <t>PO473873</t>
  </si>
  <si>
    <t>GR473873</t>
  </si>
  <si>
    <t>TXN-1511</t>
  </si>
  <si>
    <t>INV-002-83415</t>
  </si>
  <si>
    <t>PO489218</t>
  </si>
  <si>
    <t>GR489218</t>
  </si>
  <si>
    <t>TXN-1512</t>
  </si>
  <si>
    <t>INV-005-50959</t>
  </si>
  <si>
    <t>PO475973</t>
  </si>
  <si>
    <t>GR475973</t>
  </si>
  <si>
    <t>TXN-1513</t>
  </si>
  <si>
    <t>INV-010-19337</t>
  </si>
  <si>
    <t>PO422449</t>
  </si>
  <si>
    <t>GR422449</t>
  </si>
  <si>
    <t>TXN-1514</t>
  </si>
  <si>
    <t>INV-020-64246</t>
  </si>
  <si>
    <t>PO435585</t>
  </si>
  <si>
    <t>GR435585</t>
  </si>
  <si>
    <t>TXN-1515</t>
  </si>
  <si>
    <t>INV-030-18270</t>
  </si>
  <si>
    <t>PO417675</t>
  </si>
  <si>
    <t>GR417675</t>
  </si>
  <si>
    <t>TXN-1516</t>
  </si>
  <si>
    <t>INV-033-24026</t>
  </si>
  <si>
    <t>PO423496</t>
  </si>
  <si>
    <t>GR423496</t>
  </si>
  <si>
    <t>TXN-1517</t>
  </si>
  <si>
    <t>INV-040-82235</t>
  </si>
  <si>
    <t>PO493394</t>
  </si>
  <si>
    <t>GR493394</t>
  </si>
  <si>
    <t>TXN-1518</t>
  </si>
  <si>
    <t>INV-038-52396</t>
  </si>
  <si>
    <t>PO454206</t>
  </si>
  <si>
    <t>GR454206</t>
  </si>
  <si>
    <t>TXN-1519</t>
  </si>
  <si>
    <t>INV-003-83886</t>
  </si>
  <si>
    <t>PO495285</t>
  </si>
  <si>
    <t>GR495285</t>
  </si>
  <si>
    <t>TXN-1520</t>
  </si>
  <si>
    <t>INV-007-70810</t>
  </si>
  <si>
    <t>PO480199</t>
  </si>
  <si>
    <t>GR480199</t>
  </si>
  <si>
    <t>TXN-1521</t>
  </si>
  <si>
    <t>INV-034-90225</t>
  </si>
  <si>
    <t>PO467065</t>
  </si>
  <si>
    <t>GR467065</t>
  </si>
  <si>
    <t>TXN-1522</t>
  </si>
  <si>
    <t>INV-013-95820</t>
  </si>
  <si>
    <t>PO460943</t>
  </si>
  <si>
    <t>GR460943</t>
  </si>
  <si>
    <t>TXN-1523</t>
  </si>
  <si>
    <t>INV-019-41775</t>
  </si>
  <si>
    <t>PO475481</t>
  </si>
  <si>
    <t>GR475481</t>
  </si>
  <si>
    <t>TXN-1524</t>
  </si>
  <si>
    <t>INV-001-24748</t>
  </si>
  <si>
    <t>PO454997</t>
  </si>
  <si>
    <t>GR454997</t>
  </si>
  <si>
    <t>TXN-1525</t>
  </si>
  <si>
    <t>INV-002-69699</t>
  </si>
  <si>
    <t>PO479355</t>
  </si>
  <si>
    <t>GR479355</t>
  </si>
  <si>
    <t>TXN-1526</t>
  </si>
  <si>
    <t>INV-017-52157</t>
  </si>
  <si>
    <t>PO486805</t>
  </si>
  <si>
    <t>GR486805</t>
  </si>
  <si>
    <t>TXN-1527</t>
  </si>
  <si>
    <t>INV-020-84537</t>
  </si>
  <si>
    <t>PO468719</t>
  </si>
  <si>
    <t>GR468719</t>
  </si>
  <si>
    <t>TXN-1528</t>
  </si>
  <si>
    <t>INV-023-24744</t>
  </si>
  <si>
    <t>PO464616</t>
  </si>
  <si>
    <t>GR464616</t>
  </si>
  <si>
    <t>TXN-1529</t>
  </si>
  <si>
    <t>INV-030-19266</t>
  </si>
  <si>
    <t>PO482222</t>
  </si>
  <si>
    <t>GR482222</t>
  </si>
  <si>
    <t>TXN-1530</t>
  </si>
  <si>
    <t>INV-032-58281</t>
  </si>
  <si>
    <t>PO402180</t>
  </si>
  <si>
    <t>GR402180</t>
  </si>
  <si>
    <t>TXN-1531</t>
  </si>
  <si>
    <t>INV-005-14117</t>
  </si>
  <si>
    <t>PO408834</t>
  </si>
  <si>
    <t>GR408834</t>
  </si>
  <si>
    <t>TXN-1532</t>
  </si>
  <si>
    <t>INV-005-87616</t>
  </si>
  <si>
    <t>PO414984</t>
  </si>
  <si>
    <t>GR414984</t>
  </si>
  <si>
    <t>TXN-1533</t>
  </si>
  <si>
    <t>INV-030-87883</t>
  </si>
  <si>
    <t>PO435300</t>
  </si>
  <si>
    <t>GR435300</t>
  </si>
  <si>
    <t>Assumptions and parameters</t>
  </si>
  <si>
    <t>Blue cells are inputs. Change them and every test, count and chart in the workbook recalculates.</t>
  </si>
  <si>
    <t>Parameter</t>
  </si>
  <si>
    <t>Note</t>
  </si>
  <si>
    <t>Approval limit (INR)</t>
  </si>
  <si>
    <t>Assumed single-approver limit. Invoices above this need senior approval. Illustrative value, not from a real client.</t>
  </si>
  <si>
    <t>Near-duplicate window (days)</t>
  </si>
  <si>
    <t>Same vendor + same amount, invoice dates within this many days, different invoice number.</t>
  </si>
  <si>
    <t>Just-below-limit band (%)</t>
  </si>
  <si>
    <t>Flag amounts from (limit x (1 - band)) up to the limit. 5% of 50,000 = 47,500 to 49,999.99.</t>
  </si>
  <si>
    <t>Round-number multiple (INR)</t>
  </si>
  <si>
    <t>Flag amounts that are an exact multiple of this value.</t>
  </si>
  <si>
    <t>Risk weights (points added to a transaction's score per test failed)</t>
  </si>
  <si>
    <t>Weight</t>
  </si>
  <si>
    <t>Rationale</t>
  </si>
  <si>
    <t>Duplicate invoice</t>
  </si>
  <si>
    <t>Strongest indicator of duplicate payment; most direct financial loss.</t>
  </si>
  <si>
    <t>Near-duplicate</t>
  </si>
  <si>
    <t>Same amount and vendor close in time with a different invoice number: a common way duplicates are disguised.</t>
  </si>
  <si>
    <t>Possible invoice splitting or limit avoidance.</t>
  </si>
  <si>
    <t>Round-number amount</t>
  </si>
  <si>
    <t>Weak on its own. Genuine invoices can be round, so it is weighted low.</t>
  </si>
  <si>
    <t>No PO / GRN (3-way match failure)</t>
  </si>
  <si>
    <t>Payment without purchase order or goods receipt bypasses a core control.</t>
  </si>
  <si>
    <t>Weekend payment</t>
  </si>
  <si>
    <t>Weak on its own. Unusual processing time, worth a look in combination with other flags.</t>
  </si>
  <si>
    <t>Rating cut-offs</t>
  </si>
  <si>
    <t>Minimum score</t>
  </si>
  <si>
    <t>Score at or above this value is High.</t>
  </si>
  <si>
    <t>Score at or above this value (and below High) is Medium.</t>
  </si>
  <si>
    <t>Any other flagged transaction. Score 0 = Clear.</t>
  </si>
  <si>
    <t>Vendor risk view</t>
  </si>
  <si>
    <t>Sorted by flagged transactions when the file was built; the figures themselves are live formulas.</t>
  </si>
  <si>
    <t>Flagged txns</t>
  </si>
  <si>
    <t>% flagged</t>
  </si>
  <si>
    <t>High-risk txns</t>
  </si>
  <si>
    <t>Approver analysis</t>
  </si>
  <si>
    <t>Looks for approvers whose payments cluster just under the approval limit or fail controls more often.</t>
  </si>
  <si>
    <t>Just-below-limit txns</t>
  </si>
  <si>
    <t>No PO/GRN txns</t>
  </si>
  <si>
    <t>Benford's Law test on invoice amounts</t>
  </si>
  <si>
    <t>In many natural financial datasets, about 30% of amounts start with 1 and fewer with higher digits. Large departures can point to manipulated or fabricated numbers.</t>
  </si>
  <si>
    <t>First digit</t>
  </si>
  <si>
    <t>Expected %</t>
  </si>
  <si>
    <t>Actual count</t>
  </si>
  <si>
    <t>Actual %</t>
  </si>
  <si>
    <t>Difference</t>
  </si>
  <si>
    <t>Abs difference</t>
  </si>
  <si>
    <t>Mean absolute deviation (MAD)</t>
  </si>
  <si>
    <t>Conformity (Nigrini's commonly cited MAD guide for first digits)</t>
  </si>
  <si>
    <t>Reading: a screening test only. Inspect the amounts behind the digits with the biggest gaps (here digits 1 and 5). A pass does not prove the data is clean and a gap does not prove fraud; use it to decide where to look next.</t>
  </si>
  <si>
    <t>Exceptions to investigate first (top 30 by risk score, then amount)</t>
  </si>
  <si>
    <t>Txn_ID was selected when the file was built; all other columns look up live values from the Data sheet.</t>
  </si>
  <si>
    <t>Rank</t>
  </si>
  <si>
    <t>Amount (INR)</t>
  </si>
  <si>
    <t>Risk score</t>
  </si>
  <si>
    <t>Flags triggered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</si>
</sst>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\-mmm\-yyyy"/>
    <numFmt numFmtId="166" formatCode="0.0000"/>
  </numFmts>
  <fonts count="8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7F600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CC"/>
      </patternFill>
    </fill>
    <fill>
      <patternFill patternType="solid">
        <fgColor rgb="FF1F3864"/>
        <bgColor rgb="FF333333"/>
      </patternFill>
    </fill>
    <fill>
      <patternFill patternType="solid">
        <fgColor rgb="FFFFFF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3" fontId="6" fillId="0" borderId="1" xfId="0" applyNumberFormat="1" applyFont="1" applyBorder="1"/>
    <xf numFmtId="164" fontId="6" fillId="0" borderId="1" xfId="0" applyNumberFormat="1" applyFont="1" applyBorder="1"/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0" xfId="0" applyFont="1"/>
    <xf numFmtId="165" fontId="6" fillId="0" borderId="0" xfId="0" applyNumberFormat="1" applyFont="1"/>
    <xf numFmtId="4" fontId="6" fillId="0" borderId="0" xfId="0" applyNumberFormat="1" applyFont="1"/>
    <xf numFmtId="3" fontId="7" fillId="4" borderId="1" xfId="0" applyNumberFormat="1" applyFont="1" applyFill="1" applyBorder="1" applyAlignment="1">
      <alignment vertical="top" wrapText="1"/>
    </xf>
    <xf numFmtId="1" fontId="7" fillId="4" borderId="1" xfId="0" applyNumberFormat="1" applyFont="1" applyFill="1" applyBorder="1" applyAlignment="1">
      <alignment vertical="top" wrapText="1"/>
    </xf>
    <xf numFmtId="164" fontId="7" fillId="4" borderId="1" xfId="0" applyNumberFormat="1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166" fontId="4" fillId="0" borderId="0" xfId="0" applyNumberFormat="1" applyFont="1"/>
    <xf numFmtId="165" fontId="6" fillId="0" borderId="1" xfId="0" applyNumberFormat="1" applyFont="1" applyBorder="1"/>
    <xf numFmtId="4" fontId="6" fillId="0" borderId="1" xfId="0" applyNumberFormat="1" applyFont="1" applyBorder="1"/>
  </cellXfs>
  <cellStyles count="1">
    <cellStyle name="Normal" xfId="0" builtinId="0"/>
  </cellStyles>
  <dxfs count="4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C0504D"/>
      <rgbColor rgb="FFFFFF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FF2CC"/>
      <rgbColor rgb="FFFFE6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Transactions flagged by test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Dashboard!$B$16</c:f>
              <c:strCache>
                <c:ptCount val="1"/>
                <c:pt idx="0">
                  <c:v>Transactions flagged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Dashboard!$A$17:$A$22</c:f>
              <c:strCache>
                <c:ptCount val="6"/>
                <c:pt idx="0">
                  <c:v>F1 Duplicate invoice</c:v>
                </c:pt>
                <c:pt idx="1">
                  <c:v>F2 Near-duplicate</c:v>
                </c:pt>
                <c:pt idx="2">
                  <c:v>F3 Just below limit</c:v>
                </c:pt>
                <c:pt idx="3">
                  <c:v>F4 Round amount</c:v>
                </c:pt>
                <c:pt idx="4">
                  <c:v>F5 No PO / GRN</c:v>
                </c:pt>
                <c:pt idx="5">
                  <c:v>F6 Weekend payment</c:v>
                </c:pt>
              </c:strCache>
            </c:strRef>
          </c:cat>
          <c:val>
            <c:numRef>
              <c:f>Dashboard!$B$17:$B$22</c:f>
              <c:numCache>
                <c:formatCode>#,##0</c:formatCode>
                <c:ptCount val="6"/>
                <c:pt idx="0">
                  <c:v>36</c:v>
                </c:pt>
                <c:pt idx="1">
                  <c:v>32</c:v>
                </c:pt>
                <c:pt idx="2">
                  <c:v>36</c:v>
                </c:pt>
                <c:pt idx="3">
                  <c:v>25</c:v>
                </c:pt>
                <c:pt idx="4">
                  <c:v>40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1-49AA-B511-8A3453BC2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042845"/>
        <c:axId val="34731162"/>
      </c:barChart>
      <c:catAx>
        <c:axId val="4204284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731162"/>
        <c:crosses val="autoZero"/>
        <c:auto val="1"/>
        <c:lblAlgn val="ctr"/>
        <c:lblOffset val="100"/>
        <c:noMultiLvlLbl val="0"/>
      </c:catAx>
      <c:valAx>
        <c:axId val="347311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Transactions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0428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Flagged transactions by risk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Dashboard!$B$26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Dashboard!$A$27:$A$29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Dashboard!$B$27:$B$29</c:f>
              <c:numCache>
                <c:formatCode>#,##0</c:formatCode>
                <c:ptCount val="3"/>
                <c:pt idx="0">
                  <c:v>36</c:v>
                </c:pt>
                <c:pt idx="1">
                  <c:v>108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4-4F7A-BDD3-8B694E92F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6155"/>
        <c:axId val="64576679"/>
      </c:barChart>
      <c:catAx>
        <c:axId val="11661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576679"/>
        <c:crosses val="autoZero"/>
        <c:auto val="1"/>
        <c:lblAlgn val="ctr"/>
        <c:lblOffset val="100"/>
        <c:noMultiLvlLbl val="0"/>
      </c:catAx>
      <c:valAx>
        <c:axId val="645766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Transactions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661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First-digit distribution: expected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Benford!$B$4</c:f>
              <c:strCache>
                <c:ptCount val="1"/>
                <c:pt idx="0">
                  <c:v>Expected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Benford!$A$5:$A$13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Benford!$B$5:$B$13</c:f>
              <c:numCache>
                <c:formatCode>0.0%</c:formatCode>
                <c:ptCount val="9"/>
                <c:pt idx="0">
                  <c:v>0.3010299956639812</c:v>
                </c:pt>
                <c:pt idx="1">
                  <c:v>0.17609125905568124</c:v>
                </c:pt>
                <c:pt idx="2">
                  <c:v>0.12493873660829993</c:v>
                </c:pt>
                <c:pt idx="3">
                  <c:v>9.691001300805642E-2</c:v>
                </c:pt>
                <c:pt idx="4">
                  <c:v>7.9181246047624818E-2</c:v>
                </c:pt>
                <c:pt idx="5">
                  <c:v>6.6946789630613221E-2</c:v>
                </c:pt>
                <c:pt idx="6">
                  <c:v>5.7991946977686733E-2</c:v>
                </c:pt>
                <c:pt idx="7">
                  <c:v>5.1152522447381291E-2</c:v>
                </c:pt>
                <c:pt idx="8">
                  <c:v>4.5757490560675143E-2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D-4102-99F3-7729ED3AC332}"/>
            </c:ext>
          </c:extLst>
        </c:ser>
        <c:ser>
          <c:idx val="1"/>
          <c:order val="1"/>
          <c:tx>
            <c:strRef>
              <c:f>Benford!$D$4</c:f>
              <c:strCache>
                <c:ptCount val="1"/>
                <c:pt idx="0">
                  <c:v>Actual %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Benford!$A$5:$A$13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Benford!$D$5:$D$13</c:f>
              <c:numCache>
                <c:formatCode>0.0%</c:formatCode>
                <c:ptCount val="9"/>
                <c:pt idx="0">
                  <c:v>0.31441617742987604</c:v>
                </c:pt>
                <c:pt idx="1">
                  <c:v>0.17090671885192432</c:v>
                </c:pt>
                <c:pt idx="2">
                  <c:v>0.12263535551206783</c:v>
                </c:pt>
                <c:pt idx="3">
                  <c:v>0.1050228310502283</c:v>
                </c:pt>
                <c:pt idx="4">
                  <c:v>6.3926940639269403E-2</c:v>
                </c:pt>
                <c:pt idx="5">
                  <c:v>6.9797782126549246E-2</c:v>
                </c:pt>
                <c:pt idx="6">
                  <c:v>5.1532941943900845E-2</c:v>
                </c:pt>
                <c:pt idx="7">
                  <c:v>5.0880626223091974E-2</c:v>
                </c:pt>
                <c:pt idx="8">
                  <c:v>5.0880626223091974E-2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AD-4102-99F3-7729ED3AC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82753"/>
        <c:axId val="63569960"/>
      </c:barChart>
      <c:catAx>
        <c:axId val="523827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First digit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569960"/>
        <c:crosses val="autoZero"/>
        <c:auto val="1"/>
        <c:lblAlgn val="ctr"/>
        <c:lblOffset val="100"/>
        <c:noMultiLvlLbl val="0"/>
      </c:catAx>
      <c:valAx>
        <c:axId val="635699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Share of amounts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3827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130680</xdr:rowOff>
    </xdr:from>
    <xdr:to>
      <xdr:col>15</xdr:col>
      <xdr:colOff>364320</xdr:colOff>
      <xdr:row>21</xdr:row>
      <xdr:rowOff>121320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130680</xdr:rowOff>
    </xdr:from>
    <xdr:to>
      <xdr:col>15</xdr:col>
      <xdr:colOff>364320</xdr:colOff>
      <xdr:row>35</xdr:row>
      <xdr:rowOff>238680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131040</xdr:rowOff>
    </xdr:from>
    <xdr:to>
      <xdr:col>17</xdr:col>
      <xdr:colOff>364680</xdr:colOff>
      <xdr:row>17</xdr:row>
      <xdr:rowOff>170280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7"/>
  <sheetViews>
    <sheetView tabSelected="1" zoomScaleNormal="100" workbookViewId="0">
      <selection activeCell="B10" sqref="B10"/>
    </sheetView>
  </sheetViews>
  <sheetFormatPr defaultColWidth="8.6328125" defaultRowHeight="14.5" x14ac:dyDescent="0.35"/>
  <cols>
    <col min="1" max="1" width="52" customWidth="1"/>
    <col min="2" max="2" width="20" customWidth="1"/>
    <col min="3" max="3" width="22" customWidth="1"/>
    <col min="4" max="4" width="18" customWidth="1"/>
  </cols>
  <sheetData>
    <row r="1" spans="1:4" ht="20" x14ac:dyDescent="0.4">
      <c r="A1" s="4" t="s">
        <v>0</v>
      </c>
    </row>
    <row r="2" spans="1:4" x14ac:dyDescent="0.35">
      <c r="A2" s="5" t="s">
        <v>1</v>
      </c>
    </row>
    <row r="3" spans="1:4" ht="43.5" customHeight="1" x14ac:dyDescent="0.35">
      <c r="A3" s="3" t="s">
        <v>2</v>
      </c>
      <c r="B3" s="3"/>
      <c r="C3" s="3"/>
      <c r="D3" s="3"/>
    </row>
    <row r="5" spans="1:4" x14ac:dyDescent="0.35">
      <c r="A5" s="6" t="s">
        <v>3</v>
      </c>
    </row>
    <row r="6" spans="1:4" x14ac:dyDescent="0.35">
      <c r="A6" s="7" t="s">
        <v>4</v>
      </c>
      <c r="B6" s="7" t="s">
        <v>5</v>
      </c>
    </row>
    <row r="7" spans="1:4" x14ac:dyDescent="0.35">
      <c r="A7" s="8" t="s">
        <v>6</v>
      </c>
      <c r="B7" s="9">
        <f>COUNTA(Data!$A$2:$A$1534)</f>
        <v>1533</v>
      </c>
    </row>
    <row r="8" spans="1:4" x14ac:dyDescent="0.35">
      <c r="A8" s="8" t="s">
        <v>7</v>
      </c>
      <c r="B8" s="9">
        <f>SUM(Data!$G$2:$G$1534)</f>
        <v>215311998.11999986</v>
      </c>
    </row>
    <row r="9" spans="1:4" x14ac:dyDescent="0.35">
      <c r="A9" s="8" t="s">
        <v>8</v>
      </c>
      <c r="B9" s="9">
        <f>COUNTIF(Data!$R$2:$R$1534,"&gt;0")</f>
        <v>197</v>
      </c>
    </row>
    <row r="10" spans="1:4" x14ac:dyDescent="0.35">
      <c r="A10" s="8" t="s">
        <v>9</v>
      </c>
      <c r="B10" s="10">
        <f>IF(B7=0,0,B9/B7)</f>
        <v>0.12850619699934768</v>
      </c>
    </row>
    <row r="11" spans="1:4" x14ac:dyDescent="0.35">
      <c r="A11" s="8" t="s">
        <v>10</v>
      </c>
      <c r="B11" s="9">
        <f>SUMIF(Data!$R$2:$R$1534,"&gt;0",Data!$G$2:$G$1534)</f>
        <v>23422437.760000005</v>
      </c>
    </row>
    <row r="12" spans="1:4" x14ac:dyDescent="0.35">
      <c r="A12" s="8" t="s">
        <v>11</v>
      </c>
      <c r="B12" s="9">
        <f>COUNTIF(Data!$S$2:$S$1534,"High")</f>
        <v>36</v>
      </c>
    </row>
    <row r="13" spans="1:4" x14ac:dyDescent="0.35">
      <c r="A13" s="8" t="s">
        <v>12</v>
      </c>
      <c r="B13" s="9">
        <f>SUMIF(Data!$S$2:$S$1534,"High",Data!$G$2:$G$1534)</f>
        <v>6286167.8199999984</v>
      </c>
    </row>
    <row r="15" spans="1:4" x14ac:dyDescent="0.35">
      <c r="A15" s="6" t="s">
        <v>13</v>
      </c>
    </row>
    <row r="16" spans="1:4" x14ac:dyDescent="0.35">
      <c r="A16" s="7" t="s">
        <v>14</v>
      </c>
      <c r="B16" s="7" t="s">
        <v>15</v>
      </c>
      <c r="C16" s="7" t="s">
        <v>16</v>
      </c>
      <c r="D16" s="7" t="s">
        <v>17</v>
      </c>
    </row>
    <row r="17" spans="1:4" x14ac:dyDescent="0.35">
      <c r="A17" s="8" t="s">
        <v>18</v>
      </c>
      <c r="B17" s="9">
        <f>SUM(Data!$L$2:$L$1534)</f>
        <v>36</v>
      </c>
      <c r="C17" s="9">
        <f>SUMIF(Data!$L$2:$L$1534,1,Data!$G$2:$G$1534)</f>
        <v>6286167.8199999984</v>
      </c>
      <c r="D17" s="10">
        <f t="shared" ref="D17:D22" si="0">IF($B$7=0,0,B17/$B$7)</f>
        <v>2.3483365949119372E-2</v>
      </c>
    </row>
    <row r="18" spans="1:4" x14ac:dyDescent="0.35">
      <c r="A18" s="8" t="s">
        <v>19</v>
      </c>
      <c r="B18" s="9">
        <f>SUM(Data!$M$2:$M$1534)</f>
        <v>32</v>
      </c>
      <c r="C18" s="9">
        <f>SUMIF(Data!$M$2:$M$1534,1,Data!$G$2:$G$1534)</f>
        <v>3758507.1199999992</v>
      </c>
      <c r="D18" s="10">
        <f t="shared" si="0"/>
        <v>2.0874103065883887E-2</v>
      </c>
    </row>
    <row r="19" spans="1:4" x14ac:dyDescent="0.35">
      <c r="A19" s="8" t="s">
        <v>20</v>
      </c>
      <c r="B19" s="9">
        <f>SUM(Data!$N$2:$N$1534)</f>
        <v>36</v>
      </c>
      <c r="C19" s="9">
        <f>SUMIF(Data!$N$2:$N$1534,1,Data!$G$2:$G$1534)</f>
        <v>1754381.8299999996</v>
      </c>
      <c r="D19" s="10">
        <f t="shared" si="0"/>
        <v>2.3483365949119372E-2</v>
      </c>
    </row>
    <row r="20" spans="1:4" x14ac:dyDescent="0.35">
      <c r="A20" s="8" t="s">
        <v>21</v>
      </c>
      <c r="B20" s="9">
        <f>SUM(Data!$O$2:$O$1534)</f>
        <v>25</v>
      </c>
      <c r="C20" s="9">
        <f>SUMIF(Data!$O$2:$O$1534,1,Data!$G$2:$G$1534)</f>
        <v>2250000</v>
      </c>
      <c r="D20" s="10">
        <f t="shared" si="0"/>
        <v>1.6307893020221786E-2</v>
      </c>
    </row>
    <row r="21" spans="1:4" x14ac:dyDescent="0.35">
      <c r="A21" s="8" t="s">
        <v>22</v>
      </c>
      <c r="B21" s="9">
        <f>SUM(Data!$P$2:$P$1534)</f>
        <v>40</v>
      </c>
      <c r="C21" s="9">
        <f>SUMIF(Data!$P$2:$P$1534,1,Data!$G$2:$G$1534)</f>
        <v>5499447.71</v>
      </c>
      <c r="D21" s="10">
        <f t="shared" si="0"/>
        <v>2.6092628832354858E-2</v>
      </c>
    </row>
    <row r="22" spans="1:4" x14ac:dyDescent="0.35">
      <c r="A22" s="8" t="s">
        <v>23</v>
      </c>
      <c r="B22" s="9">
        <f>SUM(Data!$Q$2:$Q$1534)</f>
        <v>30</v>
      </c>
      <c r="C22" s="9">
        <f>SUMIF(Data!$Q$2:$Q$1534,1,Data!$G$2:$G$1534)</f>
        <v>3933933.2800000003</v>
      </c>
      <c r="D22" s="10">
        <f t="shared" si="0"/>
        <v>1.9569471624266144E-2</v>
      </c>
    </row>
    <row r="23" spans="1:4" x14ac:dyDescent="0.35">
      <c r="A23" s="5" t="s">
        <v>24</v>
      </c>
    </row>
    <row r="25" spans="1:4" x14ac:dyDescent="0.35">
      <c r="A25" s="6" t="s">
        <v>25</v>
      </c>
    </row>
    <row r="26" spans="1:4" x14ac:dyDescent="0.35">
      <c r="A26" s="7" t="s">
        <v>26</v>
      </c>
      <c r="B26" s="7" t="s">
        <v>27</v>
      </c>
      <c r="C26" s="7" t="s">
        <v>28</v>
      </c>
      <c r="D26" s="7" t="s">
        <v>17</v>
      </c>
    </row>
    <row r="27" spans="1:4" x14ac:dyDescent="0.35">
      <c r="A27" s="8" t="s">
        <v>29</v>
      </c>
      <c r="B27" s="9">
        <f>COUNTIF(Data!$S$2:$S$1534,A27)</f>
        <v>36</v>
      </c>
      <c r="C27" s="9">
        <f>SUMIF(Data!$S$2:$S$1534,A27,Data!$G$2:$G$1534)</f>
        <v>6286167.8199999984</v>
      </c>
      <c r="D27" s="10">
        <f>IF($B$7=0,0,B27/$B$7)</f>
        <v>2.3483365949119372E-2</v>
      </c>
    </row>
    <row r="28" spans="1:4" x14ac:dyDescent="0.35">
      <c r="A28" s="8" t="s">
        <v>30</v>
      </c>
      <c r="B28" s="9">
        <f>COUNTIF(Data!$S$2:$S$1534,A28)</f>
        <v>108</v>
      </c>
      <c r="C28" s="9">
        <f>SUMIF(Data!$S$2:$S$1534,A28,Data!$G$2:$G$1534)</f>
        <v>11012336.66</v>
      </c>
      <c r="D28" s="10">
        <f>IF($B$7=0,0,B28/$B$7)</f>
        <v>7.0450097847358117E-2</v>
      </c>
    </row>
    <row r="29" spans="1:4" x14ac:dyDescent="0.35">
      <c r="A29" s="8" t="s">
        <v>31</v>
      </c>
      <c r="B29" s="9">
        <f>COUNTIF(Data!$S$2:$S$1534,A29)</f>
        <v>53</v>
      </c>
      <c r="C29" s="9">
        <f>SUMIF(Data!$S$2:$S$1534,A29,Data!$G$2:$G$1534)</f>
        <v>6123933.2799999993</v>
      </c>
      <c r="D29" s="10">
        <f>IF($B$7=0,0,B29/$B$7)</f>
        <v>3.4572733202870187E-2</v>
      </c>
    </row>
    <row r="30" spans="1:4" x14ac:dyDescent="0.35">
      <c r="A30" s="8" t="s">
        <v>32</v>
      </c>
      <c r="B30" s="9">
        <f>COUNTIF(Data!$S$2:$S$1534,A30)</f>
        <v>1336</v>
      </c>
      <c r="C30" s="9">
        <f>SUMIF(Data!$S$2:$S$1534,A30,Data!$G$2:$G$1534)</f>
        <v>191889560.36000007</v>
      </c>
      <c r="D30" s="10">
        <f>IF($B$7=0,0,B30/$B$7)</f>
        <v>0.87149380300065227</v>
      </c>
    </row>
    <row r="32" spans="1:4" x14ac:dyDescent="0.35">
      <c r="A32" s="6" t="s">
        <v>33</v>
      </c>
    </row>
    <row r="33" spans="1:4" ht="27.75" customHeight="1" x14ac:dyDescent="0.35">
      <c r="A33" s="2" t="s">
        <v>34</v>
      </c>
      <c r="B33" s="2"/>
      <c r="C33" s="2"/>
      <c r="D33" s="2"/>
    </row>
    <row r="34" spans="1:4" ht="27.75" customHeight="1" x14ac:dyDescent="0.35">
      <c r="A34" s="2" t="s">
        <v>35</v>
      </c>
      <c r="B34" s="2"/>
      <c r="C34" s="2"/>
      <c r="D34" s="2"/>
    </row>
    <row r="35" spans="1:4" ht="27.75" customHeight="1" x14ac:dyDescent="0.35">
      <c r="A35" s="2" t="s">
        <v>36</v>
      </c>
      <c r="B35" s="2"/>
      <c r="C35" s="2"/>
      <c r="D35" s="2"/>
    </row>
    <row r="36" spans="1:4" ht="27.75" customHeight="1" x14ac:dyDescent="0.35">
      <c r="A36" s="2" t="s">
        <v>37</v>
      </c>
      <c r="B36" s="2"/>
      <c r="C36" s="2"/>
      <c r="D36" s="2"/>
    </row>
    <row r="37" spans="1:4" ht="27.75" customHeight="1" x14ac:dyDescent="0.35">
      <c r="A37" s="2" t="s">
        <v>38</v>
      </c>
      <c r="B37" s="2"/>
      <c r="C37" s="2"/>
      <c r="D37" s="2"/>
    </row>
  </sheetData>
  <mergeCells count="6">
    <mergeCell ref="A37:D37"/>
    <mergeCell ref="A3:D3"/>
    <mergeCell ref="A33:D33"/>
    <mergeCell ref="A34:D34"/>
    <mergeCell ref="A35:D35"/>
    <mergeCell ref="A36:D36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Normal="100" workbookViewId="0"/>
  </sheetViews>
  <sheetFormatPr defaultColWidth="8.6328125" defaultRowHeight="14.5" x14ac:dyDescent="0.35"/>
  <cols>
    <col min="1" max="1" width="24" customWidth="1"/>
    <col min="2" max="2" width="58" customWidth="1"/>
    <col min="3" max="3" width="48" customWidth="1"/>
    <col min="4" max="4" width="52" customWidth="1"/>
  </cols>
  <sheetData>
    <row r="1" spans="1:4" ht="20" x14ac:dyDescent="0.4">
      <c r="A1" s="4" t="s">
        <v>39</v>
      </c>
    </row>
    <row r="2" spans="1:4" x14ac:dyDescent="0.35">
      <c r="A2" s="5" t="s">
        <v>40</v>
      </c>
    </row>
    <row r="4" spans="1:4" x14ac:dyDescent="0.35">
      <c r="A4" s="7" t="s">
        <v>41</v>
      </c>
      <c r="B4" s="7" t="s">
        <v>42</v>
      </c>
      <c r="C4" s="7" t="s">
        <v>43</v>
      </c>
      <c r="D4" s="7" t="s">
        <v>44</v>
      </c>
    </row>
    <row r="5" spans="1:4" ht="61.5" customHeight="1" x14ac:dyDescent="0.35">
      <c r="A5" s="11" t="s">
        <v>45</v>
      </c>
      <c r="B5" s="12" t="str">
        <f>Dashboard!B17&amp;" transactions share a vendor and invoice number with another payment (value INR "&amp;TEXT(Dashboard!C17,"#,##0")&amp;")."</f>
        <v>36 transactions share a vendor and invoice number with another payment (value INR 62,86,168).</v>
      </c>
      <c r="C5" s="12" t="s">
        <v>46</v>
      </c>
      <c r="D5" s="12" t="s">
        <v>47</v>
      </c>
    </row>
    <row r="6" spans="1:4" ht="61.5" customHeight="1" x14ac:dyDescent="0.35">
      <c r="A6" s="11" t="s">
        <v>48</v>
      </c>
      <c r="B6" s="12" t="str">
        <f>Dashboard!B18&amp;" transactions match another payment on vendor and amount within "&amp;Assumptions!B5&amp;" days but carry a different invoice number."</f>
        <v>32 transactions match another payment on vendor and amount within 7 days but carry a different invoice number.</v>
      </c>
      <c r="C6" s="12" t="s">
        <v>49</v>
      </c>
      <c r="D6" s="12" t="s">
        <v>50</v>
      </c>
    </row>
    <row r="7" spans="1:4" ht="61.5" customHeight="1" x14ac:dyDescent="0.35">
      <c r="A7" s="11" t="s">
        <v>51</v>
      </c>
      <c r="B7" s="12" t="str">
        <f>Dashboard!B19&amp;" transactions fall between INR "&amp;TEXT(Assumptions!B4*(1-Assumptions!B6),"#,##0")&amp;" and INR "&amp;TEXT(Assumptions!B4,"#,##0")&amp;"; see Approver_Analysis for concentration."</f>
        <v>36 transactions fall between INR 47,500 and INR 50,000; see Approver_Analysis for concentration.</v>
      </c>
      <c r="C7" s="12" t="s">
        <v>52</v>
      </c>
      <c r="D7" s="12" t="s">
        <v>53</v>
      </c>
    </row>
    <row r="8" spans="1:4" ht="61.5" customHeight="1" x14ac:dyDescent="0.35">
      <c r="A8" s="11" t="s">
        <v>54</v>
      </c>
      <c r="B8" s="12" t="str">
        <f>Dashboard!B20&amp;" transactions are exact multiples of INR "&amp;TEXT(Assumptions!B7,"#,##0")&amp;"."</f>
        <v>25 transactions are exact multiples of INR 10,000.</v>
      </c>
      <c r="C8" s="12" t="s">
        <v>55</v>
      </c>
      <c r="D8" s="12" t="s">
        <v>56</v>
      </c>
    </row>
    <row r="9" spans="1:4" ht="61.5" customHeight="1" x14ac:dyDescent="0.35">
      <c r="A9" s="11" t="s">
        <v>57</v>
      </c>
      <c r="B9" s="12" t="str">
        <f>Dashboard!B21&amp;" transactions lack a PO or a goods receipt (value INR "&amp;TEXT(Dashboard!C21,"#,##0")&amp;")."</f>
        <v>40 transactions lack a PO or a goods receipt (value INR 54,99,448).</v>
      </c>
      <c r="C9" s="12" t="s">
        <v>58</v>
      </c>
      <c r="D9" s="12" t="s">
        <v>59</v>
      </c>
    </row>
    <row r="10" spans="1:4" ht="61.5" customHeight="1" x14ac:dyDescent="0.35">
      <c r="A10" s="11" t="s">
        <v>60</v>
      </c>
      <c r="B10" s="12" t="str">
        <f>Dashboard!B22&amp;" payments have a payment date on a Saturday or Sunday."</f>
        <v>30 payments have a payment date on a Saturday or Sunday.</v>
      </c>
      <c r="C10" s="12" t="s">
        <v>61</v>
      </c>
      <c r="D10" s="12" t="s">
        <v>62</v>
      </c>
    </row>
    <row r="11" spans="1:4" ht="61.5" customHeight="1" x14ac:dyDescent="0.35">
      <c r="A11" s="11" t="s">
        <v>63</v>
      </c>
      <c r="B11" s="12" t="str">
        <f>Dashboard!B12&amp;" transactions rate High (value INR "&amp;TEXT(Dashboard!B13,"#,##0")&amp;"); start with the Exceptions sheet."</f>
        <v>36 transactions rate High (value INR 62,86,168); start with the Exceptions sheet.</v>
      </c>
      <c r="C11" s="12" t="s">
        <v>64</v>
      </c>
      <c r="D11" s="12" t="s">
        <v>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53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1" customWidth="1"/>
    <col min="2" max="2" width="10" customWidth="1"/>
    <col min="3" max="3" width="34" customWidth="1"/>
    <col min="4" max="4" width="18" customWidth="1"/>
    <col min="5" max="6" width="13" customWidth="1"/>
    <col min="7" max="7" width="14" customWidth="1"/>
    <col min="8" max="9" width="11" customWidth="1"/>
    <col min="10" max="10" width="12" customWidth="1"/>
    <col min="11" max="11" width="8" customWidth="1"/>
    <col min="12" max="12" width="11" customWidth="1"/>
    <col min="13" max="13" width="14" customWidth="1"/>
    <col min="14" max="14" width="13" customWidth="1"/>
    <col min="15" max="15" width="10" customWidth="1"/>
    <col min="16" max="16" width="11" customWidth="1"/>
    <col min="17" max="18" width="10" customWidth="1"/>
    <col min="19" max="19" width="9" customWidth="1"/>
    <col min="20" max="20" width="44" customWidth="1"/>
  </cols>
  <sheetData>
    <row r="1" spans="1:20" ht="30" customHeight="1" x14ac:dyDescent="0.35">
      <c r="A1" s="7" t="s">
        <v>66</v>
      </c>
      <c r="B1" s="7" t="s">
        <v>67</v>
      </c>
      <c r="C1" s="7" t="s">
        <v>68</v>
      </c>
      <c r="D1" s="7" t="s">
        <v>69</v>
      </c>
      <c r="E1" s="7" t="s">
        <v>70</v>
      </c>
      <c r="F1" s="7" t="s">
        <v>71</v>
      </c>
      <c r="G1" s="7" t="s">
        <v>72</v>
      </c>
      <c r="H1" s="7" t="s">
        <v>73</v>
      </c>
      <c r="I1" s="7" t="s">
        <v>74</v>
      </c>
      <c r="J1" s="7" t="s">
        <v>75</v>
      </c>
      <c r="K1" s="7" t="s">
        <v>76</v>
      </c>
      <c r="L1" s="7" t="s">
        <v>77</v>
      </c>
      <c r="M1" s="7" t="s">
        <v>78</v>
      </c>
      <c r="N1" s="7" t="s">
        <v>79</v>
      </c>
      <c r="O1" s="7" t="s">
        <v>80</v>
      </c>
      <c r="P1" s="7" t="s">
        <v>81</v>
      </c>
      <c r="Q1" s="7" t="s">
        <v>82</v>
      </c>
      <c r="R1" s="7" t="s">
        <v>83</v>
      </c>
      <c r="S1" s="7" t="s">
        <v>26</v>
      </c>
      <c r="T1" s="7" t="s">
        <v>84</v>
      </c>
    </row>
    <row r="2" spans="1:20" x14ac:dyDescent="0.35">
      <c r="A2" s="13" t="s">
        <v>85</v>
      </c>
      <c r="B2" s="13" t="s">
        <v>86</v>
      </c>
      <c r="C2" s="13" t="s">
        <v>87</v>
      </c>
      <c r="D2" s="13" t="s">
        <v>88</v>
      </c>
      <c r="E2" s="14">
        <v>45748</v>
      </c>
      <c r="F2" s="14">
        <v>45769</v>
      </c>
      <c r="G2" s="15">
        <v>631713.92000000004</v>
      </c>
      <c r="H2" s="13" t="s">
        <v>89</v>
      </c>
      <c r="I2" s="13" t="s">
        <v>90</v>
      </c>
      <c r="J2" s="13" t="s">
        <v>91</v>
      </c>
      <c r="K2" s="13">
        <f t="shared" ref="K2:K65" si="0">VALUE(LEFT(TEXT(G2,"0"),1))</f>
        <v>6</v>
      </c>
      <c r="L2" s="13">
        <f t="shared" ref="L2:L65" si="1">IF(COUNTIFS($B$2:$B$1534,B2,$D$2:$D$1534,D2)&gt;1,1,0)</f>
        <v>0</v>
      </c>
      <c r="M2" s="13">
        <f>IF(AND(L2=0,COUNTIFS($B$2:$B$1534,B2,$G$2:$G$1534,G2,$E$2:$E$1534,"&gt;="&amp;(E2-Assumptions!$B$5),$E$2:$E$1534,"&lt;="&amp;(E2+Assumptions!$B$5))&gt;1),1,0)</f>
        <v>1</v>
      </c>
      <c r="N2" s="13">
        <f>IF(AND(G2&gt;=Assumptions!$B$4*(1-Assumptions!$B$6),G2&lt;Assumptions!$B$4),1,0)</f>
        <v>0</v>
      </c>
      <c r="O2" s="13">
        <f>IF(AND(G2&gt;=Assumptions!$B$7,MOD(G2,Assumptions!$B$7)=0),1,0)</f>
        <v>0</v>
      </c>
      <c r="P2" s="13">
        <f t="shared" ref="P2:P65" si="2">IF(OR(H2="",I2=""),1,0)</f>
        <v>0</v>
      </c>
      <c r="Q2" s="13">
        <f t="shared" ref="Q2:Q65" si="3">IF(WEEKDAY(F2,2)&gt;5,1,0)</f>
        <v>0</v>
      </c>
      <c r="R2" s="13">
        <f>L2*Assumptions!$B$11+M2*Assumptions!$B$12+N2*Assumptions!$B$13+O2*Assumptions!$B$14+P2*Assumptions!$B$15+Q2*Assumptions!$B$16</f>
        <v>3</v>
      </c>
      <c r="S2" s="13" t="str">
        <f>IF(R2&gt;=Assumptions!$B$20,"High",IF(R2&gt;=Assumptions!$B$21,"Medium",IF(R2&gt;=1,"Low","Clear")))</f>
        <v>Medium</v>
      </c>
      <c r="T2" s="13" t="str">
        <f t="shared" ref="T2:T65" si="4">IF(R2=0,"",IF(L2=1,"Duplicate invoice; ","")&amp;IF(M2=1,"Near-duplicate; ","")&amp;IF(N2=1,"Just below limit; ","")&amp;IF(O2=1,"Round amount; ","")&amp;IF(P2=1,"No PO/GRN; ","")&amp;IF(Q2=1,"Weekend payment; ",""))</f>
        <v xml:space="preserve">Near-duplicate; </v>
      </c>
    </row>
    <row r="3" spans="1:20" x14ac:dyDescent="0.35">
      <c r="A3" s="13" t="s">
        <v>92</v>
      </c>
      <c r="B3" s="13" t="s">
        <v>93</v>
      </c>
      <c r="C3" s="13" t="s">
        <v>94</v>
      </c>
      <c r="D3" s="13" t="s">
        <v>95</v>
      </c>
      <c r="E3" s="14">
        <v>45750</v>
      </c>
      <c r="F3" s="14">
        <v>45770</v>
      </c>
      <c r="G3" s="15">
        <v>384561.13</v>
      </c>
      <c r="H3" s="13" t="s">
        <v>96</v>
      </c>
      <c r="I3" s="13" t="s">
        <v>97</v>
      </c>
      <c r="J3" s="13" t="s">
        <v>98</v>
      </c>
      <c r="K3" s="13">
        <f t="shared" si="0"/>
        <v>3</v>
      </c>
      <c r="L3" s="13">
        <f t="shared" si="1"/>
        <v>0</v>
      </c>
      <c r="M3" s="13">
        <f>IF(AND(L3=0,COUNTIFS($B$2:$B$1534,B3,$G$2:$G$1534,G3,$E$2:$E$1534,"&gt;="&amp;(E3-Assumptions!$B$5),$E$2:$E$1534,"&lt;="&amp;(E3+Assumptions!$B$5))&gt;1),1,0)</f>
        <v>0</v>
      </c>
      <c r="N3" s="13">
        <f>IF(AND(G3&gt;=Assumptions!$B$4*(1-Assumptions!$B$6),G3&lt;Assumptions!$B$4),1,0)</f>
        <v>0</v>
      </c>
      <c r="O3" s="13">
        <f>IF(AND(G3&gt;=Assumptions!$B$7,MOD(G3,Assumptions!$B$7)=0),1,0)</f>
        <v>0</v>
      </c>
      <c r="P3" s="13">
        <f t="shared" si="2"/>
        <v>0</v>
      </c>
      <c r="Q3" s="13">
        <f t="shared" si="3"/>
        <v>0</v>
      </c>
      <c r="R3" s="13">
        <f>L3*Assumptions!$B$11+M3*Assumptions!$B$12+N3*Assumptions!$B$13+O3*Assumptions!$B$14+P3*Assumptions!$B$15+Q3*Assumptions!$B$16</f>
        <v>0</v>
      </c>
      <c r="S3" s="13" t="str">
        <f>IF(R3&gt;=Assumptions!$B$20,"High",IF(R3&gt;=Assumptions!$B$21,"Medium",IF(R3&gt;=1,"Low","Clear")))</f>
        <v>Clear</v>
      </c>
      <c r="T3" s="13" t="str">
        <f t="shared" si="4"/>
        <v/>
      </c>
    </row>
    <row r="4" spans="1:20" x14ac:dyDescent="0.35">
      <c r="A4" s="13" t="s">
        <v>99</v>
      </c>
      <c r="B4" s="13" t="s">
        <v>100</v>
      </c>
      <c r="C4" s="13" t="s">
        <v>101</v>
      </c>
      <c r="D4" s="13" t="s">
        <v>102</v>
      </c>
      <c r="E4" s="14">
        <v>45749</v>
      </c>
      <c r="F4" s="14">
        <v>45772</v>
      </c>
      <c r="G4" s="15">
        <v>43914.9</v>
      </c>
      <c r="H4" s="13" t="s">
        <v>103</v>
      </c>
      <c r="I4" s="13" t="s">
        <v>104</v>
      </c>
      <c r="J4" s="13" t="s">
        <v>98</v>
      </c>
      <c r="K4" s="13">
        <f t="shared" si="0"/>
        <v>4</v>
      </c>
      <c r="L4" s="13">
        <f t="shared" si="1"/>
        <v>0</v>
      </c>
      <c r="M4" s="13">
        <f>IF(AND(L4=0,COUNTIFS($B$2:$B$1534,B4,$G$2:$G$1534,G4,$E$2:$E$1534,"&gt;="&amp;(E4-Assumptions!$B$5),$E$2:$E$1534,"&lt;="&amp;(E4+Assumptions!$B$5))&gt;1),1,0)</f>
        <v>0</v>
      </c>
      <c r="N4" s="13">
        <f>IF(AND(G4&gt;=Assumptions!$B$4*(1-Assumptions!$B$6),G4&lt;Assumptions!$B$4),1,0)</f>
        <v>0</v>
      </c>
      <c r="O4" s="13">
        <f>IF(AND(G4&gt;=Assumptions!$B$7,MOD(G4,Assumptions!$B$7)=0),1,0)</f>
        <v>0</v>
      </c>
      <c r="P4" s="13">
        <f t="shared" si="2"/>
        <v>0</v>
      </c>
      <c r="Q4" s="13">
        <f t="shared" si="3"/>
        <v>0</v>
      </c>
      <c r="R4" s="13">
        <f>L4*Assumptions!$B$11+M4*Assumptions!$B$12+N4*Assumptions!$B$13+O4*Assumptions!$B$14+P4*Assumptions!$B$15+Q4*Assumptions!$B$16</f>
        <v>0</v>
      </c>
      <c r="S4" s="13" t="str">
        <f>IF(R4&gt;=Assumptions!$B$20,"High",IF(R4&gt;=Assumptions!$B$21,"Medium",IF(R4&gt;=1,"Low","Clear")))</f>
        <v>Clear</v>
      </c>
      <c r="T4" s="13" t="str">
        <f t="shared" si="4"/>
        <v/>
      </c>
    </row>
    <row r="5" spans="1:20" x14ac:dyDescent="0.35">
      <c r="A5" s="13" t="s">
        <v>105</v>
      </c>
      <c r="B5" s="13" t="s">
        <v>106</v>
      </c>
      <c r="C5" s="13" t="s">
        <v>107</v>
      </c>
      <c r="D5" s="13" t="s">
        <v>108</v>
      </c>
      <c r="E5" s="14">
        <v>45753</v>
      </c>
      <c r="F5" s="14">
        <v>45775</v>
      </c>
      <c r="G5" s="15">
        <v>312657.25</v>
      </c>
      <c r="H5" s="13" t="s">
        <v>109</v>
      </c>
      <c r="I5" s="13" t="s">
        <v>110</v>
      </c>
      <c r="J5" s="13" t="s">
        <v>111</v>
      </c>
      <c r="K5" s="13">
        <f t="shared" si="0"/>
        <v>3</v>
      </c>
      <c r="L5" s="13">
        <f t="shared" si="1"/>
        <v>0</v>
      </c>
      <c r="M5" s="13">
        <f>IF(AND(L5=0,COUNTIFS($B$2:$B$1534,B5,$G$2:$G$1534,G5,$E$2:$E$1534,"&gt;="&amp;(E5-Assumptions!$B$5),$E$2:$E$1534,"&lt;="&amp;(E5+Assumptions!$B$5))&gt;1),1,0)</f>
        <v>0</v>
      </c>
      <c r="N5" s="13">
        <f>IF(AND(G5&gt;=Assumptions!$B$4*(1-Assumptions!$B$6),G5&lt;Assumptions!$B$4),1,0)</f>
        <v>0</v>
      </c>
      <c r="O5" s="13">
        <f>IF(AND(G5&gt;=Assumptions!$B$7,MOD(G5,Assumptions!$B$7)=0),1,0)</f>
        <v>0</v>
      </c>
      <c r="P5" s="13">
        <f t="shared" si="2"/>
        <v>0</v>
      </c>
      <c r="Q5" s="13">
        <f t="shared" si="3"/>
        <v>0</v>
      </c>
      <c r="R5" s="13">
        <f>L5*Assumptions!$B$11+M5*Assumptions!$B$12+N5*Assumptions!$B$13+O5*Assumptions!$B$14+P5*Assumptions!$B$15+Q5*Assumptions!$B$16</f>
        <v>0</v>
      </c>
      <c r="S5" s="13" t="str">
        <f>IF(R5&gt;=Assumptions!$B$20,"High",IF(R5&gt;=Assumptions!$B$21,"Medium",IF(R5&gt;=1,"Low","Clear")))</f>
        <v>Clear</v>
      </c>
      <c r="T5" s="13" t="str">
        <f t="shared" si="4"/>
        <v/>
      </c>
    </row>
    <row r="6" spans="1:20" x14ac:dyDescent="0.35">
      <c r="A6" s="13" t="s">
        <v>112</v>
      </c>
      <c r="B6" s="13" t="s">
        <v>113</v>
      </c>
      <c r="C6" s="13" t="s">
        <v>114</v>
      </c>
      <c r="D6" s="13" t="s">
        <v>115</v>
      </c>
      <c r="E6" s="14">
        <v>45751</v>
      </c>
      <c r="F6" s="14">
        <v>45776</v>
      </c>
      <c r="G6" s="15">
        <v>281298.96999999997</v>
      </c>
      <c r="H6" s="13" t="s">
        <v>116</v>
      </c>
      <c r="I6" s="13" t="s">
        <v>117</v>
      </c>
      <c r="J6" s="13" t="s">
        <v>111</v>
      </c>
      <c r="K6" s="13">
        <f t="shared" si="0"/>
        <v>2</v>
      </c>
      <c r="L6" s="13">
        <f t="shared" si="1"/>
        <v>1</v>
      </c>
      <c r="M6" s="13">
        <f>IF(AND(L6=0,COUNTIFS($B$2:$B$1534,B6,$G$2:$G$1534,G6,$E$2:$E$1534,"&gt;="&amp;(E6-Assumptions!$B$5),$E$2:$E$1534,"&lt;="&amp;(E6+Assumptions!$B$5))&gt;1),1,0)</f>
        <v>0</v>
      </c>
      <c r="N6" s="13">
        <f>IF(AND(G6&gt;=Assumptions!$B$4*(1-Assumptions!$B$6),G6&lt;Assumptions!$B$4),1,0)</f>
        <v>0</v>
      </c>
      <c r="O6" s="13">
        <f>IF(AND(G6&gt;=Assumptions!$B$7,MOD(G6,Assumptions!$B$7)=0),1,0)</f>
        <v>0</v>
      </c>
      <c r="P6" s="13">
        <f t="shared" si="2"/>
        <v>0</v>
      </c>
      <c r="Q6" s="13">
        <f t="shared" si="3"/>
        <v>0</v>
      </c>
      <c r="R6" s="13">
        <f>L6*Assumptions!$B$11+M6*Assumptions!$B$12+N6*Assumptions!$B$13+O6*Assumptions!$B$14+P6*Assumptions!$B$15+Q6*Assumptions!$B$16</f>
        <v>5</v>
      </c>
      <c r="S6" s="13" t="str">
        <f>IF(R6&gt;=Assumptions!$B$20,"High",IF(R6&gt;=Assumptions!$B$21,"Medium",IF(R6&gt;=1,"Low","Clear")))</f>
        <v>High</v>
      </c>
      <c r="T6" s="13" t="str">
        <f t="shared" si="4"/>
        <v xml:space="preserve">Duplicate invoice; </v>
      </c>
    </row>
    <row r="7" spans="1:20" x14ac:dyDescent="0.35">
      <c r="A7" s="13" t="s">
        <v>118</v>
      </c>
      <c r="B7" s="13" t="s">
        <v>119</v>
      </c>
      <c r="C7" s="13" t="s">
        <v>120</v>
      </c>
      <c r="D7" s="13" t="s">
        <v>121</v>
      </c>
      <c r="E7" s="14">
        <v>45751</v>
      </c>
      <c r="F7" s="14">
        <v>45776</v>
      </c>
      <c r="G7" s="15">
        <v>406994.11</v>
      </c>
      <c r="H7" s="13" t="s">
        <v>122</v>
      </c>
      <c r="I7" s="13" t="s">
        <v>123</v>
      </c>
      <c r="J7" s="13" t="s">
        <v>98</v>
      </c>
      <c r="K7" s="13">
        <f t="shared" si="0"/>
        <v>4</v>
      </c>
      <c r="L7" s="13">
        <f t="shared" si="1"/>
        <v>0</v>
      </c>
      <c r="M7" s="13">
        <f>IF(AND(L7=0,COUNTIFS($B$2:$B$1534,B7,$G$2:$G$1534,G7,$E$2:$E$1534,"&gt;="&amp;(E7-Assumptions!$B$5),$E$2:$E$1534,"&lt;="&amp;(E7+Assumptions!$B$5))&gt;1),1,0)</f>
        <v>0</v>
      </c>
      <c r="N7" s="13">
        <f>IF(AND(G7&gt;=Assumptions!$B$4*(1-Assumptions!$B$6),G7&lt;Assumptions!$B$4),1,0)</f>
        <v>0</v>
      </c>
      <c r="O7" s="13">
        <f>IF(AND(G7&gt;=Assumptions!$B$7,MOD(G7,Assumptions!$B$7)=0),1,0)</f>
        <v>0</v>
      </c>
      <c r="P7" s="13">
        <f t="shared" si="2"/>
        <v>0</v>
      </c>
      <c r="Q7" s="13">
        <f t="shared" si="3"/>
        <v>0</v>
      </c>
      <c r="R7" s="13">
        <f>L7*Assumptions!$B$11+M7*Assumptions!$B$12+N7*Assumptions!$B$13+O7*Assumptions!$B$14+P7*Assumptions!$B$15+Q7*Assumptions!$B$16</f>
        <v>0</v>
      </c>
      <c r="S7" s="13" t="str">
        <f>IF(R7&gt;=Assumptions!$B$20,"High",IF(R7&gt;=Assumptions!$B$21,"Medium",IF(R7&gt;=1,"Low","Clear")))</f>
        <v>Clear</v>
      </c>
      <c r="T7" s="13" t="str">
        <f t="shared" si="4"/>
        <v/>
      </c>
    </row>
    <row r="8" spans="1:20" x14ac:dyDescent="0.35">
      <c r="A8" s="13" t="s">
        <v>124</v>
      </c>
      <c r="B8" s="13" t="s">
        <v>125</v>
      </c>
      <c r="C8" s="13" t="s">
        <v>126</v>
      </c>
      <c r="D8" s="13" t="s">
        <v>127</v>
      </c>
      <c r="E8" s="14">
        <v>45749</v>
      </c>
      <c r="F8" s="14">
        <v>45777</v>
      </c>
      <c r="G8" s="15">
        <v>376026.44</v>
      </c>
      <c r="H8" s="13" t="s">
        <v>128</v>
      </c>
      <c r="I8" s="13" t="s">
        <v>129</v>
      </c>
      <c r="J8" s="13" t="s">
        <v>91</v>
      </c>
      <c r="K8" s="13">
        <f t="shared" si="0"/>
        <v>3</v>
      </c>
      <c r="L8" s="13">
        <f t="shared" si="1"/>
        <v>0</v>
      </c>
      <c r="M8" s="13">
        <f>IF(AND(L8=0,COUNTIFS($B$2:$B$1534,B8,$G$2:$G$1534,G8,$E$2:$E$1534,"&gt;="&amp;(E8-Assumptions!$B$5),$E$2:$E$1534,"&lt;="&amp;(E8+Assumptions!$B$5))&gt;1),1,0)</f>
        <v>0</v>
      </c>
      <c r="N8" s="13">
        <f>IF(AND(G8&gt;=Assumptions!$B$4*(1-Assumptions!$B$6),G8&lt;Assumptions!$B$4),1,0)</f>
        <v>0</v>
      </c>
      <c r="O8" s="13">
        <f>IF(AND(G8&gt;=Assumptions!$B$7,MOD(G8,Assumptions!$B$7)=0),1,0)</f>
        <v>0</v>
      </c>
      <c r="P8" s="13">
        <f t="shared" si="2"/>
        <v>0</v>
      </c>
      <c r="Q8" s="13">
        <f t="shared" si="3"/>
        <v>0</v>
      </c>
      <c r="R8" s="13">
        <f>L8*Assumptions!$B$11+M8*Assumptions!$B$12+N8*Assumptions!$B$13+O8*Assumptions!$B$14+P8*Assumptions!$B$15+Q8*Assumptions!$B$16</f>
        <v>0</v>
      </c>
      <c r="S8" s="13" t="str">
        <f>IF(R8&gt;=Assumptions!$B$20,"High",IF(R8&gt;=Assumptions!$B$21,"Medium",IF(R8&gt;=1,"Low","Clear")))</f>
        <v>Clear</v>
      </c>
      <c r="T8" s="13" t="str">
        <f t="shared" si="4"/>
        <v/>
      </c>
    </row>
    <row r="9" spans="1:20" x14ac:dyDescent="0.35">
      <c r="A9" s="13" t="s">
        <v>130</v>
      </c>
      <c r="B9" s="13" t="s">
        <v>131</v>
      </c>
      <c r="C9" s="13" t="s">
        <v>132</v>
      </c>
      <c r="D9" s="13" t="s">
        <v>133</v>
      </c>
      <c r="E9" s="14">
        <v>45749</v>
      </c>
      <c r="F9" s="14">
        <v>45778</v>
      </c>
      <c r="G9" s="15">
        <v>150713.76999999999</v>
      </c>
      <c r="H9" s="13" t="s">
        <v>134</v>
      </c>
      <c r="I9" s="13" t="s">
        <v>135</v>
      </c>
      <c r="J9" s="13" t="s">
        <v>136</v>
      </c>
      <c r="K9" s="13">
        <f t="shared" si="0"/>
        <v>1</v>
      </c>
      <c r="L9" s="13">
        <f t="shared" si="1"/>
        <v>0</v>
      </c>
      <c r="M9" s="13">
        <f>IF(AND(L9=0,COUNTIFS($B$2:$B$1534,B9,$G$2:$G$1534,G9,$E$2:$E$1534,"&gt;="&amp;(E9-Assumptions!$B$5),$E$2:$E$1534,"&lt;="&amp;(E9+Assumptions!$B$5))&gt;1),1,0)</f>
        <v>0</v>
      </c>
      <c r="N9" s="13">
        <f>IF(AND(G9&gt;=Assumptions!$B$4*(1-Assumptions!$B$6),G9&lt;Assumptions!$B$4),1,0)</f>
        <v>0</v>
      </c>
      <c r="O9" s="13">
        <f>IF(AND(G9&gt;=Assumptions!$B$7,MOD(G9,Assumptions!$B$7)=0),1,0)</f>
        <v>0</v>
      </c>
      <c r="P9" s="13">
        <f t="shared" si="2"/>
        <v>0</v>
      </c>
      <c r="Q9" s="13">
        <f t="shared" si="3"/>
        <v>0</v>
      </c>
      <c r="R9" s="13">
        <f>L9*Assumptions!$B$11+M9*Assumptions!$B$12+N9*Assumptions!$B$13+O9*Assumptions!$B$14+P9*Assumptions!$B$15+Q9*Assumptions!$B$16</f>
        <v>0</v>
      </c>
      <c r="S9" s="13" t="str">
        <f>IF(R9&gt;=Assumptions!$B$20,"High",IF(R9&gt;=Assumptions!$B$21,"Medium",IF(R9&gt;=1,"Low","Clear")))</f>
        <v>Clear</v>
      </c>
      <c r="T9" s="13" t="str">
        <f t="shared" si="4"/>
        <v/>
      </c>
    </row>
    <row r="10" spans="1:20" x14ac:dyDescent="0.35">
      <c r="A10" s="13" t="s">
        <v>137</v>
      </c>
      <c r="B10" s="13" t="s">
        <v>138</v>
      </c>
      <c r="C10" s="13" t="s">
        <v>139</v>
      </c>
      <c r="D10" s="13" t="s">
        <v>140</v>
      </c>
      <c r="E10" s="14">
        <v>45758</v>
      </c>
      <c r="F10" s="14">
        <v>45778</v>
      </c>
      <c r="G10" s="15">
        <v>26441.84</v>
      </c>
      <c r="H10" s="13" t="s">
        <v>141</v>
      </c>
      <c r="I10" s="13" t="s">
        <v>142</v>
      </c>
      <c r="J10" s="13" t="s">
        <v>143</v>
      </c>
      <c r="K10" s="13">
        <f t="shared" si="0"/>
        <v>2</v>
      </c>
      <c r="L10" s="13">
        <f t="shared" si="1"/>
        <v>0</v>
      </c>
      <c r="M10" s="13">
        <f>IF(AND(L10=0,COUNTIFS($B$2:$B$1534,B10,$G$2:$G$1534,G10,$E$2:$E$1534,"&gt;="&amp;(E10-Assumptions!$B$5),$E$2:$E$1534,"&lt;="&amp;(E10+Assumptions!$B$5))&gt;1),1,0)</f>
        <v>0</v>
      </c>
      <c r="N10" s="13">
        <f>IF(AND(G10&gt;=Assumptions!$B$4*(1-Assumptions!$B$6),G10&lt;Assumptions!$B$4),1,0)</f>
        <v>0</v>
      </c>
      <c r="O10" s="13">
        <f>IF(AND(G10&gt;=Assumptions!$B$7,MOD(G10,Assumptions!$B$7)=0),1,0)</f>
        <v>0</v>
      </c>
      <c r="P10" s="13">
        <f t="shared" si="2"/>
        <v>0</v>
      </c>
      <c r="Q10" s="13">
        <f t="shared" si="3"/>
        <v>0</v>
      </c>
      <c r="R10" s="13">
        <f>L10*Assumptions!$B$11+M10*Assumptions!$B$12+N10*Assumptions!$B$13+O10*Assumptions!$B$14+P10*Assumptions!$B$15+Q10*Assumptions!$B$16</f>
        <v>0</v>
      </c>
      <c r="S10" s="13" t="str">
        <f>IF(R10&gt;=Assumptions!$B$20,"High",IF(R10&gt;=Assumptions!$B$21,"Medium",IF(R10&gt;=1,"Low","Clear")))</f>
        <v>Clear</v>
      </c>
      <c r="T10" s="13" t="str">
        <f t="shared" si="4"/>
        <v/>
      </c>
    </row>
    <row r="11" spans="1:20" x14ac:dyDescent="0.35">
      <c r="A11" s="13" t="s">
        <v>144</v>
      </c>
      <c r="B11" s="13" t="s">
        <v>145</v>
      </c>
      <c r="C11" s="13" t="s">
        <v>146</v>
      </c>
      <c r="D11" s="13" t="s">
        <v>147</v>
      </c>
      <c r="E11" s="14">
        <v>45750</v>
      </c>
      <c r="F11" s="14">
        <v>45778</v>
      </c>
      <c r="G11" s="15">
        <v>3350.46</v>
      </c>
      <c r="H11" s="13" t="s">
        <v>148</v>
      </c>
      <c r="I11" s="13" t="s">
        <v>149</v>
      </c>
      <c r="J11" s="13" t="s">
        <v>91</v>
      </c>
      <c r="K11" s="13">
        <f t="shared" si="0"/>
        <v>3</v>
      </c>
      <c r="L11" s="13">
        <f t="shared" si="1"/>
        <v>0</v>
      </c>
      <c r="M11" s="13">
        <f>IF(AND(L11=0,COUNTIFS($B$2:$B$1534,B11,$G$2:$G$1534,G11,$E$2:$E$1534,"&gt;="&amp;(E11-Assumptions!$B$5),$E$2:$E$1534,"&lt;="&amp;(E11+Assumptions!$B$5))&gt;1),1,0)</f>
        <v>0</v>
      </c>
      <c r="N11" s="13">
        <f>IF(AND(G11&gt;=Assumptions!$B$4*(1-Assumptions!$B$6),G11&lt;Assumptions!$B$4),1,0)</f>
        <v>0</v>
      </c>
      <c r="O11" s="13">
        <f>IF(AND(G11&gt;=Assumptions!$B$7,MOD(G11,Assumptions!$B$7)=0),1,0)</f>
        <v>0</v>
      </c>
      <c r="P11" s="13">
        <f t="shared" si="2"/>
        <v>0</v>
      </c>
      <c r="Q11" s="13">
        <f t="shared" si="3"/>
        <v>0</v>
      </c>
      <c r="R11" s="13">
        <f>L11*Assumptions!$B$11+M11*Assumptions!$B$12+N11*Assumptions!$B$13+O11*Assumptions!$B$14+P11*Assumptions!$B$15+Q11*Assumptions!$B$16</f>
        <v>0</v>
      </c>
      <c r="S11" s="13" t="str">
        <f>IF(R11&gt;=Assumptions!$B$20,"High",IF(R11&gt;=Assumptions!$B$21,"Medium",IF(R11&gt;=1,"Low","Clear")))</f>
        <v>Clear</v>
      </c>
      <c r="T11" s="13" t="str">
        <f t="shared" si="4"/>
        <v/>
      </c>
    </row>
    <row r="12" spans="1:20" x14ac:dyDescent="0.35">
      <c r="A12" s="13" t="s">
        <v>150</v>
      </c>
      <c r="B12" s="13" t="s">
        <v>125</v>
      </c>
      <c r="C12" s="13" t="s">
        <v>126</v>
      </c>
      <c r="D12" s="13" t="s">
        <v>151</v>
      </c>
      <c r="E12" s="14">
        <v>45751</v>
      </c>
      <c r="F12" s="14">
        <v>45778</v>
      </c>
      <c r="G12" s="15">
        <v>443101.88</v>
      </c>
      <c r="H12" s="13" t="s">
        <v>152</v>
      </c>
      <c r="I12" s="13" t="s">
        <v>153</v>
      </c>
      <c r="J12" s="13" t="s">
        <v>136</v>
      </c>
      <c r="K12" s="13">
        <f t="shared" si="0"/>
        <v>4</v>
      </c>
      <c r="L12" s="13">
        <f t="shared" si="1"/>
        <v>0</v>
      </c>
      <c r="M12" s="13">
        <f>IF(AND(L12=0,COUNTIFS($B$2:$B$1534,B12,$G$2:$G$1534,G12,$E$2:$E$1534,"&gt;="&amp;(E12-Assumptions!$B$5),$E$2:$E$1534,"&lt;="&amp;(E12+Assumptions!$B$5))&gt;1),1,0)</f>
        <v>0</v>
      </c>
      <c r="N12" s="13">
        <f>IF(AND(G12&gt;=Assumptions!$B$4*(1-Assumptions!$B$6),G12&lt;Assumptions!$B$4),1,0)</f>
        <v>0</v>
      </c>
      <c r="O12" s="13">
        <f>IF(AND(G12&gt;=Assumptions!$B$7,MOD(G12,Assumptions!$B$7)=0),1,0)</f>
        <v>0</v>
      </c>
      <c r="P12" s="13">
        <f t="shared" si="2"/>
        <v>0</v>
      </c>
      <c r="Q12" s="13">
        <f t="shared" si="3"/>
        <v>0</v>
      </c>
      <c r="R12" s="13">
        <f>L12*Assumptions!$B$11+M12*Assumptions!$B$12+N12*Assumptions!$B$13+O12*Assumptions!$B$14+P12*Assumptions!$B$15+Q12*Assumptions!$B$16</f>
        <v>0</v>
      </c>
      <c r="S12" s="13" t="str">
        <f>IF(R12&gt;=Assumptions!$B$20,"High",IF(R12&gt;=Assumptions!$B$21,"Medium",IF(R12&gt;=1,"Low","Clear")))</f>
        <v>Clear</v>
      </c>
      <c r="T12" s="13" t="str">
        <f t="shared" si="4"/>
        <v/>
      </c>
    </row>
    <row r="13" spans="1:20" x14ac:dyDescent="0.35">
      <c r="A13" s="13" t="s">
        <v>154</v>
      </c>
      <c r="B13" s="13" t="s">
        <v>155</v>
      </c>
      <c r="C13" s="13" t="s">
        <v>156</v>
      </c>
      <c r="D13" s="13" t="s">
        <v>157</v>
      </c>
      <c r="E13" s="14">
        <v>45753</v>
      </c>
      <c r="F13" s="14">
        <v>45779</v>
      </c>
      <c r="G13" s="15">
        <v>356207.38</v>
      </c>
      <c r="H13" s="13" t="s">
        <v>158</v>
      </c>
      <c r="I13" s="13" t="s">
        <v>159</v>
      </c>
      <c r="J13" s="13" t="s">
        <v>143</v>
      </c>
      <c r="K13" s="13">
        <f t="shared" si="0"/>
        <v>3</v>
      </c>
      <c r="L13" s="13">
        <f t="shared" si="1"/>
        <v>0</v>
      </c>
      <c r="M13" s="13">
        <f>IF(AND(L13=0,COUNTIFS($B$2:$B$1534,B13,$G$2:$G$1534,G13,$E$2:$E$1534,"&gt;="&amp;(E13-Assumptions!$B$5),$E$2:$E$1534,"&lt;="&amp;(E13+Assumptions!$B$5))&gt;1),1,0)</f>
        <v>0</v>
      </c>
      <c r="N13" s="13">
        <f>IF(AND(G13&gt;=Assumptions!$B$4*(1-Assumptions!$B$6),G13&lt;Assumptions!$B$4),1,0)</f>
        <v>0</v>
      </c>
      <c r="O13" s="13">
        <f>IF(AND(G13&gt;=Assumptions!$B$7,MOD(G13,Assumptions!$B$7)=0),1,0)</f>
        <v>0</v>
      </c>
      <c r="P13" s="13">
        <f t="shared" si="2"/>
        <v>0</v>
      </c>
      <c r="Q13" s="13">
        <f t="shared" si="3"/>
        <v>0</v>
      </c>
      <c r="R13" s="13">
        <f>L13*Assumptions!$B$11+M13*Assumptions!$B$12+N13*Assumptions!$B$13+O13*Assumptions!$B$14+P13*Assumptions!$B$15+Q13*Assumptions!$B$16</f>
        <v>0</v>
      </c>
      <c r="S13" s="13" t="str">
        <f>IF(R13&gt;=Assumptions!$B$20,"High",IF(R13&gt;=Assumptions!$B$21,"Medium",IF(R13&gt;=1,"Low","Clear")))</f>
        <v>Clear</v>
      </c>
      <c r="T13" s="13" t="str">
        <f t="shared" si="4"/>
        <v/>
      </c>
    </row>
    <row r="14" spans="1:20" x14ac:dyDescent="0.35">
      <c r="A14" s="13" t="s">
        <v>160</v>
      </c>
      <c r="B14" s="13" t="s">
        <v>161</v>
      </c>
      <c r="C14" s="13" t="s">
        <v>162</v>
      </c>
      <c r="D14" s="13" t="s">
        <v>163</v>
      </c>
      <c r="E14" s="14">
        <v>45755</v>
      </c>
      <c r="F14" s="14">
        <v>45779</v>
      </c>
      <c r="G14" s="15">
        <v>16979.93</v>
      </c>
      <c r="H14" s="13" t="s">
        <v>164</v>
      </c>
      <c r="I14" s="13" t="s">
        <v>165</v>
      </c>
      <c r="J14" s="13" t="s">
        <v>111</v>
      </c>
      <c r="K14" s="13">
        <f t="shared" si="0"/>
        <v>1</v>
      </c>
      <c r="L14" s="13">
        <f t="shared" si="1"/>
        <v>0</v>
      </c>
      <c r="M14" s="13">
        <f>IF(AND(L14=0,COUNTIFS($B$2:$B$1534,B14,$G$2:$G$1534,G14,$E$2:$E$1534,"&gt;="&amp;(E14-Assumptions!$B$5),$E$2:$E$1534,"&lt;="&amp;(E14+Assumptions!$B$5))&gt;1),1,0)</f>
        <v>0</v>
      </c>
      <c r="N14" s="13">
        <f>IF(AND(G14&gt;=Assumptions!$B$4*(1-Assumptions!$B$6),G14&lt;Assumptions!$B$4),1,0)</f>
        <v>0</v>
      </c>
      <c r="O14" s="13">
        <f>IF(AND(G14&gt;=Assumptions!$B$7,MOD(G14,Assumptions!$B$7)=0),1,0)</f>
        <v>0</v>
      </c>
      <c r="P14" s="13">
        <f t="shared" si="2"/>
        <v>0</v>
      </c>
      <c r="Q14" s="13">
        <f t="shared" si="3"/>
        <v>0</v>
      </c>
      <c r="R14" s="13">
        <f>L14*Assumptions!$B$11+M14*Assumptions!$B$12+N14*Assumptions!$B$13+O14*Assumptions!$B$14+P14*Assumptions!$B$15+Q14*Assumptions!$B$16</f>
        <v>0</v>
      </c>
      <c r="S14" s="13" t="str">
        <f>IF(R14&gt;=Assumptions!$B$20,"High",IF(R14&gt;=Assumptions!$B$21,"Medium",IF(R14&gt;=1,"Low","Clear")))</f>
        <v>Clear</v>
      </c>
      <c r="T14" s="13" t="str">
        <f t="shared" si="4"/>
        <v/>
      </c>
    </row>
    <row r="15" spans="1:20" x14ac:dyDescent="0.35">
      <c r="A15" s="13" t="s">
        <v>166</v>
      </c>
      <c r="B15" s="13" t="s">
        <v>125</v>
      </c>
      <c r="C15" s="13" t="s">
        <v>126</v>
      </c>
      <c r="D15" s="13" t="s">
        <v>167</v>
      </c>
      <c r="E15" s="14">
        <v>45752</v>
      </c>
      <c r="F15" s="14">
        <v>45779</v>
      </c>
      <c r="G15" s="15">
        <v>5717.04</v>
      </c>
      <c r="H15" s="13" t="s">
        <v>168</v>
      </c>
      <c r="I15" s="13" t="s">
        <v>169</v>
      </c>
      <c r="J15" s="13" t="s">
        <v>170</v>
      </c>
      <c r="K15" s="13">
        <f t="shared" si="0"/>
        <v>5</v>
      </c>
      <c r="L15" s="13">
        <f t="shared" si="1"/>
        <v>0</v>
      </c>
      <c r="M15" s="13">
        <f>IF(AND(L15=0,COUNTIFS($B$2:$B$1534,B15,$G$2:$G$1534,G15,$E$2:$E$1534,"&gt;="&amp;(E15-Assumptions!$B$5),$E$2:$E$1534,"&lt;="&amp;(E15+Assumptions!$B$5))&gt;1),1,0)</f>
        <v>0</v>
      </c>
      <c r="N15" s="13">
        <f>IF(AND(G15&gt;=Assumptions!$B$4*(1-Assumptions!$B$6),G15&lt;Assumptions!$B$4),1,0)</f>
        <v>0</v>
      </c>
      <c r="O15" s="13">
        <f>IF(AND(G15&gt;=Assumptions!$B$7,MOD(G15,Assumptions!$B$7)=0),1,0)</f>
        <v>0</v>
      </c>
      <c r="P15" s="13">
        <f t="shared" si="2"/>
        <v>0</v>
      </c>
      <c r="Q15" s="13">
        <f t="shared" si="3"/>
        <v>0</v>
      </c>
      <c r="R15" s="13">
        <f>L15*Assumptions!$B$11+M15*Assumptions!$B$12+N15*Assumptions!$B$13+O15*Assumptions!$B$14+P15*Assumptions!$B$15+Q15*Assumptions!$B$16</f>
        <v>0</v>
      </c>
      <c r="S15" s="13" t="str">
        <f>IF(R15&gt;=Assumptions!$B$20,"High",IF(R15&gt;=Assumptions!$B$21,"Medium",IF(R15&gt;=1,"Low","Clear")))</f>
        <v>Clear</v>
      </c>
      <c r="T15" s="13" t="str">
        <f t="shared" si="4"/>
        <v/>
      </c>
    </row>
    <row r="16" spans="1:20" x14ac:dyDescent="0.35">
      <c r="A16" s="13" t="s">
        <v>171</v>
      </c>
      <c r="B16" s="13" t="s">
        <v>113</v>
      </c>
      <c r="C16" s="13" t="s">
        <v>114</v>
      </c>
      <c r="D16" s="13" t="s">
        <v>172</v>
      </c>
      <c r="E16" s="14">
        <v>45753</v>
      </c>
      <c r="F16" s="14">
        <v>45780</v>
      </c>
      <c r="G16" s="15">
        <v>37149.14</v>
      </c>
      <c r="H16" s="13" t="s">
        <v>173</v>
      </c>
      <c r="I16" s="13" t="s">
        <v>174</v>
      </c>
      <c r="J16" s="13" t="s">
        <v>170</v>
      </c>
      <c r="K16" s="13">
        <f t="shared" si="0"/>
        <v>3</v>
      </c>
      <c r="L16" s="13">
        <f t="shared" si="1"/>
        <v>0</v>
      </c>
      <c r="M16" s="13">
        <f>IF(AND(L16=0,COUNTIFS($B$2:$B$1534,B16,$G$2:$G$1534,G16,$E$2:$E$1534,"&gt;="&amp;(E16-Assumptions!$B$5),$E$2:$E$1534,"&lt;="&amp;(E16+Assumptions!$B$5))&gt;1),1,0)</f>
        <v>0</v>
      </c>
      <c r="N16" s="13">
        <f>IF(AND(G16&gt;=Assumptions!$B$4*(1-Assumptions!$B$6),G16&lt;Assumptions!$B$4),1,0)</f>
        <v>0</v>
      </c>
      <c r="O16" s="13">
        <f>IF(AND(G16&gt;=Assumptions!$B$7,MOD(G16,Assumptions!$B$7)=0),1,0)</f>
        <v>0</v>
      </c>
      <c r="P16" s="13">
        <f t="shared" si="2"/>
        <v>0</v>
      </c>
      <c r="Q16" s="13">
        <f t="shared" si="3"/>
        <v>1</v>
      </c>
      <c r="R16" s="13">
        <f>L16*Assumptions!$B$11+M16*Assumptions!$B$12+N16*Assumptions!$B$13+O16*Assumptions!$B$14+P16*Assumptions!$B$15+Q16*Assumptions!$B$16</f>
        <v>1</v>
      </c>
      <c r="S16" s="13" t="str">
        <f>IF(R16&gt;=Assumptions!$B$20,"High",IF(R16&gt;=Assumptions!$B$21,"Medium",IF(R16&gt;=1,"Low","Clear")))</f>
        <v>Low</v>
      </c>
      <c r="T16" s="13" t="str">
        <f t="shared" si="4"/>
        <v xml:space="preserve">Weekend payment; </v>
      </c>
    </row>
    <row r="17" spans="1:20" x14ac:dyDescent="0.35">
      <c r="A17" s="13" t="s">
        <v>175</v>
      </c>
      <c r="B17" s="13" t="s">
        <v>176</v>
      </c>
      <c r="C17" s="13" t="s">
        <v>177</v>
      </c>
      <c r="D17" s="13" t="s">
        <v>178</v>
      </c>
      <c r="E17" s="14">
        <v>45754</v>
      </c>
      <c r="F17" s="14">
        <v>45782</v>
      </c>
      <c r="G17" s="15">
        <v>13749.41</v>
      </c>
      <c r="H17" s="13" t="s">
        <v>179</v>
      </c>
      <c r="I17" s="13" t="s">
        <v>180</v>
      </c>
      <c r="J17" s="13" t="s">
        <v>170</v>
      </c>
      <c r="K17" s="13">
        <f t="shared" si="0"/>
        <v>1</v>
      </c>
      <c r="L17" s="13">
        <f t="shared" si="1"/>
        <v>0</v>
      </c>
      <c r="M17" s="13">
        <f>IF(AND(L17=0,COUNTIFS($B$2:$B$1534,B17,$G$2:$G$1534,G17,$E$2:$E$1534,"&gt;="&amp;(E17-Assumptions!$B$5),$E$2:$E$1534,"&lt;="&amp;(E17+Assumptions!$B$5))&gt;1),1,0)</f>
        <v>0</v>
      </c>
      <c r="N17" s="13">
        <f>IF(AND(G17&gt;=Assumptions!$B$4*(1-Assumptions!$B$6),G17&lt;Assumptions!$B$4),1,0)</f>
        <v>0</v>
      </c>
      <c r="O17" s="13">
        <f>IF(AND(G17&gt;=Assumptions!$B$7,MOD(G17,Assumptions!$B$7)=0),1,0)</f>
        <v>0</v>
      </c>
      <c r="P17" s="13">
        <f t="shared" si="2"/>
        <v>0</v>
      </c>
      <c r="Q17" s="13">
        <f t="shared" si="3"/>
        <v>0</v>
      </c>
      <c r="R17" s="13">
        <f>L17*Assumptions!$B$11+M17*Assumptions!$B$12+N17*Assumptions!$B$13+O17*Assumptions!$B$14+P17*Assumptions!$B$15+Q17*Assumptions!$B$16</f>
        <v>0</v>
      </c>
      <c r="S17" s="13" t="str">
        <f>IF(R17&gt;=Assumptions!$B$20,"High",IF(R17&gt;=Assumptions!$B$21,"Medium",IF(R17&gt;=1,"Low","Clear")))</f>
        <v>Clear</v>
      </c>
      <c r="T17" s="13" t="str">
        <f t="shared" si="4"/>
        <v/>
      </c>
    </row>
    <row r="18" spans="1:20" x14ac:dyDescent="0.35">
      <c r="A18" s="13" t="s">
        <v>181</v>
      </c>
      <c r="B18" s="13" t="s">
        <v>182</v>
      </c>
      <c r="C18" s="13" t="s">
        <v>183</v>
      </c>
      <c r="D18" s="13" t="s">
        <v>184</v>
      </c>
      <c r="E18" s="14">
        <v>45750</v>
      </c>
      <c r="F18" s="14">
        <v>45782</v>
      </c>
      <c r="G18" s="15">
        <v>2238.9</v>
      </c>
      <c r="H18" s="13" t="s">
        <v>185</v>
      </c>
      <c r="I18" s="13" t="s">
        <v>186</v>
      </c>
      <c r="J18" s="13" t="s">
        <v>98</v>
      </c>
      <c r="K18" s="13">
        <f t="shared" si="0"/>
        <v>2</v>
      </c>
      <c r="L18" s="13">
        <f t="shared" si="1"/>
        <v>0</v>
      </c>
      <c r="M18" s="13">
        <f>IF(AND(L18=0,COUNTIFS($B$2:$B$1534,B18,$G$2:$G$1534,G18,$E$2:$E$1534,"&gt;="&amp;(E18-Assumptions!$B$5),$E$2:$E$1534,"&lt;="&amp;(E18+Assumptions!$B$5))&gt;1),1,0)</f>
        <v>0</v>
      </c>
      <c r="N18" s="13">
        <f>IF(AND(G18&gt;=Assumptions!$B$4*(1-Assumptions!$B$6),G18&lt;Assumptions!$B$4),1,0)</f>
        <v>0</v>
      </c>
      <c r="O18" s="13">
        <f>IF(AND(G18&gt;=Assumptions!$B$7,MOD(G18,Assumptions!$B$7)=0),1,0)</f>
        <v>0</v>
      </c>
      <c r="P18" s="13">
        <f t="shared" si="2"/>
        <v>0</v>
      </c>
      <c r="Q18" s="13">
        <f t="shared" si="3"/>
        <v>0</v>
      </c>
      <c r="R18" s="13">
        <f>L18*Assumptions!$B$11+M18*Assumptions!$B$12+N18*Assumptions!$B$13+O18*Assumptions!$B$14+P18*Assumptions!$B$15+Q18*Assumptions!$B$16</f>
        <v>0</v>
      </c>
      <c r="S18" s="13" t="str">
        <f>IF(R18&gt;=Assumptions!$B$20,"High",IF(R18&gt;=Assumptions!$B$21,"Medium",IF(R18&gt;=1,"Low","Clear")))</f>
        <v>Clear</v>
      </c>
      <c r="T18" s="13" t="str">
        <f t="shared" si="4"/>
        <v/>
      </c>
    </row>
    <row r="19" spans="1:20" x14ac:dyDescent="0.35">
      <c r="A19" s="13" t="s">
        <v>187</v>
      </c>
      <c r="B19" s="13" t="s">
        <v>188</v>
      </c>
      <c r="C19" s="13" t="s">
        <v>189</v>
      </c>
      <c r="D19" s="13" t="s">
        <v>190</v>
      </c>
      <c r="E19" s="14">
        <v>45754</v>
      </c>
      <c r="F19" s="14">
        <v>45782</v>
      </c>
      <c r="G19" s="15">
        <v>4066.88</v>
      </c>
      <c r="H19" s="13" t="s">
        <v>191</v>
      </c>
      <c r="I19" s="13" t="s">
        <v>192</v>
      </c>
      <c r="J19" s="13" t="s">
        <v>136</v>
      </c>
      <c r="K19" s="13">
        <f t="shared" si="0"/>
        <v>4</v>
      </c>
      <c r="L19" s="13">
        <f t="shared" si="1"/>
        <v>0</v>
      </c>
      <c r="M19" s="13">
        <f>IF(AND(L19=0,COUNTIFS($B$2:$B$1534,B19,$G$2:$G$1534,G19,$E$2:$E$1534,"&gt;="&amp;(E19-Assumptions!$B$5),$E$2:$E$1534,"&lt;="&amp;(E19+Assumptions!$B$5))&gt;1),1,0)</f>
        <v>0</v>
      </c>
      <c r="N19" s="13">
        <f>IF(AND(G19&gt;=Assumptions!$B$4*(1-Assumptions!$B$6),G19&lt;Assumptions!$B$4),1,0)</f>
        <v>0</v>
      </c>
      <c r="O19" s="13">
        <f>IF(AND(G19&gt;=Assumptions!$B$7,MOD(G19,Assumptions!$B$7)=0),1,0)</f>
        <v>0</v>
      </c>
      <c r="P19" s="13">
        <f t="shared" si="2"/>
        <v>0</v>
      </c>
      <c r="Q19" s="13">
        <f t="shared" si="3"/>
        <v>0</v>
      </c>
      <c r="R19" s="13">
        <f>L19*Assumptions!$B$11+M19*Assumptions!$B$12+N19*Assumptions!$B$13+O19*Assumptions!$B$14+P19*Assumptions!$B$15+Q19*Assumptions!$B$16</f>
        <v>0</v>
      </c>
      <c r="S19" s="13" t="str">
        <f>IF(R19&gt;=Assumptions!$B$20,"High",IF(R19&gt;=Assumptions!$B$21,"Medium",IF(R19&gt;=1,"Low","Clear")))</f>
        <v>Clear</v>
      </c>
      <c r="T19" s="13" t="str">
        <f t="shared" si="4"/>
        <v/>
      </c>
    </row>
    <row r="20" spans="1:20" x14ac:dyDescent="0.35">
      <c r="A20" s="13" t="s">
        <v>193</v>
      </c>
      <c r="B20" s="13" t="s">
        <v>86</v>
      </c>
      <c r="C20" s="13" t="s">
        <v>87</v>
      </c>
      <c r="D20" s="13" t="s">
        <v>194</v>
      </c>
      <c r="E20" s="14">
        <v>45749</v>
      </c>
      <c r="F20" s="14">
        <v>45782</v>
      </c>
      <c r="G20" s="15">
        <v>22465.24</v>
      </c>
      <c r="H20" s="13" t="s">
        <v>195</v>
      </c>
      <c r="I20" s="13" t="s">
        <v>196</v>
      </c>
      <c r="J20" s="13" t="s">
        <v>170</v>
      </c>
      <c r="K20" s="13">
        <f t="shared" si="0"/>
        <v>2</v>
      </c>
      <c r="L20" s="13">
        <f t="shared" si="1"/>
        <v>0</v>
      </c>
      <c r="M20" s="13">
        <f>IF(AND(L20=0,COUNTIFS($B$2:$B$1534,B20,$G$2:$G$1534,G20,$E$2:$E$1534,"&gt;="&amp;(E20-Assumptions!$B$5),$E$2:$E$1534,"&lt;="&amp;(E20+Assumptions!$B$5))&gt;1),1,0)</f>
        <v>0</v>
      </c>
      <c r="N20" s="13">
        <f>IF(AND(G20&gt;=Assumptions!$B$4*(1-Assumptions!$B$6),G20&lt;Assumptions!$B$4),1,0)</f>
        <v>0</v>
      </c>
      <c r="O20" s="13">
        <f>IF(AND(G20&gt;=Assumptions!$B$7,MOD(G20,Assumptions!$B$7)=0),1,0)</f>
        <v>0</v>
      </c>
      <c r="P20" s="13">
        <f t="shared" si="2"/>
        <v>0</v>
      </c>
      <c r="Q20" s="13">
        <f t="shared" si="3"/>
        <v>0</v>
      </c>
      <c r="R20" s="13">
        <f>L20*Assumptions!$B$11+M20*Assumptions!$B$12+N20*Assumptions!$B$13+O20*Assumptions!$B$14+P20*Assumptions!$B$15+Q20*Assumptions!$B$16</f>
        <v>0</v>
      </c>
      <c r="S20" s="13" t="str">
        <f>IF(R20&gt;=Assumptions!$B$20,"High",IF(R20&gt;=Assumptions!$B$21,"Medium",IF(R20&gt;=1,"Low","Clear")))</f>
        <v>Clear</v>
      </c>
      <c r="T20" s="13" t="str">
        <f t="shared" si="4"/>
        <v/>
      </c>
    </row>
    <row r="21" spans="1:20" x14ac:dyDescent="0.35">
      <c r="A21" s="13" t="s">
        <v>197</v>
      </c>
      <c r="B21" s="13" t="s">
        <v>86</v>
      </c>
      <c r="C21" s="13" t="s">
        <v>87</v>
      </c>
      <c r="D21" s="13" t="s">
        <v>198</v>
      </c>
      <c r="E21" s="14">
        <v>45751</v>
      </c>
      <c r="F21" s="14">
        <v>45782</v>
      </c>
      <c r="G21" s="15">
        <v>631713.92000000004</v>
      </c>
      <c r="H21" s="13" t="s">
        <v>89</v>
      </c>
      <c r="I21" s="13" t="s">
        <v>90</v>
      </c>
      <c r="J21" s="13" t="s">
        <v>91</v>
      </c>
      <c r="K21" s="13">
        <f t="shared" si="0"/>
        <v>6</v>
      </c>
      <c r="L21" s="13">
        <f t="shared" si="1"/>
        <v>0</v>
      </c>
      <c r="M21" s="13">
        <f>IF(AND(L21=0,COUNTIFS($B$2:$B$1534,B21,$G$2:$G$1534,G21,$E$2:$E$1534,"&gt;="&amp;(E21-Assumptions!$B$5),$E$2:$E$1534,"&lt;="&amp;(E21+Assumptions!$B$5))&gt;1),1,0)</f>
        <v>1</v>
      </c>
      <c r="N21" s="13">
        <f>IF(AND(G21&gt;=Assumptions!$B$4*(1-Assumptions!$B$6),G21&lt;Assumptions!$B$4),1,0)</f>
        <v>0</v>
      </c>
      <c r="O21" s="13">
        <f>IF(AND(G21&gt;=Assumptions!$B$7,MOD(G21,Assumptions!$B$7)=0),1,0)</f>
        <v>0</v>
      </c>
      <c r="P21" s="13">
        <f t="shared" si="2"/>
        <v>0</v>
      </c>
      <c r="Q21" s="13">
        <f t="shared" si="3"/>
        <v>0</v>
      </c>
      <c r="R21" s="13">
        <f>L21*Assumptions!$B$11+M21*Assumptions!$B$12+N21*Assumptions!$B$13+O21*Assumptions!$B$14+P21*Assumptions!$B$15+Q21*Assumptions!$B$16</f>
        <v>3</v>
      </c>
      <c r="S21" s="13" t="str">
        <f>IF(R21&gt;=Assumptions!$B$20,"High",IF(R21&gt;=Assumptions!$B$21,"Medium",IF(R21&gt;=1,"Low","Clear")))</f>
        <v>Medium</v>
      </c>
      <c r="T21" s="13" t="str">
        <f t="shared" si="4"/>
        <v xml:space="preserve">Near-duplicate; </v>
      </c>
    </row>
    <row r="22" spans="1:20" x14ac:dyDescent="0.35">
      <c r="A22" s="13" t="s">
        <v>199</v>
      </c>
      <c r="B22" s="13" t="s">
        <v>200</v>
      </c>
      <c r="C22" s="13" t="s">
        <v>201</v>
      </c>
      <c r="D22" s="13" t="s">
        <v>202</v>
      </c>
      <c r="E22" s="14">
        <v>45751</v>
      </c>
      <c r="F22" s="14">
        <v>45782</v>
      </c>
      <c r="G22" s="15">
        <v>1070.72</v>
      </c>
      <c r="H22" s="13" t="s">
        <v>203</v>
      </c>
      <c r="I22" s="13" t="s">
        <v>204</v>
      </c>
      <c r="J22" s="13" t="s">
        <v>91</v>
      </c>
      <c r="K22" s="13">
        <f t="shared" si="0"/>
        <v>1</v>
      </c>
      <c r="L22" s="13">
        <f t="shared" si="1"/>
        <v>0</v>
      </c>
      <c r="M22" s="13">
        <f>IF(AND(L22=0,COUNTIFS($B$2:$B$1534,B22,$G$2:$G$1534,G22,$E$2:$E$1534,"&gt;="&amp;(E22-Assumptions!$B$5),$E$2:$E$1534,"&lt;="&amp;(E22+Assumptions!$B$5))&gt;1),1,0)</f>
        <v>0</v>
      </c>
      <c r="N22" s="13">
        <f>IF(AND(G22&gt;=Assumptions!$B$4*(1-Assumptions!$B$6),G22&lt;Assumptions!$B$4),1,0)</f>
        <v>0</v>
      </c>
      <c r="O22" s="13">
        <f>IF(AND(G22&gt;=Assumptions!$B$7,MOD(G22,Assumptions!$B$7)=0),1,0)</f>
        <v>0</v>
      </c>
      <c r="P22" s="13">
        <f t="shared" si="2"/>
        <v>0</v>
      </c>
      <c r="Q22" s="13">
        <f t="shared" si="3"/>
        <v>0</v>
      </c>
      <c r="R22" s="13">
        <f>L22*Assumptions!$B$11+M22*Assumptions!$B$12+N22*Assumptions!$B$13+O22*Assumptions!$B$14+P22*Assumptions!$B$15+Q22*Assumptions!$B$16</f>
        <v>0</v>
      </c>
      <c r="S22" s="13" t="str">
        <f>IF(R22&gt;=Assumptions!$B$20,"High",IF(R22&gt;=Assumptions!$B$21,"Medium",IF(R22&gt;=1,"Low","Clear")))</f>
        <v>Clear</v>
      </c>
      <c r="T22" s="13" t="str">
        <f t="shared" si="4"/>
        <v/>
      </c>
    </row>
    <row r="23" spans="1:20" x14ac:dyDescent="0.35">
      <c r="A23" s="13" t="s">
        <v>205</v>
      </c>
      <c r="B23" s="13" t="s">
        <v>206</v>
      </c>
      <c r="C23" s="13" t="s">
        <v>207</v>
      </c>
      <c r="D23" s="13" t="s">
        <v>208</v>
      </c>
      <c r="E23" s="14">
        <v>45757</v>
      </c>
      <c r="F23" s="14">
        <v>45782</v>
      </c>
      <c r="G23" s="15">
        <v>1408.95</v>
      </c>
      <c r="H23" s="13" t="s">
        <v>209</v>
      </c>
      <c r="I23" s="13" t="s">
        <v>210</v>
      </c>
      <c r="J23" s="13" t="s">
        <v>143</v>
      </c>
      <c r="K23" s="13">
        <f t="shared" si="0"/>
        <v>1</v>
      </c>
      <c r="L23" s="13">
        <f t="shared" si="1"/>
        <v>0</v>
      </c>
      <c r="M23" s="13">
        <f>IF(AND(L23=0,COUNTIFS($B$2:$B$1534,B23,$G$2:$G$1534,G23,$E$2:$E$1534,"&gt;="&amp;(E23-Assumptions!$B$5),$E$2:$E$1534,"&lt;="&amp;(E23+Assumptions!$B$5))&gt;1),1,0)</f>
        <v>0</v>
      </c>
      <c r="N23" s="13">
        <f>IF(AND(G23&gt;=Assumptions!$B$4*(1-Assumptions!$B$6),G23&lt;Assumptions!$B$4),1,0)</f>
        <v>0</v>
      </c>
      <c r="O23" s="13">
        <f>IF(AND(G23&gt;=Assumptions!$B$7,MOD(G23,Assumptions!$B$7)=0),1,0)</f>
        <v>0</v>
      </c>
      <c r="P23" s="13">
        <f t="shared" si="2"/>
        <v>0</v>
      </c>
      <c r="Q23" s="13">
        <f t="shared" si="3"/>
        <v>0</v>
      </c>
      <c r="R23" s="13">
        <f>L23*Assumptions!$B$11+M23*Assumptions!$B$12+N23*Assumptions!$B$13+O23*Assumptions!$B$14+P23*Assumptions!$B$15+Q23*Assumptions!$B$16</f>
        <v>0</v>
      </c>
      <c r="S23" s="13" t="str">
        <f>IF(R23&gt;=Assumptions!$B$20,"High",IF(R23&gt;=Assumptions!$B$21,"Medium",IF(R23&gt;=1,"Low","Clear")))</f>
        <v>Clear</v>
      </c>
      <c r="T23" s="13" t="str">
        <f t="shared" si="4"/>
        <v/>
      </c>
    </row>
    <row r="24" spans="1:20" x14ac:dyDescent="0.35">
      <c r="A24" s="13" t="s">
        <v>211</v>
      </c>
      <c r="B24" s="13" t="s">
        <v>212</v>
      </c>
      <c r="C24" s="13" t="s">
        <v>213</v>
      </c>
      <c r="D24" s="13" t="s">
        <v>214</v>
      </c>
      <c r="E24" s="14">
        <v>45749</v>
      </c>
      <c r="F24" s="14">
        <v>45782</v>
      </c>
      <c r="G24" s="15">
        <v>1831.83</v>
      </c>
      <c r="H24" s="13" t="s">
        <v>215</v>
      </c>
      <c r="I24" s="13" t="s">
        <v>216</v>
      </c>
      <c r="J24" s="13" t="s">
        <v>91</v>
      </c>
      <c r="K24" s="13">
        <f t="shared" si="0"/>
        <v>1</v>
      </c>
      <c r="L24" s="13">
        <f t="shared" si="1"/>
        <v>0</v>
      </c>
      <c r="M24" s="13">
        <f>IF(AND(L24=0,COUNTIFS($B$2:$B$1534,B24,$G$2:$G$1534,G24,$E$2:$E$1534,"&gt;="&amp;(E24-Assumptions!$B$5),$E$2:$E$1534,"&lt;="&amp;(E24+Assumptions!$B$5))&gt;1),1,0)</f>
        <v>0</v>
      </c>
      <c r="N24" s="13">
        <f>IF(AND(G24&gt;=Assumptions!$B$4*(1-Assumptions!$B$6),G24&lt;Assumptions!$B$4),1,0)</f>
        <v>0</v>
      </c>
      <c r="O24" s="13">
        <f>IF(AND(G24&gt;=Assumptions!$B$7,MOD(G24,Assumptions!$B$7)=0),1,0)</f>
        <v>0</v>
      </c>
      <c r="P24" s="13">
        <f t="shared" si="2"/>
        <v>0</v>
      </c>
      <c r="Q24" s="13">
        <f t="shared" si="3"/>
        <v>0</v>
      </c>
      <c r="R24" s="13">
        <f>L24*Assumptions!$B$11+M24*Assumptions!$B$12+N24*Assumptions!$B$13+O24*Assumptions!$B$14+P24*Assumptions!$B$15+Q24*Assumptions!$B$16</f>
        <v>0</v>
      </c>
      <c r="S24" s="13" t="str">
        <f>IF(R24&gt;=Assumptions!$B$20,"High",IF(R24&gt;=Assumptions!$B$21,"Medium",IF(R24&gt;=1,"Low","Clear")))</f>
        <v>Clear</v>
      </c>
      <c r="T24" s="13" t="str">
        <f t="shared" si="4"/>
        <v/>
      </c>
    </row>
    <row r="25" spans="1:20" x14ac:dyDescent="0.35">
      <c r="A25" s="13" t="s">
        <v>217</v>
      </c>
      <c r="B25" s="13" t="s">
        <v>218</v>
      </c>
      <c r="C25" s="13" t="s">
        <v>219</v>
      </c>
      <c r="D25" s="13" t="s">
        <v>220</v>
      </c>
      <c r="E25" s="14">
        <v>45749</v>
      </c>
      <c r="F25" s="14">
        <v>45782</v>
      </c>
      <c r="G25" s="15">
        <v>6246.1</v>
      </c>
      <c r="H25" s="13" t="s">
        <v>221</v>
      </c>
      <c r="I25" s="13" t="s">
        <v>222</v>
      </c>
      <c r="J25" s="13" t="s">
        <v>98</v>
      </c>
      <c r="K25" s="13">
        <f t="shared" si="0"/>
        <v>6</v>
      </c>
      <c r="L25" s="13">
        <f t="shared" si="1"/>
        <v>0</v>
      </c>
      <c r="M25" s="13">
        <f>IF(AND(L25=0,COUNTIFS($B$2:$B$1534,B25,$G$2:$G$1534,G25,$E$2:$E$1534,"&gt;="&amp;(E25-Assumptions!$B$5),$E$2:$E$1534,"&lt;="&amp;(E25+Assumptions!$B$5))&gt;1),1,0)</f>
        <v>0</v>
      </c>
      <c r="N25" s="13">
        <f>IF(AND(G25&gt;=Assumptions!$B$4*(1-Assumptions!$B$6),G25&lt;Assumptions!$B$4),1,0)</f>
        <v>0</v>
      </c>
      <c r="O25" s="13">
        <f>IF(AND(G25&gt;=Assumptions!$B$7,MOD(G25,Assumptions!$B$7)=0),1,0)</f>
        <v>0</v>
      </c>
      <c r="P25" s="13">
        <f t="shared" si="2"/>
        <v>0</v>
      </c>
      <c r="Q25" s="13">
        <f t="shared" si="3"/>
        <v>0</v>
      </c>
      <c r="R25" s="13">
        <f>L25*Assumptions!$B$11+M25*Assumptions!$B$12+N25*Assumptions!$B$13+O25*Assumptions!$B$14+P25*Assumptions!$B$15+Q25*Assumptions!$B$16</f>
        <v>0</v>
      </c>
      <c r="S25" s="13" t="str">
        <f>IF(R25&gt;=Assumptions!$B$20,"High",IF(R25&gt;=Assumptions!$B$21,"Medium",IF(R25&gt;=1,"Low","Clear")))</f>
        <v>Clear</v>
      </c>
      <c r="T25" s="13" t="str">
        <f t="shared" si="4"/>
        <v/>
      </c>
    </row>
    <row r="26" spans="1:20" x14ac:dyDescent="0.35">
      <c r="A26" s="13" t="s">
        <v>223</v>
      </c>
      <c r="B26" s="13" t="s">
        <v>188</v>
      </c>
      <c r="C26" s="13" t="s">
        <v>189</v>
      </c>
      <c r="D26" s="13" t="s">
        <v>224</v>
      </c>
      <c r="E26" s="14">
        <v>45759</v>
      </c>
      <c r="F26" s="14">
        <v>45783</v>
      </c>
      <c r="G26" s="15">
        <v>57521.15</v>
      </c>
      <c r="H26" s="13" t="s">
        <v>225</v>
      </c>
      <c r="I26" s="13" t="s">
        <v>226</v>
      </c>
      <c r="J26" s="13" t="s">
        <v>91</v>
      </c>
      <c r="K26" s="13">
        <f t="shared" si="0"/>
        <v>5</v>
      </c>
      <c r="L26" s="13">
        <f t="shared" si="1"/>
        <v>0</v>
      </c>
      <c r="M26" s="13">
        <f>IF(AND(L26=0,COUNTIFS($B$2:$B$1534,B26,$G$2:$G$1534,G26,$E$2:$E$1534,"&gt;="&amp;(E26-Assumptions!$B$5),$E$2:$E$1534,"&lt;="&amp;(E26+Assumptions!$B$5))&gt;1),1,0)</f>
        <v>0</v>
      </c>
      <c r="N26" s="13">
        <f>IF(AND(G26&gt;=Assumptions!$B$4*(1-Assumptions!$B$6),G26&lt;Assumptions!$B$4),1,0)</f>
        <v>0</v>
      </c>
      <c r="O26" s="13">
        <f>IF(AND(G26&gt;=Assumptions!$B$7,MOD(G26,Assumptions!$B$7)=0),1,0)</f>
        <v>0</v>
      </c>
      <c r="P26" s="13">
        <f t="shared" si="2"/>
        <v>0</v>
      </c>
      <c r="Q26" s="13">
        <f t="shared" si="3"/>
        <v>0</v>
      </c>
      <c r="R26" s="13">
        <f>L26*Assumptions!$B$11+M26*Assumptions!$B$12+N26*Assumptions!$B$13+O26*Assumptions!$B$14+P26*Assumptions!$B$15+Q26*Assumptions!$B$16</f>
        <v>0</v>
      </c>
      <c r="S26" s="13" t="str">
        <f>IF(R26&gt;=Assumptions!$B$20,"High",IF(R26&gt;=Assumptions!$B$21,"Medium",IF(R26&gt;=1,"Low","Clear")))</f>
        <v>Clear</v>
      </c>
      <c r="T26" s="13" t="str">
        <f t="shared" si="4"/>
        <v/>
      </c>
    </row>
    <row r="27" spans="1:20" x14ac:dyDescent="0.35">
      <c r="A27" s="13" t="s">
        <v>227</v>
      </c>
      <c r="B27" s="13" t="s">
        <v>228</v>
      </c>
      <c r="C27" s="13" t="s">
        <v>229</v>
      </c>
      <c r="D27" s="13" t="s">
        <v>230</v>
      </c>
      <c r="E27" s="14">
        <v>45755</v>
      </c>
      <c r="F27" s="14">
        <v>45783</v>
      </c>
      <c r="G27" s="15">
        <v>48063.25</v>
      </c>
      <c r="H27" s="13" t="s">
        <v>231</v>
      </c>
      <c r="I27" s="13" t="s">
        <v>232</v>
      </c>
      <c r="J27" s="13" t="s">
        <v>98</v>
      </c>
      <c r="K27" s="13">
        <f t="shared" si="0"/>
        <v>4</v>
      </c>
      <c r="L27" s="13">
        <f t="shared" si="1"/>
        <v>0</v>
      </c>
      <c r="M27" s="13">
        <f>IF(AND(L27=0,COUNTIFS($B$2:$B$1534,B27,$G$2:$G$1534,G27,$E$2:$E$1534,"&gt;="&amp;(E27-Assumptions!$B$5),$E$2:$E$1534,"&lt;="&amp;(E27+Assumptions!$B$5))&gt;1),1,0)</f>
        <v>0</v>
      </c>
      <c r="N27" s="13">
        <f>IF(AND(G27&gt;=Assumptions!$B$4*(1-Assumptions!$B$6),G27&lt;Assumptions!$B$4),1,0)</f>
        <v>1</v>
      </c>
      <c r="O27" s="13">
        <f>IF(AND(G27&gt;=Assumptions!$B$7,MOD(G27,Assumptions!$B$7)=0),1,0)</f>
        <v>0</v>
      </c>
      <c r="P27" s="13">
        <f t="shared" si="2"/>
        <v>0</v>
      </c>
      <c r="Q27" s="13">
        <f t="shared" si="3"/>
        <v>0</v>
      </c>
      <c r="R27" s="13">
        <f>L27*Assumptions!$B$11+M27*Assumptions!$B$12+N27*Assumptions!$B$13+O27*Assumptions!$B$14+P27*Assumptions!$B$15+Q27*Assumptions!$B$16</f>
        <v>3</v>
      </c>
      <c r="S27" s="13" t="str">
        <f>IF(R27&gt;=Assumptions!$B$20,"High",IF(R27&gt;=Assumptions!$B$21,"Medium",IF(R27&gt;=1,"Low","Clear")))</f>
        <v>Medium</v>
      </c>
      <c r="T27" s="13" t="str">
        <f t="shared" si="4"/>
        <v xml:space="preserve">Just below limit; </v>
      </c>
    </row>
    <row r="28" spans="1:20" x14ac:dyDescent="0.35">
      <c r="A28" s="13" t="s">
        <v>233</v>
      </c>
      <c r="B28" s="13" t="s">
        <v>234</v>
      </c>
      <c r="C28" s="13" t="s">
        <v>235</v>
      </c>
      <c r="D28" s="13" t="s">
        <v>236</v>
      </c>
      <c r="E28" s="14">
        <v>45761</v>
      </c>
      <c r="F28" s="14">
        <v>45783</v>
      </c>
      <c r="G28" s="15">
        <v>4861.53</v>
      </c>
      <c r="H28" s="13" t="s">
        <v>237</v>
      </c>
      <c r="I28" s="13" t="s">
        <v>238</v>
      </c>
      <c r="J28" s="13" t="s">
        <v>91</v>
      </c>
      <c r="K28" s="13">
        <f t="shared" si="0"/>
        <v>4</v>
      </c>
      <c r="L28" s="13">
        <f t="shared" si="1"/>
        <v>0</v>
      </c>
      <c r="M28" s="13">
        <f>IF(AND(L28=0,COUNTIFS($B$2:$B$1534,B28,$G$2:$G$1534,G28,$E$2:$E$1534,"&gt;="&amp;(E28-Assumptions!$B$5),$E$2:$E$1534,"&lt;="&amp;(E28+Assumptions!$B$5))&gt;1),1,0)</f>
        <v>0</v>
      </c>
      <c r="N28" s="13">
        <f>IF(AND(G28&gt;=Assumptions!$B$4*(1-Assumptions!$B$6),G28&lt;Assumptions!$B$4),1,0)</f>
        <v>0</v>
      </c>
      <c r="O28" s="13">
        <f>IF(AND(G28&gt;=Assumptions!$B$7,MOD(G28,Assumptions!$B$7)=0),1,0)</f>
        <v>0</v>
      </c>
      <c r="P28" s="13">
        <f t="shared" si="2"/>
        <v>0</v>
      </c>
      <c r="Q28" s="13">
        <f t="shared" si="3"/>
        <v>0</v>
      </c>
      <c r="R28" s="13">
        <f>L28*Assumptions!$B$11+M28*Assumptions!$B$12+N28*Assumptions!$B$13+O28*Assumptions!$B$14+P28*Assumptions!$B$15+Q28*Assumptions!$B$16</f>
        <v>0</v>
      </c>
      <c r="S28" s="13" t="str">
        <f>IF(R28&gt;=Assumptions!$B$20,"High",IF(R28&gt;=Assumptions!$B$21,"Medium",IF(R28&gt;=1,"Low","Clear")))</f>
        <v>Clear</v>
      </c>
      <c r="T28" s="13" t="str">
        <f t="shared" si="4"/>
        <v/>
      </c>
    </row>
    <row r="29" spans="1:20" x14ac:dyDescent="0.35">
      <c r="A29" s="13" t="s">
        <v>239</v>
      </c>
      <c r="B29" s="13" t="s">
        <v>212</v>
      </c>
      <c r="C29" s="13" t="s">
        <v>213</v>
      </c>
      <c r="D29" s="13" t="s">
        <v>240</v>
      </c>
      <c r="E29" s="14">
        <v>45754</v>
      </c>
      <c r="F29" s="14">
        <v>45783</v>
      </c>
      <c r="G29" s="15">
        <v>10833.3</v>
      </c>
      <c r="H29" s="13" t="s">
        <v>241</v>
      </c>
      <c r="I29" s="13" t="s">
        <v>242</v>
      </c>
      <c r="J29" s="13" t="s">
        <v>91</v>
      </c>
      <c r="K29" s="13">
        <f t="shared" si="0"/>
        <v>1</v>
      </c>
      <c r="L29" s="13">
        <f t="shared" si="1"/>
        <v>0</v>
      </c>
      <c r="M29" s="13">
        <f>IF(AND(L29=0,COUNTIFS($B$2:$B$1534,B29,$G$2:$G$1534,G29,$E$2:$E$1534,"&gt;="&amp;(E29-Assumptions!$B$5),$E$2:$E$1534,"&lt;="&amp;(E29+Assumptions!$B$5))&gt;1),1,0)</f>
        <v>0</v>
      </c>
      <c r="N29" s="13">
        <f>IF(AND(G29&gt;=Assumptions!$B$4*(1-Assumptions!$B$6),G29&lt;Assumptions!$B$4),1,0)</f>
        <v>0</v>
      </c>
      <c r="O29" s="13">
        <f>IF(AND(G29&gt;=Assumptions!$B$7,MOD(G29,Assumptions!$B$7)=0),1,0)</f>
        <v>0</v>
      </c>
      <c r="P29" s="13">
        <f t="shared" si="2"/>
        <v>0</v>
      </c>
      <c r="Q29" s="13">
        <f t="shared" si="3"/>
        <v>0</v>
      </c>
      <c r="R29" s="13">
        <f>L29*Assumptions!$B$11+M29*Assumptions!$B$12+N29*Assumptions!$B$13+O29*Assumptions!$B$14+P29*Assumptions!$B$15+Q29*Assumptions!$B$16</f>
        <v>0</v>
      </c>
      <c r="S29" s="13" t="str">
        <f>IF(R29&gt;=Assumptions!$B$20,"High",IF(R29&gt;=Assumptions!$B$21,"Medium",IF(R29&gt;=1,"Low","Clear")))</f>
        <v>Clear</v>
      </c>
      <c r="T29" s="13" t="str">
        <f t="shared" si="4"/>
        <v/>
      </c>
    </row>
    <row r="30" spans="1:20" x14ac:dyDescent="0.35">
      <c r="A30" s="13" t="s">
        <v>243</v>
      </c>
      <c r="B30" s="13" t="s">
        <v>161</v>
      </c>
      <c r="C30" s="13" t="s">
        <v>162</v>
      </c>
      <c r="D30" s="13" t="s">
        <v>244</v>
      </c>
      <c r="E30" s="14">
        <v>45761</v>
      </c>
      <c r="F30" s="14">
        <v>45783</v>
      </c>
      <c r="G30" s="15">
        <v>82527.72</v>
      </c>
      <c r="H30" s="13" t="s">
        <v>245</v>
      </c>
      <c r="I30" s="13" t="s">
        <v>246</v>
      </c>
      <c r="J30" s="13" t="s">
        <v>98</v>
      </c>
      <c r="K30" s="13">
        <f t="shared" si="0"/>
        <v>8</v>
      </c>
      <c r="L30" s="13">
        <f t="shared" si="1"/>
        <v>0</v>
      </c>
      <c r="M30" s="13">
        <f>IF(AND(L30=0,COUNTIFS($B$2:$B$1534,B30,$G$2:$G$1534,G30,$E$2:$E$1534,"&gt;="&amp;(E30-Assumptions!$B$5),$E$2:$E$1534,"&lt;="&amp;(E30+Assumptions!$B$5))&gt;1),1,0)</f>
        <v>0</v>
      </c>
      <c r="N30" s="13">
        <f>IF(AND(G30&gt;=Assumptions!$B$4*(1-Assumptions!$B$6),G30&lt;Assumptions!$B$4),1,0)</f>
        <v>0</v>
      </c>
      <c r="O30" s="13">
        <f>IF(AND(G30&gt;=Assumptions!$B$7,MOD(G30,Assumptions!$B$7)=0),1,0)</f>
        <v>0</v>
      </c>
      <c r="P30" s="13">
        <f t="shared" si="2"/>
        <v>0</v>
      </c>
      <c r="Q30" s="13">
        <f t="shared" si="3"/>
        <v>0</v>
      </c>
      <c r="R30" s="13">
        <f>L30*Assumptions!$B$11+M30*Assumptions!$B$12+N30*Assumptions!$B$13+O30*Assumptions!$B$14+P30*Assumptions!$B$15+Q30*Assumptions!$B$16</f>
        <v>0</v>
      </c>
      <c r="S30" s="13" t="str">
        <f>IF(R30&gt;=Assumptions!$B$20,"High",IF(R30&gt;=Assumptions!$B$21,"Medium",IF(R30&gt;=1,"Low","Clear")))</f>
        <v>Clear</v>
      </c>
      <c r="T30" s="13" t="str">
        <f t="shared" si="4"/>
        <v/>
      </c>
    </row>
    <row r="31" spans="1:20" x14ac:dyDescent="0.35">
      <c r="A31" s="13" t="s">
        <v>247</v>
      </c>
      <c r="B31" s="13" t="s">
        <v>188</v>
      </c>
      <c r="C31" s="13" t="s">
        <v>189</v>
      </c>
      <c r="D31" s="13" t="s">
        <v>248</v>
      </c>
      <c r="E31" s="14">
        <v>45750</v>
      </c>
      <c r="F31" s="14">
        <v>45784</v>
      </c>
      <c r="G31" s="15">
        <v>6615.82</v>
      </c>
      <c r="H31" s="13" t="s">
        <v>249</v>
      </c>
      <c r="I31" s="13" t="s">
        <v>250</v>
      </c>
      <c r="J31" s="13" t="s">
        <v>91</v>
      </c>
      <c r="K31" s="13">
        <f t="shared" si="0"/>
        <v>6</v>
      </c>
      <c r="L31" s="13">
        <f t="shared" si="1"/>
        <v>0</v>
      </c>
      <c r="M31" s="13">
        <f>IF(AND(L31=0,COUNTIFS($B$2:$B$1534,B31,$G$2:$G$1534,G31,$E$2:$E$1534,"&gt;="&amp;(E31-Assumptions!$B$5),$E$2:$E$1534,"&lt;="&amp;(E31+Assumptions!$B$5))&gt;1),1,0)</f>
        <v>0</v>
      </c>
      <c r="N31" s="13">
        <f>IF(AND(G31&gt;=Assumptions!$B$4*(1-Assumptions!$B$6),G31&lt;Assumptions!$B$4),1,0)</f>
        <v>0</v>
      </c>
      <c r="O31" s="13">
        <f>IF(AND(G31&gt;=Assumptions!$B$7,MOD(G31,Assumptions!$B$7)=0),1,0)</f>
        <v>0</v>
      </c>
      <c r="P31" s="13">
        <f t="shared" si="2"/>
        <v>0</v>
      </c>
      <c r="Q31" s="13">
        <f t="shared" si="3"/>
        <v>0</v>
      </c>
      <c r="R31" s="13">
        <f>L31*Assumptions!$B$11+M31*Assumptions!$B$12+N31*Assumptions!$B$13+O31*Assumptions!$B$14+P31*Assumptions!$B$15+Q31*Assumptions!$B$16</f>
        <v>0</v>
      </c>
      <c r="S31" s="13" t="str">
        <f>IF(R31&gt;=Assumptions!$B$20,"High",IF(R31&gt;=Assumptions!$B$21,"Medium",IF(R31&gt;=1,"Low","Clear")))</f>
        <v>Clear</v>
      </c>
      <c r="T31" s="13" t="str">
        <f t="shared" si="4"/>
        <v/>
      </c>
    </row>
    <row r="32" spans="1:20" x14ac:dyDescent="0.35">
      <c r="A32" s="13" t="s">
        <v>251</v>
      </c>
      <c r="B32" s="13" t="s">
        <v>252</v>
      </c>
      <c r="C32" s="13" t="s">
        <v>253</v>
      </c>
      <c r="D32" s="13" t="s">
        <v>254</v>
      </c>
      <c r="E32" s="14">
        <v>45756</v>
      </c>
      <c r="F32" s="14">
        <v>45784</v>
      </c>
      <c r="G32" s="15">
        <v>45701.95</v>
      </c>
      <c r="H32" s="13" t="s">
        <v>255</v>
      </c>
      <c r="I32" s="13" t="s">
        <v>256</v>
      </c>
      <c r="J32" s="13" t="s">
        <v>136</v>
      </c>
      <c r="K32" s="13">
        <f t="shared" si="0"/>
        <v>4</v>
      </c>
      <c r="L32" s="13">
        <f t="shared" si="1"/>
        <v>0</v>
      </c>
      <c r="M32" s="13">
        <f>IF(AND(L32=0,COUNTIFS($B$2:$B$1534,B32,$G$2:$G$1534,G32,$E$2:$E$1534,"&gt;="&amp;(E32-Assumptions!$B$5),$E$2:$E$1534,"&lt;="&amp;(E32+Assumptions!$B$5))&gt;1),1,0)</f>
        <v>0</v>
      </c>
      <c r="N32" s="13">
        <f>IF(AND(G32&gt;=Assumptions!$B$4*(1-Assumptions!$B$6),G32&lt;Assumptions!$B$4),1,0)</f>
        <v>0</v>
      </c>
      <c r="O32" s="13">
        <f>IF(AND(G32&gt;=Assumptions!$B$7,MOD(G32,Assumptions!$B$7)=0),1,0)</f>
        <v>0</v>
      </c>
      <c r="P32" s="13">
        <f t="shared" si="2"/>
        <v>0</v>
      </c>
      <c r="Q32" s="13">
        <f t="shared" si="3"/>
        <v>0</v>
      </c>
      <c r="R32" s="13">
        <f>L32*Assumptions!$B$11+M32*Assumptions!$B$12+N32*Assumptions!$B$13+O32*Assumptions!$B$14+P32*Assumptions!$B$15+Q32*Assumptions!$B$16</f>
        <v>0</v>
      </c>
      <c r="S32" s="13" t="str">
        <f>IF(R32&gt;=Assumptions!$B$20,"High",IF(R32&gt;=Assumptions!$B$21,"Medium",IF(R32&gt;=1,"Low","Clear")))</f>
        <v>Clear</v>
      </c>
      <c r="T32" s="13" t="str">
        <f t="shared" si="4"/>
        <v/>
      </c>
    </row>
    <row r="33" spans="1:20" x14ac:dyDescent="0.35">
      <c r="A33" s="13" t="s">
        <v>257</v>
      </c>
      <c r="B33" s="13" t="s">
        <v>113</v>
      </c>
      <c r="C33" s="13" t="s">
        <v>114</v>
      </c>
      <c r="D33" s="13" t="s">
        <v>115</v>
      </c>
      <c r="E33" s="14">
        <v>45751</v>
      </c>
      <c r="F33" s="14">
        <v>45784</v>
      </c>
      <c r="G33" s="15">
        <v>281298.96999999997</v>
      </c>
      <c r="H33" s="13" t="s">
        <v>116</v>
      </c>
      <c r="I33" s="13" t="s">
        <v>117</v>
      </c>
      <c r="J33" s="13" t="s">
        <v>111</v>
      </c>
      <c r="K33" s="13">
        <f t="shared" si="0"/>
        <v>2</v>
      </c>
      <c r="L33" s="13">
        <f t="shared" si="1"/>
        <v>1</v>
      </c>
      <c r="M33" s="13">
        <f>IF(AND(L33=0,COUNTIFS($B$2:$B$1534,B33,$G$2:$G$1534,G33,$E$2:$E$1534,"&gt;="&amp;(E33-Assumptions!$B$5),$E$2:$E$1534,"&lt;="&amp;(E33+Assumptions!$B$5))&gt;1),1,0)</f>
        <v>0</v>
      </c>
      <c r="N33" s="13">
        <f>IF(AND(G33&gt;=Assumptions!$B$4*(1-Assumptions!$B$6),G33&lt;Assumptions!$B$4),1,0)</f>
        <v>0</v>
      </c>
      <c r="O33" s="13">
        <f>IF(AND(G33&gt;=Assumptions!$B$7,MOD(G33,Assumptions!$B$7)=0),1,0)</f>
        <v>0</v>
      </c>
      <c r="P33" s="13">
        <f t="shared" si="2"/>
        <v>0</v>
      </c>
      <c r="Q33" s="13">
        <f t="shared" si="3"/>
        <v>0</v>
      </c>
      <c r="R33" s="13">
        <f>L33*Assumptions!$B$11+M33*Assumptions!$B$12+N33*Assumptions!$B$13+O33*Assumptions!$B$14+P33*Assumptions!$B$15+Q33*Assumptions!$B$16</f>
        <v>5</v>
      </c>
      <c r="S33" s="13" t="str">
        <f>IF(R33&gt;=Assumptions!$B$20,"High",IF(R33&gt;=Assumptions!$B$21,"Medium",IF(R33&gt;=1,"Low","Clear")))</f>
        <v>High</v>
      </c>
      <c r="T33" s="13" t="str">
        <f t="shared" si="4"/>
        <v xml:space="preserve">Duplicate invoice; </v>
      </c>
    </row>
    <row r="34" spans="1:20" x14ac:dyDescent="0.35">
      <c r="A34" s="13" t="s">
        <v>258</v>
      </c>
      <c r="B34" s="13" t="s">
        <v>228</v>
      </c>
      <c r="C34" s="13" t="s">
        <v>229</v>
      </c>
      <c r="D34" s="13" t="s">
        <v>259</v>
      </c>
      <c r="E34" s="14">
        <v>45748</v>
      </c>
      <c r="F34" s="14">
        <v>45785</v>
      </c>
      <c r="G34" s="15">
        <v>47660.44</v>
      </c>
      <c r="H34" s="13" t="s">
        <v>260</v>
      </c>
      <c r="I34" s="13" t="s">
        <v>261</v>
      </c>
      <c r="J34" s="13" t="s">
        <v>98</v>
      </c>
      <c r="K34" s="13">
        <f t="shared" si="0"/>
        <v>4</v>
      </c>
      <c r="L34" s="13">
        <f t="shared" si="1"/>
        <v>0</v>
      </c>
      <c r="M34" s="13">
        <f>IF(AND(L34=0,COUNTIFS($B$2:$B$1534,B34,$G$2:$G$1534,G34,$E$2:$E$1534,"&gt;="&amp;(E34-Assumptions!$B$5),$E$2:$E$1534,"&lt;="&amp;(E34+Assumptions!$B$5))&gt;1),1,0)</f>
        <v>0</v>
      </c>
      <c r="N34" s="13">
        <f>IF(AND(G34&gt;=Assumptions!$B$4*(1-Assumptions!$B$6),G34&lt;Assumptions!$B$4),1,0)</f>
        <v>1</v>
      </c>
      <c r="O34" s="13">
        <f>IF(AND(G34&gt;=Assumptions!$B$7,MOD(G34,Assumptions!$B$7)=0),1,0)</f>
        <v>0</v>
      </c>
      <c r="P34" s="13">
        <f t="shared" si="2"/>
        <v>0</v>
      </c>
      <c r="Q34" s="13">
        <f t="shared" si="3"/>
        <v>0</v>
      </c>
      <c r="R34" s="13">
        <f>L34*Assumptions!$B$11+M34*Assumptions!$B$12+N34*Assumptions!$B$13+O34*Assumptions!$B$14+P34*Assumptions!$B$15+Q34*Assumptions!$B$16</f>
        <v>3</v>
      </c>
      <c r="S34" s="13" t="str">
        <f>IF(R34&gt;=Assumptions!$B$20,"High",IF(R34&gt;=Assumptions!$B$21,"Medium",IF(R34&gt;=1,"Low","Clear")))</f>
        <v>Medium</v>
      </c>
      <c r="T34" s="13" t="str">
        <f t="shared" si="4"/>
        <v xml:space="preserve">Just below limit; </v>
      </c>
    </row>
    <row r="35" spans="1:20" x14ac:dyDescent="0.35">
      <c r="A35" s="13" t="s">
        <v>262</v>
      </c>
      <c r="B35" s="13" t="s">
        <v>93</v>
      </c>
      <c r="C35" s="13" t="s">
        <v>94</v>
      </c>
      <c r="D35" s="13" t="s">
        <v>263</v>
      </c>
      <c r="E35" s="14">
        <v>45765</v>
      </c>
      <c r="F35" s="14">
        <v>45785</v>
      </c>
      <c r="G35" s="15">
        <v>120000</v>
      </c>
      <c r="H35" s="13" t="s">
        <v>264</v>
      </c>
      <c r="I35" s="13" t="s">
        <v>265</v>
      </c>
      <c r="J35" s="13" t="s">
        <v>136</v>
      </c>
      <c r="K35" s="13">
        <f t="shared" si="0"/>
        <v>1</v>
      </c>
      <c r="L35" s="13">
        <f t="shared" si="1"/>
        <v>0</v>
      </c>
      <c r="M35" s="13">
        <f>IF(AND(L35=0,COUNTIFS($B$2:$B$1534,B35,$G$2:$G$1534,G35,$E$2:$E$1534,"&gt;="&amp;(E35-Assumptions!$B$5),$E$2:$E$1534,"&lt;="&amp;(E35+Assumptions!$B$5))&gt;1),1,0)</f>
        <v>0</v>
      </c>
      <c r="N35" s="13">
        <f>IF(AND(G35&gt;=Assumptions!$B$4*(1-Assumptions!$B$6),G35&lt;Assumptions!$B$4),1,0)</f>
        <v>0</v>
      </c>
      <c r="O35" s="13">
        <f>IF(AND(G35&gt;=Assumptions!$B$7,MOD(G35,Assumptions!$B$7)=0),1,0)</f>
        <v>1</v>
      </c>
      <c r="P35" s="13">
        <f t="shared" si="2"/>
        <v>0</v>
      </c>
      <c r="Q35" s="13">
        <f t="shared" si="3"/>
        <v>0</v>
      </c>
      <c r="R35" s="13">
        <f>L35*Assumptions!$B$11+M35*Assumptions!$B$12+N35*Assumptions!$B$13+O35*Assumptions!$B$14+P35*Assumptions!$B$15+Q35*Assumptions!$B$16</f>
        <v>1</v>
      </c>
      <c r="S35" s="13" t="str">
        <f>IF(R35&gt;=Assumptions!$B$20,"High",IF(R35&gt;=Assumptions!$B$21,"Medium",IF(R35&gt;=1,"Low","Clear")))</f>
        <v>Low</v>
      </c>
      <c r="T35" s="13" t="str">
        <f t="shared" si="4"/>
        <v xml:space="preserve">Round amount; </v>
      </c>
    </row>
    <row r="36" spans="1:20" x14ac:dyDescent="0.35">
      <c r="A36" s="13" t="s">
        <v>266</v>
      </c>
      <c r="B36" s="13" t="s">
        <v>212</v>
      </c>
      <c r="C36" s="13" t="s">
        <v>213</v>
      </c>
      <c r="D36" s="13" t="s">
        <v>267</v>
      </c>
      <c r="E36" s="14">
        <v>45755</v>
      </c>
      <c r="F36" s="14">
        <v>45785</v>
      </c>
      <c r="G36" s="15">
        <v>186441.77</v>
      </c>
      <c r="H36" s="13" t="s">
        <v>268</v>
      </c>
      <c r="I36" s="13" t="s">
        <v>269</v>
      </c>
      <c r="J36" s="13" t="s">
        <v>111</v>
      </c>
      <c r="K36" s="13">
        <f t="shared" si="0"/>
        <v>1</v>
      </c>
      <c r="L36" s="13">
        <f t="shared" si="1"/>
        <v>0</v>
      </c>
      <c r="M36" s="13">
        <f>IF(AND(L36=0,COUNTIFS($B$2:$B$1534,B36,$G$2:$G$1534,G36,$E$2:$E$1534,"&gt;="&amp;(E36-Assumptions!$B$5),$E$2:$E$1534,"&lt;="&amp;(E36+Assumptions!$B$5))&gt;1),1,0)</f>
        <v>0</v>
      </c>
      <c r="N36" s="13">
        <f>IF(AND(G36&gt;=Assumptions!$B$4*(1-Assumptions!$B$6),G36&lt;Assumptions!$B$4),1,0)</f>
        <v>0</v>
      </c>
      <c r="O36" s="13">
        <f>IF(AND(G36&gt;=Assumptions!$B$7,MOD(G36,Assumptions!$B$7)=0),1,0)</f>
        <v>0</v>
      </c>
      <c r="P36" s="13">
        <f t="shared" si="2"/>
        <v>0</v>
      </c>
      <c r="Q36" s="13">
        <f t="shared" si="3"/>
        <v>0</v>
      </c>
      <c r="R36" s="13">
        <f>L36*Assumptions!$B$11+M36*Assumptions!$B$12+N36*Assumptions!$B$13+O36*Assumptions!$B$14+P36*Assumptions!$B$15+Q36*Assumptions!$B$16</f>
        <v>0</v>
      </c>
      <c r="S36" s="13" t="str">
        <f>IF(R36&gt;=Assumptions!$B$20,"High",IF(R36&gt;=Assumptions!$B$21,"Medium",IF(R36&gt;=1,"Low","Clear")))</f>
        <v>Clear</v>
      </c>
      <c r="T36" s="13" t="str">
        <f t="shared" si="4"/>
        <v/>
      </c>
    </row>
    <row r="37" spans="1:20" x14ac:dyDescent="0.35">
      <c r="A37" s="13" t="s">
        <v>270</v>
      </c>
      <c r="B37" s="13" t="s">
        <v>218</v>
      </c>
      <c r="C37" s="13" t="s">
        <v>219</v>
      </c>
      <c r="D37" s="13" t="s">
        <v>271</v>
      </c>
      <c r="E37" s="14">
        <v>45760</v>
      </c>
      <c r="F37" s="14">
        <v>45785</v>
      </c>
      <c r="G37" s="15">
        <v>21138.080000000002</v>
      </c>
      <c r="H37" s="13" t="s">
        <v>272</v>
      </c>
      <c r="I37" s="13" t="s">
        <v>273</v>
      </c>
      <c r="J37" s="13" t="s">
        <v>111</v>
      </c>
      <c r="K37" s="13">
        <f t="shared" si="0"/>
        <v>2</v>
      </c>
      <c r="L37" s="13">
        <f t="shared" si="1"/>
        <v>0</v>
      </c>
      <c r="M37" s="13">
        <f>IF(AND(L37=0,COUNTIFS($B$2:$B$1534,B37,$G$2:$G$1534,G37,$E$2:$E$1534,"&gt;="&amp;(E37-Assumptions!$B$5),$E$2:$E$1534,"&lt;="&amp;(E37+Assumptions!$B$5))&gt;1),1,0)</f>
        <v>0</v>
      </c>
      <c r="N37" s="13">
        <f>IF(AND(G37&gt;=Assumptions!$B$4*(1-Assumptions!$B$6),G37&lt;Assumptions!$B$4),1,0)</f>
        <v>0</v>
      </c>
      <c r="O37" s="13">
        <f>IF(AND(G37&gt;=Assumptions!$B$7,MOD(G37,Assumptions!$B$7)=0),1,0)</f>
        <v>0</v>
      </c>
      <c r="P37" s="13">
        <f t="shared" si="2"/>
        <v>0</v>
      </c>
      <c r="Q37" s="13">
        <f t="shared" si="3"/>
        <v>0</v>
      </c>
      <c r="R37" s="13">
        <f>L37*Assumptions!$B$11+M37*Assumptions!$B$12+N37*Assumptions!$B$13+O37*Assumptions!$B$14+P37*Assumptions!$B$15+Q37*Assumptions!$B$16</f>
        <v>0</v>
      </c>
      <c r="S37" s="13" t="str">
        <f>IF(R37&gt;=Assumptions!$B$20,"High",IF(R37&gt;=Assumptions!$B$21,"Medium",IF(R37&gt;=1,"Low","Clear")))</f>
        <v>Clear</v>
      </c>
      <c r="T37" s="13" t="str">
        <f t="shared" si="4"/>
        <v/>
      </c>
    </row>
    <row r="38" spans="1:20" x14ac:dyDescent="0.35">
      <c r="A38" s="13" t="s">
        <v>274</v>
      </c>
      <c r="B38" s="13" t="s">
        <v>145</v>
      </c>
      <c r="C38" s="13" t="s">
        <v>146</v>
      </c>
      <c r="D38" s="13" t="s">
        <v>275</v>
      </c>
      <c r="E38" s="14">
        <v>45749</v>
      </c>
      <c r="F38" s="14">
        <v>45785</v>
      </c>
      <c r="G38" s="15">
        <v>132683.51</v>
      </c>
      <c r="H38" s="13" t="s">
        <v>276</v>
      </c>
      <c r="I38" s="13" t="s">
        <v>277</v>
      </c>
      <c r="J38" s="13" t="s">
        <v>98</v>
      </c>
      <c r="K38" s="13">
        <f t="shared" si="0"/>
        <v>1</v>
      </c>
      <c r="L38" s="13">
        <f t="shared" si="1"/>
        <v>0</v>
      </c>
      <c r="M38" s="13">
        <f>IF(AND(L38=0,COUNTIFS($B$2:$B$1534,B38,$G$2:$G$1534,G38,$E$2:$E$1534,"&gt;="&amp;(E38-Assumptions!$B$5),$E$2:$E$1534,"&lt;="&amp;(E38+Assumptions!$B$5))&gt;1),1,0)</f>
        <v>0</v>
      </c>
      <c r="N38" s="13">
        <f>IF(AND(G38&gt;=Assumptions!$B$4*(1-Assumptions!$B$6),G38&lt;Assumptions!$B$4),1,0)</f>
        <v>0</v>
      </c>
      <c r="O38" s="13">
        <f>IF(AND(G38&gt;=Assumptions!$B$7,MOD(G38,Assumptions!$B$7)=0),1,0)</f>
        <v>0</v>
      </c>
      <c r="P38" s="13">
        <f t="shared" si="2"/>
        <v>0</v>
      </c>
      <c r="Q38" s="13">
        <f t="shared" si="3"/>
        <v>0</v>
      </c>
      <c r="R38" s="13">
        <f>L38*Assumptions!$B$11+M38*Assumptions!$B$12+N38*Assumptions!$B$13+O38*Assumptions!$B$14+P38*Assumptions!$B$15+Q38*Assumptions!$B$16</f>
        <v>0</v>
      </c>
      <c r="S38" s="13" t="str">
        <f>IF(R38&gt;=Assumptions!$B$20,"High",IF(R38&gt;=Assumptions!$B$21,"Medium",IF(R38&gt;=1,"Low","Clear")))</f>
        <v>Clear</v>
      </c>
      <c r="T38" s="13" t="str">
        <f t="shared" si="4"/>
        <v/>
      </c>
    </row>
    <row r="39" spans="1:20" x14ac:dyDescent="0.35">
      <c r="A39" s="13" t="s">
        <v>278</v>
      </c>
      <c r="B39" s="13" t="s">
        <v>279</v>
      </c>
      <c r="C39" s="13" t="s">
        <v>280</v>
      </c>
      <c r="D39" s="13" t="s">
        <v>281</v>
      </c>
      <c r="E39" s="14">
        <v>45758</v>
      </c>
      <c r="F39" s="14">
        <v>45786</v>
      </c>
      <c r="G39" s="15">
        <v>110068.5</v>
      </c>
      <c r="H39" s="13" t="s">
        <v>282</v>
      </c>
      <c r="I39" s="13" t="s">
        <v>283</v>
      </c>
      <c r="J39" s="13" t="s">
        <v>143</v>
      </c>
      <c r="K39" s="13">
        <f t="shared" si="0"/>
        <v>1</v>
      </c>
      <c r="L39" s="13">
        <f t="shared" si="1"/>
        <v>0</v>
      </c>
      <c r="M39" s="13">
        <f>IF(AND(L39=0,COUNTIFS($B$2:$B$1534,B39,$G$2:$G$1534,G39,$E$2:$E$1534,"&gt;="&amp;(E39-Assumptions!$B$5),$E$2:$E$1534,"&lt;="&amp;(E39+Assumptions!$B$5))&gt;1),1,0)</f>
        <v>0</v>
      </c>
      <c r="N39" s="13">
        <f>IF(AND(G39&gt;=Assumptions!$B$4*(1-Assumptions!$B$6),G39&lt;Assumptions!$B$4),1,0)</f>
        <v>0</v>
      </c>
      <c r="O39" s="13">
        <f>IF(AND(G39&gt;=Assumptions!$B$7,MOD(G39,Assumptions!$B$7)=0),1,0)</f>
        <v>0</v>
      </c>
      <c r="P39" s="13">
        <f t="shared" si="2"/>
        <v>0</v>
      </c>
      <c r="Q39" s="13">
        <f t="shared" si="3"/>
        <v>0</v>
      </c>
      <c r="R39" s="13">
        <f>L39*Assumptions!$B$11+M39*Assumptions!$B$12+N39*Assumptions!$B$13+O39*Assumptions!$B$14+P39*Assumptions!$B$15+Q39*Assumptions!$B$16</f>
        <v>0</v>
      </c>
      <c r="S39" s="13" t="str">
        <f>IF(R39&gt;=Assumptions!$B$20,"High",IF(R39&gt;=Assumptions!$B$21,"Medium",IF(R39&gt;=1,"Low","Clear")))</f>
        <v>Clear</v>
      </c>
      <c r="T39" s="13" t="str">
        <f t="shared" si="4"/>
        <v/>
      </c>
    </row>
    <row r="40" spans="1:20" x14ac:dyDescent="0.35">
      <c r="A40" s="13" t="s">
        <v>284</v>
      </c>
      <c r="B40" s="13" t="s">
        <v>206</v>
      </c>
      <c r="C40" s="13" t="s">
        <v>207</v>
      </c>
      <c r="D40" s="13" t="s">
        <v>285</v>
      </c>
      <c r="E40" s="14">
        <v>45754</v>
      </c>
      <c r="F40" s="14">
        <v>45786</v>
      </c>
      <c r="G40" s="15">
        <v>4348.1400000000003</v>
      </c>
      <c r="H40" s="13" t="s">
        <v>286</v>
      </c>
      <c r="I40" s="13" t="s">
        <v>287</v>
      </c>
      <c r="J40" s="13" t="s">
        <v>136</v>
      </c>
      <c r="K40" s="13">
        <f t="shared" si="0"/>
        <v>4</v>
      </c>
      <c r="L40" s="13">
        <f t="shared" si="1"/>
        <v>0</v>
      </c>
      <c r="M40" s="13">
        <f>IF(AND(L40=0,COUNTIFS($B$2:$B$1534,B40,$G$2:$G$1534,G40,$E$2:$E$1534,"&gt;="&amp;(E40-Assumptions!$B$5),$E$2:$E$1534,"&lt;="&amp;(E40+Assumptions!$B$5))&gt;1),1,0)</f>
        <v>0</v>
      </c>
      <c r="N40" s="13">
        <f>IF(AND(G40&gt;=Assumptions!$B$4*(1-Assumptions!$B$6),G40&lt;Assumptions!$B$4),1,0)</f>
        <v>0</v>
      </c>
      <c r="O40" s="13">
        <f>IF(AND(G40&gt;=Assumptions!$B$7,MOD(G40,Assumptions!$B$7)=0),1,0)</f>
        <v>0</v>
      </c>
      <c r="P40" s="13">
        <f t="shared" si="2"/>
        <v>0</v>
      </c>
      <c r="Q40" s="13">
        <f t="shared" si="3"/>
        <v>0</v>
      </c>
      <c r="R40" s="13">
        <f>L40*Assumptions!$B$11+M40*Assumptions!$B$12+N40*Assumptions!$B$13+O40*Assumptions!$B$14+P40*Assumptions!$B$15+Q40*Assumptions!$B$16</f>
        <v>0</v>
      </c>
      <c r="S40" s="13" t="str">
        <f>IF(R40&gt;=Assumptions!$B$20,"High",IF(R40&gt;=Assumptions!$B$21,"Medium",IF(R40&gt;=1,"Low","Clear")))</f>
        <v>Clear</v>
      </c>
      <c r="T40" s="13" t="str">
        <f t="shared" si="4"/>
        <v/>
      </c>
    </row>
    <row r="41" spans="1:20" x14ac:dyDescent="0.35">
      <c r="A41" s="13" t="s">
        <v>288</v>
      </c>
      <c r="B41" s="13" t="s">
        <v>100</v>
      </c>
      <c r="C41" s="13" t="s">
        <v>101</v>
      </c>
      <c r="D41" s="13" t="s">
        <v>289</v>
      </c>
      <c r="E41" s="14">
        <v>45750</v>
      </c>
      <c r="F41" s="14">
        <v>45786</v>
      </c>
      <c r="G41" s="15">
        <v>161674.6</v>
      </c>
      <c r="H41" s="13" t="s">
        <v>290</v>
      </c>
      <c r="I41" s="13" t="s">
        <v>291</v>
      </c>
      <c r="J41" s="13" t="s">
        <v>91</v>
      </c>
      <c r="K41" s="13">
        <f t="shared" si="0"/>
        <v>1</v>
      </c>
      <c r="L41" s="13">
        <f t="shared" si="1"/>
        <v>0</v>
      </c>
      <c r="M41" s="13">
        <f>IF(AND(L41=0,COUNTIFS($B$2:$B$1534,B41,$G$2:$G$1534,G41,$E$2:$E$1534,"&gt;="&amp;(E41-Assumptions!$B$5),$E$2:$E$1534,"&lt;="&amp;(E41+Assumptions!$B$5))&gt;1),1,0)</f>
        <v>0</v>
      </c>
      <c r="N41" s="13">
        <f>IF(AND(G41&gt;=Assumptions!$B$4*(1-Assumptions!$B$6),G41&lt;Assumptions!$B$4),1,0)</f>
        <v>0</v>
      </c>
      <c r="O41" s="13">
        <f>IF(AND(G41&gt;=Assumptions!$B$7,MOD(G41,Assumptions!$B$7)=0),1,0)</f>
        <v>0</v>
      </c>
      <c r="P41" s="13">
        <f t="shared" si="2"/>
        <v>0</v>
      </c>
      <c r="Q41" s="13">
        <f t="shared" si="3"/>
        <v>0</v>
      </c>
      <c r="R41" s="13">
        <f>L41*Assumptions!$B$11+M41*Assumptions!$B$12+N41*Assumptions!$B$13+O41*Assumptions!$B$14+P41*Assumptions!$B$15+Q41*Assumptions!$B$16</f>
        <v>0</v>
      </c>
      <c r="S41" s="13" t="str">
        <f>IF(R41&gt;=Assumptions!$B$20,"High",IF(R41&gt;=Assumptions!$B$21,"Medium",IF(R41&gt;=1,"Low","Clear")))</f>
        <v>Clear</v>
      </c>
      <c r="T41" s="13" t="str">
        <f t="shared" si="4"/>
        <v/>
      </c>
    </row>
    <row r="42" spans="1:20" x14ac:dyDescent="0.35">
      <c r="A42" s="13" t="s">
        <v>292</v>
      </c>
      <c r="B42" s="13" t="s">
        <v>293</v>
      </c>
      <c r="C42" s="13" t="s">
        <v>294</v>
      </c>
      <c r="D42" s="13" t="s">
        <v>295</v>
      </c>
      <c r="E42" s="14">
        <v>45763</v>
      </c>
      <c r="F42" s="14">
        <v>45789</v>
      </c>
      <c r="G42" s="15">
        <v>3921.71</v>
      </c>
      <c r="H42" s="13" t="s">
        <v>296</v>
      </c>
      <c r="I42" s="13" t="s">
        <v>297</v>
      </c>
      <c r="J42" s="13" t="s">
        <v>170</v>
      </c>
      <c r="K42" s="13">
        <f t="shared" si="0"/>
        <v>3</v>
      </c>
      <c r="L42" s="13">
        <f t="shared" si="1"/>
        <v>0</v>
      </c>
      <c r="M42" s="13">
        <f>IF(AND(L42=0,COUNTIFS($B$2:$B$1534,B42,$G$2:$G$1534,G42,$E$2:$E$1534,"&gt;="&amp;(E42-Assumptions!$B$5),$E$2:$E$1534,"&lt;="&amp;(E42+Assumptions!$B$5))&gt;1),1,0)</f>
        <v>0</v>
      </c>
      <c r="N42" s="13">
        <f>IF(AND(G42&gt;=Assumptions!$B$4*(1-Assumptions!$B$6),G42&lt;Assumptions!$B$4),1,0)</f>
        <v>0</v>
      </c>
      <c r="O42" s="13">
        <f>IF(AND(G42&gt;=Assumptions!$B$7,MOD(G42,Assumptions!$B$7)=0),1,0)</f>
        <v>0</v>
      </c>
      <c r="P42" s="13">
        <f t="shared" si="2"/>
        <v>0</v>
      </c>
      <c r="Q42" s="13">
        <f t="shared" si="3"/>
        <v>0</v>
      </c>
      <c r="R42" s="13">
        <f>L42*Assumptions!$B$11+M42*Assumptions!$B$12+N42*Assumptions!$B$13+O42*Assumptions!$B$14+P42*Assumptions!$B$15+Q42*Assumptions!$B$16</f>
        <v>0</v>
      </c>
      <c r="S42" s="13" t="str">
        <f>IF(R42&gt;=Assumptions!$B$20,"High",IF(R42&gt;=Assumptions!$B$21,"Medium",IF(R42&gt;=1,"Low","Clear")))</f>
        <v>Clear</v>
      </c>
      <c r="T42" s="13" t="str">
        <f t="shared" si="4"/>
        <v/>
      </c>
    </row>
    <row r="43" spans="1:20" x14ac:dyDescent="0.35">
      <c r="A43" s="13" t="s">
        <v>298</v>
      </c>
      <c r="B43" s="13" t="s">
        <v>93</v>
      </c>
      <c r="C43" s="13" t="s">
        <v>94</v>
      </c>
      <c r="D43" s="13" t="s">
        <v>299</v>
      </c>
      <c r="E43" s="14">
        <v>45749</v>
      </c>
      <c r="F43" s="14">
        <v>45789</v>
      </c>
      <c r="G43" s="15">
        <v>197782.3</v>
      </c>
      <c r="H43" s="13" t="s">
        <v>300</v>
      </c>
      <c r="I43" s="13" t="s">
        <v>301</v>
      </c>
      <c r="J43" s="13" t="s">
        <v>98</v>
      </c>
      <c r="K43" s="13">
        <f t="shared" si="0"/>
        <v>1</v>
      </c>
      <c r="L43" s="13">
        <f t="shared" si="1"/>
        <v>0</v>
      </c>
      <c r="M43" s="13">
        <f>IF(AND(L43=0,COUNTIFS($B$2:$B$1534,B43,$G$2:$G$1534,G43,$E$2:$E$1534,"&gt;="&amp;(E43-Assumptions!$B$5),$E$2:$E$1534,"&lt;="&amp;(E43+Assumptions!$B$5))&gt;1),1,0)</f>
        <v>0</v>
      </c>
      <c r="N43" s="13">
        <f>IF(AND(G43&gt;=Assumptions!$B$4*(1-Assumptions!$B$6),G43&lt;Assumptions!$B$4),1,0)</f>
        <v>0</v>
      </c>
      <c r="O43" s="13">
        <f>IF(AND(G43&gt;=Assumptions!$B$7,MOD(G43,Assumptions!$B$7)=0),1,0)</f>
        <v>0</v>
      </c>
      <c r="P43" s="13">
        <f t="shared" si="2"/>
        <v>0</v>
      </c>
      <c r="Q43" s="13">
        <f t="shared" si="3"/>
        <v>0</v>
      </c>
      <c r="R43" s="13">
        <f>L43*Assumptions!$B$11+M43*Assumptions!$B$12+N43*Assumptions!$B$13+O43*Assumptions!$B$14+P43*Assumptions!$B$15+Q43*Assumptions!$B$16</f>
        <v>0</v>
      </c>
      <c r="S43" s="13" t="str">
        <f>IF(R43&gt;=Assumptions!$B$20,"High",IF(R43&gt;=Assumptions!$B$21,"Medium",IF(R43&gt;=1,"Low","Clear")))</f>
        <v>Clear</v>
      </c>
      <c r="T43" s="13" t="str">
        <f t="shared" si="4"/>
        <v/>
      </c>
    </row>
    <row r="44" spans="1:20" x14ac:dyDescent="0.35">
      <c r="A44" s="13" t="s">
        <v>302</v>
      </c>
      <c r="B44" s="13" t="s">
        <v>131</v>
      </c>
      <c r="C44" s="13" t="s">
        <v>132</v>
      </c>
      <c r="D44" s="13" t="s">
        <v>303</v>
      </c>
      <c r="E44" s="14">
        <v>45762</v>
      </c>
      <c r="F44" s="14">
        <v>45789</v>
      </c>
      <c r="G44" s="15">
        <v>6604.06</v>
      </c>
      <c r="H44" s="13" t="s">
        <v>304</v>
      </c>
      <c r="I44" s="13" t="s">
        <v>305</v>
      </c>
      <c r="J44" s="13" t="s">
        <v>170</v>
      </c>
      <c r="K44" s="13">
        <f t="shared" si="0"/>
        <v>6</v>
      </c>
      <c r="L44" s="13">
        <f t="shared" si="1"/>
        <v>0</v>
      </c>
      <c r="M44" s="13">
        <f>IF(AND(L44=0,COUNTIFS($B$2:$B$1534,B44,$G$2:$G$1534,G44,$E$2:$E$1534,"&gt;="&amp;(E44-Assumptions!$B$5),$E$2:$E$1534,"&lt;="&amp;(E44+Assumptions!$B$5))&gt;1),1,0)</f>
        <v>0</v>
      </c>
      <c r="N44" s="13">
        <f>IF(AND(G44&gt;=Assumptions!$B$4*(1-Assumptions!$B$6),G44&lt;Assumptions!$B$4),1,0)</f>
        <v>0</v>
      </c>
      <c r="O44" s="13">
        <f>IF(AND(G44&gt;=Assumptions!$B$7,MOD(G44,Assumptions!$B$7)=0),1,0)</f>
        <v>0</v>
      </c>
      <c r="P44" s="13">
        <f t="shared" si="2"/>
        <v>0</v>
      </c>
      <c r="Q44" s="13">
        <f t="shared" si="3"/>
        <v>0</v>
      </c>
      <c r="R44" s="13">
        <f>L44*Assumptions!$B$11+M44*Assumptions!$B$12+N44*Assumptions!$B$13+O44*Assumptions!$B$14+P44*Assumptions!$B$15+Q44*Assumptions!$B$16</f>
        <v>0</v>
      </c>
      <c r="S44" s="13" t="str">
        <f>IF(R44&gt;=Assumptions!$B$20,"High",IF(R44&gt;=Assumptions!$B$21,"Medium",IF(R44&gt;=1,"Low","Clear")))</f>
        <v>Clear</v>
      </c>
      <c r="T44" s="13" t="str">
        <f t="shared" si="4"/>
        <v/>
      </c>
    </row>
    <row r="45" spans="1:20" x14ac:dyDescent="0.35">
      <c r="A45" s="13" t="s">
        <v>306</v>
      </c>
      <c r="B45" s="13" t="s">
        <v>307</v>
      </c>
      <c r="C45" s="13" t="s">
        <v>308</v>
      </c>
      <c r="D45" s="13" t="s">
        <v>309</v>
      </c>
      <c r="E45" s="14">
        <v>45754</v>
      </c>
      <c r="F45" s="14">
        <v>45789</v>
      </c>
      <c r="G45" s="15">
        <v>293084.43</v>
      </c>
      <c r="H45" s="13" t="s">
        <v>310</v>
      </c>
      <c r="I45" s="13" t="s">
        <v>311</v>
      </c>
      <c r="J45" s="13" t="s">
        <v>170</v>
      </c>
      <c r="K45" s="13">
        <f t="shared" si="0"/>
        <v>2</v>
      </c>
      <c r="L45" s="13">
        <f t="shared" si="1"/>
        <v>0</v>
      </c>
      <c r="M45" s="13">
        <f>IF(AND(L45=0,COUNTIFS($B$2:$B$1534,B45,$G$2:$G$1534,G45,$E$2:$E$1534,"&gt;="&amp;(E45-Assumptions!$B$5),$E$2:$E$1534,"&lt;="&amp;(E45+Assumptions!$B$5))&gt;1),1,0)</f>
        <v>0</v>
      </c>
      <c r="N45" s="13">
        <f>IF(AND(G45&gt;=Assumptions!$B$4*(1-Assumptions!$B$6),G45&lt;Assumptions!$B$4),1,0)</f>
        <v>0</v>
      </c>
      <c r="O45" s="13">
        <f>IF(AND(G45&gt;=Assumptions!$B$7,MOD(G45,Assumptions!$B$7)=0),1,0)</f>
        <v>0</v>
      </c>
      <c r="P45" s="13">
        <f t="shared" si="2"/>
        <v>0</v>
      </c>
      <c r="Q45" s="13">
        <f t="shared" si="3"/>
        <v>0</v>
      </c>
      <c r="R45" s="13">
        <f>L45*Assumptions!$B$11+M45*Assumptions!$B$12+N45*Assumptions!$B$13+O45*Assumptions!$B$14+P45*Assumptions!$B$15+Q45*Assumptions!$B$16</f>
        <v>0</v>
      </c>
      <c r="S45" s="13" t="str">
        <f>IF(R45&gt;=Assumptions!$B$20,"High",IF(R45&gt;=Assumptions!$B$21,"Medium",IF(R45&gt;=1,"Low","Clear")))</f>
        <v>Clear</v>
      </c>
      <c r="T45" s="13" t="str">
        <f t="shared" si="4"/>
        <v/>
      </c>
    </row>
    <row r="46" spans="1:20" x14ac:dyDescent="0.35">
      <c r="A46" s="13" t="s">
        <v>312</v>
      </c>
      <c r="B46" s="13" t="s">
        <v>307</v>
      </c>
      <c r="C46" s="13" t="s">
        <v>308</v>
      </c>
      <c r="D46" s="13" t="s">
        <v>313</v>
      </c>
      <c r="E46" s="14">
        <v>45767</v>
      </c>
      <c r="F46" s="14">
        <v>45789</v>
      </c>
      <c r="G46" s="15">
        <v>1658.61</v>
      </c>
      <c r="H46" s="13" t="s">
        <v>314</v>
      </c>
      <c r="I46" s="13" t="s">
        <v>315</v>
      </c>
      <c r="J46" s="13" t="s">
        <v>91</v>
      </c>
      <c r="K46" s="13">
        <f t="shared" si="0"/>
        <v>1</v>
      </c>
      <c r="L46" s="13">
        <f t="shared" si="1"/>
        <v>0</v>
      </c>
      <c r="M46" s="13">
        <f>IF(AND(L46=0,COUNTIFS($B$2:$B$1534,B46,$G$2:$G$1534,G46,$E$2:$E$1534,"&gt;="&amp;(E46-Assumptions!$B$5),$E$2:$E$1534,"&lt;="&amp;(E46+Assumptions!$B$5))&gt;1),1,0)</f>
        <v>0</v>
      </c>
      <c r="N46" s="13">
        <f>IF(AND(G46&gt;=Assumptions!$B$4*(1-Assumptions!$B$6),G46&lt;Assumptions!$B$4),1,0)</f>
        <v>0</v>
      </c>
      <c r="O46" s="13">
        <f>IF(AND(G46&gt;=Assumptions!$B$7,MOD(G46,Assumptions!$B$7)=0),1,0)</f>
        <v>0</v>
      </c>
      <c r="P46" s="13">
        <f t="shared" si="2"/>
        <v>0</v>
      </c>
      <c r="Q46" s="13">
        <f t="shared" si="3"/>
        <v>0</v>
      </c>
      <c r="R46" s="13">
        <f>L46*Assumptions!$B$11+M46*Assumptions!$B$12+N46*Assumptions!$B$13+O46*Assumptions!$B$14+P46*Assumptions!$B$15+Q46*Assumptions!$B$16</f>
        <v>0</v>
      </c>
      <c r="S46" s="13" t="str">
        <f>IF(R46&gt;=Assumptions!$B$20,"High",IF(R46&gt;=Assumptions!$B$21,"Medium",IF(R46&gt;=1,"Low","Clear")))</f>
        <v>Clear</v>
      </c>
      <c r="T46" s="13" t="str">
        <f t="shared" si="4"/>
        <v/>
      </c>
    </row>
    <row r="47" spans="1:20" x14ac:dyDescent="0.35">
      <c r="A47" s="13" t="s">
        <v>316</v>
      </c>
      <c r="B47" s="13" t="s">
        <v>317</v>
      </c>
      <c r="C47" s="13" t="s">
        <v>318</v>
      </c>
      <c r="D47" s="13" t="s">
        <v>319</v>
      </c>
      <c r="E47" s="14">
        <v>45758</v>
      </c>
      <c r="F47" s="14">
        <v>45789</v>
      </c>
      <c r="G47" s="15">
        <v>3278.08</v>
      </c>
      <c r="H47" s="13" t="s">
        <v>320</v>
      </c>
      <c r="I47" s="13" t="s">
        <v>321</v>
      </c>
      <c r="J47" s="13" t="s">
        <v>136</v>
      </c>
      <c r="K47" s="13">
        <f t="shared" si="0"/>
        <v>3</v>
      </c>
      <c r="L47" s="13">
        <f t="shared" si="1"/>
        <v>0</v>
      </c>
      <c r="M47" s="13">
        <f>IF(AND(L47=0,COUNTIFS($B$2:$B$1534,B47,$G$2:$G$1534,G47,$E$2:$E$1534,"&gt;="&amp;(E47-Assumptions!$B$5),$E$2:$E$1534,"&lt;="&amp;(E47+Assumptions!$B$5))&gt;1),1,0)</f>
        <v>0</v>
      </c>
      <c r="N47" s="13">
        <f>IF(AND(G47&gt;=Assumptions!$B$4*(1-Assumptions!$B$6),G47&lt;Assumptions!$B$4),1,0)</f>
        <v>0</v>
      </c>
      <c r="O47" s="13">
        <f>IF(AND(G47&gt;=Assumptions!$B$7,MOD(G47,Assumptions!$B$7)=0),1,0)</f>
        <v>0</v>
      </c>
      <c r="P47" s="13">
        <f t="shared" si="2"/>
        <v>0</v>
      </c>
      <c r="Q47" s="13">
        <f t="shared" si="3"/>
        <v>0</v>
      </c>
      <c r="R47" s="13">
        <f>L47*Assumptions!$B$11+M47*Assumptions!$B$12+N47*Assumptions!$B$13+O47*Assumptions!$B$14+P47*Assumptions!$B$15+Q47*Assumptions!$B$16</f>
        <v>0</v>
      </c>
      <c r="S47" s="13" t="str">
        <f>IF(R47&gt;=Assumptions!$B$20,"High",IF(R47&gt;=Assumptions!$B$21,"Medium",IF(R47&gt;=1,"Low","Clear")))</f>
        <v>Clear</v>
      </c>
      <c r="T47" s="13" t="str">
        <f t="shared" si="4"/>
        <v/>
      </c>
    </row>
    <row r="48" spans="1:20" x14ac:dyDescent="0.35">
      <c r="A48" s="13" t="s">
        <v>322</v>
      </c>
      <c r="B48" s="13" t="s">
        <v>323</v>
      </c>
      <c r="C48" s="13" t="s">
        <v>324</v>
      </c>
      <c r="D48" s="13" t="s">
        <v>325</v>
      </c>
      <c r="E48" s="14">
        <v>45750</v>
      </c>
      <c r="F48" s="14">
        <v>45789</v>
      </c>
      <c r="G48" s="15">
        <v>5092.34</v>
      </c>
      <c r="H48" s="13" t="s">
        <v>326</v>
      </c>
      <c r="I48" s="13" t="s">
        <v>327</v>
      </c>
      <c r="J48" s="13" t="s">
        <v>111</v>
      </c>
      <c r="K48" s="13">
        <f t="shared" si="0"/>
        <v>5</v>
      </c>
      <c r="L48" s="13">
        <f t="shared" si="1"/>
        <v>0</v>
      </c>
      <c r="M48" s="13">
        <f>IF(AND(L48=0,COUNTIFS($B$2:$B$1534,B48,$G$2:$G$1534,G48,$E$2:$E$1534,"&gt;="&amp;(E48-Assumptions!$B$5),$E$2:$E$1534,"&lt;="&amp;(E48+Assumptions!$B$5))&gt;1),1,0)</f>
        <v>0</v>
      </c>
      <c r="N48" s="13">
        <f>IF(AND(G48&gt;=Assumptions!$B$4*(1-Assumptions!$B$6),G48&lt;Assumptions!$B$4),1,0)</f>
        <v>0</v>
      </c>
      <c r="O48" s="13">
        <f>IF(AND(G48&gt;=Assumptions!$B$7,MOD(G48,Assumptions!$B$7)=0),1,0)</f>
        <v>0</v>
      </c>
      <c r="P48" s="13">
        <f t="shared" si="2"/>
        <v>0</v>
      </c>
      <c r="Q48" s="13">
        <f t="shared" si="3"/>
        <v>0</v>
      </c>
      <c r="R48" s="13">
        <f>L48*Assumptions!$B$11+M48*Assumptions!$B$12+N48*Assumptions!$B$13+O48*Assumptions!$B$14+P48*Assumptions!$B$15+Q48*Assumptions!$B$16</f>
        <v>0</v>
      </c>
      <c r="S48" s="13" t="str">
        <f>IF(R48&gt;=Assumptions!$B$20,"High",IF(R48&gt;=Assumptions!$B$21,"Medium",IF(R48&gt;=1,"Low","Clear")))</f>
        <v>Clear</v>
      </c>
      <c r="T48" s="13" t="str">
        <f t="shared" si="4"/>
        <v/>
      </c>
    </row>
    <row r="49" spans="1:20" x14ac:dyDescent="0.35">
      <c r="A49" s="13" t="s">
        <v>328</v>
      </c>
      <c r="B49" s="13" t="s">
        <v>329</v>
      </c>
      <c r="C49" s="13" t="s">
        <v>330</v>
      </c>
      <c r="D49" s="13" t="s">
        <v>331</v>
      </c>
      <c r="E49" s="14">
        <v>45748</v>
      </c>
      <c r="F49" s="14">
        <v>45789</v>
      </c>
      <c r="G49" s="15">
        <v>11440.58</v>
      </c>
      <c r="H49" s="13" t="s">
        <v>332</v>
      </c>
      <c r="I49" s="13" t="s">
        <v>333</v>
      </c>
      <c r="J49" s="13" t="s">
        <v>143</v>
      </c>
      <c r="K49" s="13">
        <f t="shared" si="0"/>
        <v>1</v>
      </c>
      <c r="L49" s="13">
        <f t="shared" si="1"/>
        <v>0</v>
      </c>
      <c r="M49" s="13">
        <f>IF(AND(L49=0,COUNTIFS($B$2:$B$1534,B49,$G$2:$G$1534,G49,$E$2:$E$1534,"&gt;="&amp;(E49-Assumptions!$B$5),$E$2:$E$1534,"&lt;="&amp;(E49+Assumptions!$B$5))&gt;1),1,0)</f>
        <v>0</v>
      </c>
      <c r="N49" s="13">
        <f>IF(AND(G49&gt;=Assumptions!$B$4*(1-Assumptions!$B$6),G49&lt;Assumptions!$B$4),1,0)</f>
        <v>0</v>
      </c>
      <c r="O49" s="13">
        <f>IF(AND(G49&gt;=Assumptions!$B$7,MOD(G49,Assumptions!$B$7)=0),1,0)</f>
        <v>0</v>
      </c>
      <c r="P49" s="13">
        <f t="shared" si="2"/>
        <v>0</v>
      </c>
      <c r="Q49" s="13">
        <f t="shared" si="3"/>
        <v>0</v>
      </c>
      <c r="R49" s="13">
        <f>L49*Assumptions!$B$11+M49*Assumptions!$B$12+N49*Assumptions!$B$13+O49*Assumptions!$B$14+P49*Assumptions!$B$15+Q49*Assumptions!$B$16</f>
        <v>0</v>
      </c>
      <c r="S49" s="13" t="str">
        <f>IF(R49&gt;=Assumptions!$B$20,"High",IF(R49&gt;=Assumptions!$B$21,"Medium",IF(R49&gt;=1,"Low","Clear")))</f>
        <v>Clear</v>
      </c>
      <c r="T49" s="13" t="str">
        <f t="shared" si="4"/>
        <v/>
      </c>
    </row>
    <row r="50" spans="1:20" x14ac:dyDescent="0.35">
      <c r="A50" s="13" t="s">
        <v>334</v>
      </c>
      <c r="B50" s="13" t="s">
        <v>161</v>
      </c>
      <c r="C50" s="13" t="s">
        <v>162</v>
      </c>
      <c r="D50" s="13" t="s">
        <v>335</v>
      </c>
      <c r="E50" s="14">
        <v>45766</v>
      </c>
      <c r="F50" s="14">
        <v>45789</v>
      </c>
      <c r="G50" s="15">
        <v>3393.18</v>
      </c>
      <c r="H50" s="13" t="s">
        <v>336</v>
      </c>
      <c r="I50" s="13" t="s">
        <v>337</v>
      </c>
      <c r="J50" s="13" t="s">
        <v>136</v>
      </c>
      <c r="K50" s="13">
        <f t="shared" si="0"/>
        <v>3</v>
      </c>
      <c r="L50" s="13">
        <f t="shared" si="1"/>
        <v>0</v>
      </c>
      <c r="M50" s="13">
        <f>IF(AND(L50=0,COUNTIFS($B$2:$B$1534,B50,$G$2:$G$1534,G50,$E$2:$E$1534,"&gt;="&amp;(E50-Assumptions!$B$5),$E$2:$E$1534,"&lt;="&amp;(E50+Assumptions!$B$5))&gt;1),1,0)</f>
        <v>0</v>
      </c>
      <c r="N50" s="13">
        <f>IF(AND(G50&gt;=Assumptions!$B$4*(1-Assumptions!$B$6),G50&lt;Assumptions!$B$4),1,0)</f>
        <v>0</v>
      </c>
      <c r="O50" s="13">
        <f>IF(AND(G50&gt;=Assumptions!$B$7,MOD(G50,Assumptions!$B$7)=0),1,0)</f>
        <v>0</v>
      </c>
      <c r="P50" s="13">
        <f t="shared" si="2"/>
        <v>0</v>
      </c>
      <c r="Q50" s="13">
        <f t="shared" si="3"/>
        <v>0</v>
      </c>
      <c r="R50" s="13">
        <f>L50*Assumptions!$B$11+M50*Assumptions!$B$12+N50*Assumptions!$B$13+O50*Assumptions!$B$14+P50*Assumptions!$B$15+Q50*Assumptions!$B$16</f>
        <v>0</v>
      </c>
      <c r="S50" s="13" t="str">
        <f>IF(R50&gt;=Assumptions!$B$20,"High",IF(R50&gt;=Assumptions!$B$21,"Medium",IF(R50&gt;=1,"Low","Clear")))</f>
        <v>Clear</v>
      </c>
      <c r="T50" s="13" t="str">
        <f t="shared" si="4"/>
        <v/>
      </c>
    </row>
    <row r="51" spans="1:20" x14ac:dyDescent="0.35">
      <c r="A51" s="13" t="s">
        <v>338</v>
      </c>
      <c r="B51" s="13" t="s">
        <v>339</v>
      </c>
      <c r="C51" s="13" t="s">
        <v>340</v>
      </c>
      <c r="D51" s="13" t="s">
        <v>341</v>
      </c>
      <c r="E51" s="14">
        <v>45748</v>
      </c>
      <c r="F51" s="14">
        <v>45789</v>
      </c>
      <c r="G51" s="15">
        <v>9385.73</v>
      </c>
      <c r="H51" s="13" t="s">
        <v>342</v>
      </c>
      <c r="I51" s="13" t="s">
        <v>343</v>
      </c>
      <c r="J51" s="13" t="s">
        <v>170</v>
      </c>
      <c r="K51" s="13">
        <f t="shared" si="0"/>
        <v>9</v>
      </c>
      <c r="L51" s="13">
        <f t="shared" si="1"/>
        <v>0</v>
      </c>
      <c r="M51" s="13">
        <f>IF(AND(L51=0,COUNTIFS($B$2:$B$1534,B51,$G$2:$G$1534,G51,$E$2:$E$1534,"&gt;="&amp;(E51-Assumptions!$B$5),$E$2:$E$1534,"&lt;="&amp;(E51+Assumptions!$B$5))&gt;1),1,0)</f>
        <v>0</v>
      </c>
      <c r="N51" s="13">
        <f>IF(AND(G51&gt;=Assumptions!$B$4*(1-Assumptions!$B$6),G51&lt;Assumptions!$B$4),1,0)</f>
        <v>0</v>
      </c>
      <c r="O51" s="13">
        <f>IF(AND(G51&gt;=Assumptions!$B$7,MOD(G51,Assumptions!$B$7)=0),1,0)</f>
        <v>0</v>
      </c>
      <c r="P51" s="13">
        <f t="shared" si="2"/>
        <v>0</v>
      </c>
      <c r="Q51" s="13">
        <f t="shared" si="3"/>
        <v>0</v>
      </c>
      <c r="R51" s="13">
        <f>L51*Assumptions!$B$11+M51*Assumptions!$B$12+N51*Assumptions!$B$13+O51*Assumptions!$B$14+P51*Assumptions!$B$15+Q51*Assumptions!$B$16</f>
        <v>0</v>
      </c>
      <c r="S51" s="13" t="str">
        <f>IF(R51&gt;=Assumptions!$B$20,"High",IF(R51&gt;=Assumptions!$B$21,"Medium",IF(R51&gt;=1,"Low","Clear")))</f>
        <v>Clear</v>
      </c>
      <c r="T51" s="13" t="str">
        <f t="shared" si="4"/>
        <v/>
      </c>
    </row>
    <row r="52" spans="1:20" x14ac:dyDescent="0.35">
      <c r="A52" s="13" t="s">
        <v>344</v>
      </c>
      <c r="B52" s="13" t="s">
        <v>339</v>
      </c>
      <c r="C52" s="13" t="s">
        <v>340</v>
      </c>
      <c r="D52" s="13" t="s">
        <v>345</v>
      </c>
      <c r="E52" s="14">
        <v>45752</v>
      </c>
      <c r="F52" s="14">
        <v>45789</v>
      </c>
      <c r="G52" s="15">
        <v>7909.27</v>
      </c>
      <c r="H52" s="13" t="s">
        <v>346</v>
      </c>
      <c r="I52" s="13" t="s">
        <v>347</v>
      </c>
      <c r="J52" s="13" t="s">
        <v>143</v>
      </c>
      <c r="K52" s="13">
        <f t="shared" si="0"/>
        <v>7</v>
      </c>
      <c r="L52" s="13">
        <f t="shared" si="1"/>
        <v>0</v>
      </c>
      <c r="M52" s="13">
        <f>IF(AND(L52=0,COUNTIFS($B$2:$B$1534,B52,$G$2:$G$1534,G52,$E$2:$E$1534,"&gt;="&amp;(E52-Assumptions!$B$5),$E$2:$E$1534,"&lt;="&amp;(E52+Assumptions!$B$5))&gt;1),1,0)</f>
        <v>0</v>
      </c>
      <c r="N52" s="13">
        <f>IF(AND(G52&gt;=Assumptions!$B$4*(1-Assumptions!$B$6),G52&lt;Assumptions!$B$4),1,0)</f>
        <v>0</v>
      </c>
      <c r="O52" s="13">
        <f>IF(AND(G52&gt;=Assumptions!$B$7,MOD(G52,Assumptions!$B$7)=0),1,0)</f>
        <v>0</v>
      </c>
      <c r="P52" s="13">
        <f t="shared" si="2"/>
        <v>0</v>
      </c>
      <c r="Q52" s="13">
        <f t="shared" si="3"/>
        <v>0</v>
      </c>
      <c r="R52" s="13">
        <f>L52*Assumptions!$B$11+M52*Assumptions!$B$12+N52*Assumptions!$B$13+O52*Assumptions!$B$14+P52*Assumptions!$B$15+Q52*Assumptions!$B$16</f>
        <v>0</v>
      </c>
      <c r="S52" s="13" t="str">
        <f>IF(R52&gt;=Assumptions!$B$20,"High",IF(R52&gt;=Assumptions!$B$21,"Medium",IF(R52&gt;=1,"Low","Clear")))</f>
        <v>Clear</v>
      </c>
      <c r="T52" s="13" t="str">
        <f t="shared" si="4"/>
        <v/>
      </c>
    </row>
    <row r="53" spans="1:20" x14ac:dyDescent="0.35">
      <c r="A53" s="13" t="s">
        <v>348</v>
      </c>
      <c r="B53" s="13" t="s">
        <v>339</v>
      </c>
      <c r="C53" s="13" t="s">
        <v>340</v>
      </c>
      <c r="D53" s="13" t="s">
        <v>349</v>
      </c>
      <c r="E53" s="14">
        <v>45765</v>
      </c>
      <c r="F53" s="14">
        <v>45789</v>
      </c>
      <c r="G53" s="15">
        <v>684800.92</v>
      </c>
      <c r="H53" s="13" t="s">
        <v>350</v>
      </c>
      <c r="I53" s="13" t="s">
        <v>351</v>
      </c>
      <c r="J53" s="13" t="s">
        <v>111</v>
      </c>
      <c r="K53" s="13">
        <f t="shared" si="0"/>
        <v>6</v>
      </c>
      <c r="L53" s="13">
        <f t="shared" si="1"/>
        <v>0</v>
      </c>
      <c r="M53" s="13">
        <f>IF(AND(L53=0,COUNTIFS($B$2:$B$1534,B53,$G$2:$G$1534,G53,$E$2:$E$1534,"&gt;="&amp;(E53-Assumptions!$B$5),$E$2:$E$1534,"&lt;="&amp;(E53+Assumptions!$B$5))&gt;1),1,0)</f>
        <v>0</v>
      </c>
      <c r="N53" s="13">
        <f>IF(AND(G53&gt;=Assumptions!$B$4*(1-Assumptions!$B$6),G53&lt;Assumptions!$B$4),1,0)</f>
        <v>0</v>
      </c>
      <c r="O53" s="13">
        <f>IF(AND(G53&gt;=Assumptions!$B$7,MOD(G53,Assumptions!$B$7)=0),1,0)</f>
        <v>0</v>
      </c>
      <c r="P53" s="13">
        <f t="shared" si="2"/>
        <v>0</v>
      </c>
      <c r="Q53" s="13">
        <f t="shared" si="3"/>
        <v>0</v>
      </c>
      <c r="R53" s="13">
        <f>L53*Assumptions!$B$11+M53*Assumptions!$B$12+N53*Assumptions!$B$13+O53*Assumptions!$B$14+P53*Assumptions!$B$15+Q53*Assumptions!$B$16</f>
        <v>0</v>
      </c>
      <c r="S53" s="13" t="str">
        <f>IF(R53&gt;=Assumptions!$B$20,"High",IF(R53&gt;=Assumptions!$B$21,"Medium",IF(R53&gt;=1,"Low","Clear")))</f>
        <v>Clear</v>
      </c>
      <c r="T53" s="13" t="str">
        <f t="shared" si="4"/>
        <v/>
      </c>
    </row>
    <row r="54" spans="1:20" x14ac:dyDescent="0.35">
      <c r="A54" s="13" t="s">
        <v>352</v>
      </c>
      <c r="B54" s="13" t="s">
        <v>145</v>
      </c>
      <c r="C54" s="13" t="s">
        <v>146</v>
      </c>
      <c r="D54" s="13" t="s">
        <v>353</v>
      </c>
      <c r="E54" s="14">
        <v>45764</v>
      </c>
      <c r="F54" s="14">
        <v>45789</v>
      </c>
      <c r="G54" s="15">
        <v>64145.47</v>
      </c>
      <c r="H54" s="13" t="s">
        <v>354</v>
      </c>
      <c r="I54" s="13" t="s">
        <v>355</v>
      </c>
      <c r="J54" s="13" t="s">
        <v>136</v>
      </c>
      <c r="K54" s="13">
        <f t="shared" si="0"/>
        <v>6</v>
      </c>
      <c r="L54" s="13">
        <f t="shared" si="1"/>
        <v>0</v>
      </c>
      <c r="M54" s="13">
        <f>IF(AND(L54=0,COUNTIFS($B$2:$B$1534,B54,$G$2:$G$1534,G54,$E$2:$E$1534,"&gt;="&amp;(E54-Assumptions!$B$5),$E$2:$E$1534,"&lt;="&amp;(E54+Assumptions!$B$5))&gt;1),1,0)</f>
        <v>0</v>
      </c>
      <c r="N54" s="13">
        <f>IF(AND(G54&gt;=Assumptions!$B$4*(1-Assumptions!$B$6),G54&lt;Assumptions!$B$4),1,0)</f>
        <v>0</v>
      </c>
      <c r="O54" s="13">
        <f>IF(AND(G54&gt;=Assumptions!$B$7,MOD(G54,Assumptions!$B$7)=0),1,0)</f>
        <v>0</v>
      </c>
      <c r="P54" s="13">
        <f t="shared" si="2"/>
        <v>0</v>
      </c>
      <c r="Q54" s="13">
        <f t="shared" si="3"/>
        <v>0</v>
      </c>
      <c r="R54" s="13">
        <f>L54*Assumptions!$B$11+M54*Assumptions!$B$12+N54*Assumptions!$B$13+O54*Assumptions!$B$14+P54*Assumptions!$B$15+Q54*Assumptions!$B$16</f>
        <v>0</v>
      </c>
      <c r="S54" s="13" t="str">
        <f>IF(R54&gt;=Assumptions!$B$20,"High",IF(R54&gt;=Assumptions!$B$21,"Medium",IF(R54&gt;=1,"Low","Clear")))</f>
        <v>Clear</v>
      </c>
      <c r="T54" s="13" t="str">
        <f t="shared" si="4"/>
        <v/>
      </c>
    </row>
    <row r="55" spans="1:20" x14ac:dyDescent="0.35">
      <c r="A55" s="13" t="s">
        <v>356</v>
      </c>
      <c r="B55" s="13" t="s">
        <v>357</v>
      </c>
      <c r="C55" s="13" t="s">
        <v>358</v>
      </c>
      <c r="D55" s="13" t="s">
        <v>359</v>
      </c>
      <c r="E55" s="14">
        <v>45751</v>
      </c>
      <c r="F55" s="14">
        <v>45789</v>
      </c>
      <c r="G55" s="15">
        <v>748133.79</v>
      </c>
      <c r="H55" s="13" t="s">
        <v>360</v>
      </c>
      <c r="I55" s="13" t="s">
        <v>361</v>
      </c>
      <c r="J55" s="13" t="s">
        <v>91</v>
      </c>
      <c r="K55" s="13">
        <f t="shared" si="0"/>
        <v>7</v>
      </c>
      <c r="L55" s="13">
        <f t="shared" si="1"/>
        <v>0</v>
      </c>
      <c r="M55" s="13">
        <f>IF(AND(L55=0,COUNTIFS($B$2:$B$1534,B55,$G$2:$G$1534,G55,$E$2:$E$1534,"&gt;="&amp;(E55-Assumptions!$B$5),$E$2:$E$1534,"&lt;="&amp;(E55+Assumptions!$B$5))&gt;1),1,0)</f>
        <v>0</v>
      </c>
      <c r="N55" s="13">
        <f>IF(AND(G55&gt;=Assumptions!$B$4*(1-Assumptions!$B$6),G55&lt;Assumptions!$B$4),1,0)</f>
        <v>0</v>
      </c>
      <c r="O55" s="13">
        <f>IF(AND(G55&gt;=Assumptions!$B$7,MOD(G55,Assumptions!$B$7)=0),1,0)</f>
        <v>0</v>
      </c>
      <c r="P55" s="13">
        <f t="shared" si="2"/>
        <v>0</v>
      </c>
      <c r="Q55" s="13">
        <f t="shared" si="3"/>
        <v>0</v>
      </c>
      <c r="R55" s="13">
        <f>L55*Assumptions!$B$11+M55*Assumptions!$B$12+N55*Assumptions!$B$13+O55*Assumptions!$B$14+P55*Assumptions!$B$15+Q55*Assumptions!$B$16</f>
        <v>0</v>
      </c>
      <c r="S55" s="13" t="str">
        <f>IF(R55&gt;=Assumptions!$B$20,"High",IF(R55&gt;=Assumptions!$B$21,"Medium",IF(R55&gt;=1,"Low","Clear")))</f>
        <v>Clear</v>
      </c>
      <c r="T55" s="13" t="str">
        <f t="shared" si="4"/>
        <v/>
      </c>
    </row>
    <row r="56" spans="1:20" x14ac:dyDescent="0.35">
      <c r="A56" s="13" t="s">
        <v>362</v>
      </c>
      <c r="B56" s="13" t="s">
        <v>200</v>
      </c>
      <c r="C56" s="13" t="s">
        <v>201</v>
      </c>
      <c r="D56" s="13" t="s">
        <v>363</v>
      </c>
      <c r="E56" s="14">
        <v>45764</v>
      </c>
      <c r="F56" s="14">
        <v>45790</v>
      </c>
      <c r="G56" s="15">
        <v>2094.91</v>
      </c>
      <c r="H56" s="13" t="s">
        <v>364</v>
      </c>
      <c r="I56" s="13" t="s">
        <v>365</v>
      </c>
      <c r="J56" s="13" t="s">
        <v>111</v>
      </c>
      <c r="K56" s="13">
        <f t="shared" si="0"/>
        <v>2</v>
      </c>
      <c r="L56" s="13">
        <f t="shared" si="1"/>
        <v>0</v>
      </c>
      <c r="M56" s="13">
        <f>IF(AND(L56=0,COUNTIFS($B$2:$B$1534,B56,$G$2:$G$1534,G56,$E$2:$E$1534,"&gt;="&amp;(E56-Assumptions!$B$5),$E$2:$E$1534,"&lt;="&amp;(E56+Assumptions!$B$5))&gt;1),1,0)</f>
        <v>0</v>
      </c>
      <c r="N56" s="13">
        <f>IF(AND(G56&gt;=Assumptions!$B$4*(1-Assumptions!$B$6),G56&lt;Assumptions!$B$4),1,0)</f>
        <v>0</v>
      </c>
      <c r="O56" s="13">
        <f>IF(AND(G56&gt;=Assumptions!$B$7,MOD(G56,Assumptions!$B$7)=0),1,0)</f>
        <v>0</v>
      </c>
      <c r="P56" s="13">
        <f t="shared" si="2"/>
        <v>0</v>
      </c>
      <c r="Q56" s="13">
        <f t="shared" si="3"/>
        <v>0</v>
      </c>
      <c r="R56" s="13">
        <f>L56*Assumptions!$B$11+M56*Assumptions!$B$12+N56*Assumptions!$B$13+O56*Assumptions!$B$14+P56*Assumptions!$B$15+Q56*Assumptions!$B$16</f>
        <v>0</v>
      </c>
      <c r="S56" s="13" t="str">
        <f>IF(R56&gt;=Assumptions!$B$20,"High",IF(R56&gt;=Assumptions!$B$21,"Medium",IF(R56&gt;=1,"Low","Clear")))</f>
        <v>Clear</v>
      </c>
      <c r="T56" s="13" t="str">
        <f t="shared" si="4"/>
        <v/>
      </c>
    </row>
    <row r="57" spans="1:20" x14ac:dyDescent="0.35">
      <c r="A57" s="13" t="s">
        <v>366</v>
      </c>
      <c r="B57" s="13" t="s">
        <v>206</v>
      </c>
      <c r="C57" s="13" t="s">
        <v>207</v>
      </c>
      <c r="D57" s="13" t="s">
        <v>367</v>
      </c>
      <c r="E57" s="14">
        <v>45754</v>
      </c>
      <c r="F57" s="14">
        <v>45790</v>
      </c>
      <c r="G57" s="15">
        <v>200717.92</v>
      </c>
      <c r="H57" s="13" t="s">
        <v>368</v>
      </c>
      <c r="I57" s="13" t="s">
        <v>369</v>
      </c>
      <c r="J57" s="13" t="s">
        <v>143</v>
      </c>
      <c r="K57" s="13">
        <f t="shared" si="0"/>
        <v>2</v>
      </c>
      <c r="L57" s="13">
        <f t="shared" si="1"/>
        <v>0</v>
      </c>
      <c r="M57" s="13">
        <f>IF(AND(L57=0,COUNTIFS($B$2:$B$1534,B57,$G$2:$G$1534,G57,$E$2:$E$1534,"&gt;="&amp;(E57-Assumptions!$B$5),$E$2:$E$1534,"&lt;="&amp;(E57+Assumptions!$B$5))&gt;1),1,0)</f>
        <v>0</v>
      </c>
      <c r="N57" s="13">
        <f>IF(AND(G57&gt;=Assumptions!$B$4*(1-Assumptions!$B$6),G57&lt;Assumptions!$B$4),1,0)</f>
        <v>0</v>
      </c>
      <c r="O57" s="13">
        <f>IF(AND(G57&gt;=Assumptions!$B$7,MOD(G57,Assumptions!$B$7)=0),1,0)</f>
        <v>0</v>
      </c>
      <c r="P57" s="13">
        <f t="shared" si="2"/>
        <v>0</v>
      </c>
      <c r="Q57" s="13">
        <f t="shared" si="3"/>
        <v>0</v>
      </c>
      <c r="R57" s="13">
        <f>L57*Assumptions!$B$11+M57*Assumptions!$B$12+N57*Assumptions!$B$13+O57*Assumptions!$B$14+P57*Assumptions!$B$15+Q57*Assumptions!$B$16</f>
        <v>0</v>
      </c>
      <c r="S57" s="13" t="str">
        <f>IF(R57&gt;=Assumptions!$B$20,"High",IF(R57&gt;=Assumptions!$B$21,"Medium",IF(R57&gt;=1,"Low","Clear")))</f>
        <v>Clear</v>
      </c>
      <c r="T57" s="13" t="str">
        <f t="shared" si="4"/>
        <v/>
      </c>
    </row>
    <row r="58" spans="1:20" x14ac:dyDescent="0.35">
      <c r="A58" s="13" t="s">
        <v>370</v>
      </c>
      <c r="B58" s="13" t="s">
        <v>145</v>
      </c>
      <c r="C58" s="13" t="s">
        <v>146</v>
      </c>
      <c r="D58" s="13" t="s">
        <v>371</v>
      </c>
      <c r="E58" s="14">
        <v>45752</v>
      </c>
      <c r="F58" s="14">
        <v>45791</v>
      </c>
      <c r="G58" s="15">
        <v>89137.54</v>
      </c>
      <c r="H58" s="13" t="s">
        <v>372</v>
      </c>
      <c r="I58" s="13" t="s">
        <v>373</v>
      </c>
      <c r="J58" s="13" t="s">
        <v>136</v>
      </c>
      <c r="K58" s="13">
        <f t="shared" si="0"/>
        <v>8</v>
      </c>
      <c r="L58" s="13">
        <f t="shared" si="1"/>
        <v>0</v>
      </c>
      <c r="M58" s="13">
        <f>IF(AND(L58=0,COUNTIFS($B$2:$B$1534,B58,$G$2:$G$1534,G58,$E$2:$E$1534,"&gt;="&amp;(E58-Assumptions!$B$5),$E$2:$E$1534,"&lt;="&amp;(E58+Assumptions!$B$5))&gt;1),1,0)</f>
        <v>0</v>
      </c>
      <c r="N58" s="13">
        <f>IF(AND(G58&gt;=Assumptions!$B$4*(1-Assumptions!$B$6),G58&lt;Assumptions!$B$4),1,0)</f>
        <v>0</v>
      </c>
      <c r="O58" s="13">
        <f>IF(AND(G58&gt;=Assumptions!$B$7,MOD(G58,Assumptions!$B$7)=0),1,0)</f>
        <v>0</v>
      </c>
      <c r="P58" s="13">
        <f t="shared" si="2"/>
        <v>0</v>
      </c>
      <c r="Q58" s="13">
        <f t="shared" si="3"/>
        <v>0</v>
      </c>
      <c r="R58" s="13">
        <f>L58*Assumptions!$B$11+M58*Assumptions!$B$12+N58*Assumptions!$B$13+O58*Assumptions!$B$14+P58*Assumptions!$B$15+Q58*Assumptions!$B$16</f>
        <v>0</v>
      </c>
      <c r="S58" s="13" t="str">
        <f>IF(R58&gt;=Assumptions!$B$20,"High",IF(R58&gt;=Assumptions!$B$21,"Medium",IF(R58&gt;=1,"Low","Clear")))</f>
        <v>Clear</v>
      </c>
      <c r="T58" s="13" t="str">
        <f t="shared" si="4"/>
        <v/>
      </c>
    </row>
    <row r="59" spans="1:20" x14ac:dyDescent="0.35">
      <c r="A59" s="13" t="s">
        <v>374</v>
      </c>
      <c r="B59" s="13" t="s">
        <v>176</v>
      </c>
      <c r="C59" s="13" t="s">
        <v>177</v>
      </c>
      <c r="D59" s="13" t="s">
        <v>375</v>
      </c>
      <c r="E59" s="14">
        <v>45756</v>
      </c>
      <c r="F59" s="14">
        <v>45792</v>
      </c>
      <c r="G59" s="15">
        <v>146750.01999999999</v>
      </c>
      <c r="H59" s="13" t="s">
        <v>376</v>
      </c>
      <c r="I59" s="13" t="s">
        <v>377</v>
      </c>
      <c r="J59" s="13" t="s">
        <v>111</v>
      </c>
      <c r="K59" s="13">
        <f t="shared" si="0"/>
        <v>1</v>
      </c>
      <c r="L59" s="13">
        <f t="shared" si="1"/>
        <v>0</v>
      </c>
      <c r="M59" s="13">
        <f>IF(AND(L59=0,COUNTIFS($B$2:$B$1534,B59,$G$2:$G$1534,G59,$E$2:$E$1534,"&gt;="&amp;(E59-Assumptions!$B$5),$E$2:$E$1534,"&lt;="&amp;(E59+Assumptions!$B$5))&gt;1),1,0)</f>
        <v>0</v>
      </c>
      <c r="N59" s="13">
        <f>IF(AND(G59&gt;=Assumptions!$B$4*(1-Assumptions!$B$6),G59&lt;Assumptions!$B$4),1,0)</f>
        <v>0</v>
      </c>
      <c r="O59" s="13">
        <f>IF(AND(G59&gt;=Assumptions!$B$7,MOD(G59,Assumptions!$B$7)=0),1,0)</f>
        <v>0</v>
      </c>
      <c r="P59" s="13">
        <f t="shared" si="2"/>
        <v>0</v>
      </c>
      <c r="Q59" s="13">
        <f t="shared" si="3"/>
        <v>0</v>
      </c>
      <c r="R59" s="13">
        <f>L59*Assumptions!$B$11+M59*Assumptions!$B$12+N59*Assumptions!$B$13+O59*Assumptions!$B$14+P59*Assumptions!$B$15+Q59*Assumptions!$B$16</f>
        <v>0</v>
      </c>
      <c r="S59" s="13" t="str">
        <f>IF(R59&gt;=Assumptions!$B$20,"High",IF(R59&gt;=Assumptions!$B$21,"Medium",IF(R59&gt;=1,"Low","Clear")))</f>
        <v>Clear</v>
      </c>
      <c r="T59" s="13" t="str">
        <f t="shared" si="4"/>
        <v/>
      </c>
    </row>
    <row r="60" spans="1:20" x14ac:dyDescent="0.35">
      <c r="A60" s="13" t="s">
        <v>378</v>
      </c>
      <c r="B60" s="13" t="s">
        <v>131</v>
      </c>
      <c r="C60" s="13" t="s">
        <v>132</v>
      </c>
      <c r="D60" s="13" t="s">
        <v>379</v>
      </c>
      <c r="E60" s="14">
        <v>45771</v>
      </c>
      <c r="F60" s="14">
        <v>45792</v>
      </c>
      <c r="G60" s="15">
        <v>45716.91</v>
      </c>
      <c r="H60" s="13" t="s">
        <v>380</v>
      </c>
      <c r="I60" s="13" t="s">
        <v>381</v>
      </c>
      <c r="J60" s="13" t="s">
        <v>136</v>
      </c>
      <c r="K60" s="13">
        <f t="shared" si="0"/>
        <v>4</v>
      </c>
      <c r="L60" s="13">
        <f t="shared" si="1"/>
        <v>0</v>
      </c>
      <c r="M60" s="13">
        <f>IF(AND(L60=0,COUNTIFS($B$2:$B$1534,B60,$G$2:$G$1534,G60,$E$2:$E$1534,"&gt;="&amp;(E60-Assumptions!$B$5),$E$2:$E$1534,"&lt;="&amp;(E60+Assumptions!$B$5))&gt;1),1,0)</f>
        <v>0</v>
      </c>
      <c r="N60" s="13">
        <f>IF(AND(G60&gt;=Assumptions!$B$4*(1-Assumptions!$B$6),G60&lt;Assumptions!$B$4),1,0)</f>
        <v>0</v>
      </c>
      <c r="O60" s="13">
        <f>IF(AND(G60&gt;=Assumptions!$B$7,MOD(G60,Assumptions!$B$7)=0),1,0)</f>
        <v>0</v>
      </c>
      <c r="P60" s="13">
        <f t="shared" si="2"/>
        <v>0</v>
      </c>
      <c r="Q60" s="13">
        <f t="shared" si="3"/>
        <v>0</v>
      </c>
      <c r="R60" s="13">
        <f>L60*Assumptions!$B$11+M60*Assumptions!$B$12+N60*Assumptions!$B$13+O60*Assumptions!$B$14+P60*Assumptions!$B$15+Q60*Assumptions!$B$16</f>
        <v>0</v>
      </c>
      <c r="S60" s="13" t="str">
        <f>IF(R60&gt;=Assumptions!$B$20,"High",IF(R60&gt;=Assumptions!$B$21,"Medium",IF(R60&gt;=1,"Low","Clear")))</f>
        <v>Clear</v>
      </c>
      <c r="T60" s="13" t="str">
        <f t="shared" si="4"/>
        <v/>
      </c>
    </row>
    <row r="61" spans="1:20" x14ac:dyDescent="0.35">
      <c r="A61" s="13" t="s">
        <v>382</v>
      </c>
      <c r="B61" s="13" t="s">
        <v>161</v>
      </c>
      <c r="C61" s="13" t="s">
        <v>162</v>
      </c>
      <c r="D61" s="13" t="s">
        <v>383</v>
      </c>
      <c r="E61" s="14">
        <v>45771</v>
      </c>
      <c r="F61" s="14">
        <v>45792</v>
      </c>
      <c r="G61" s="15">
        <v>874519.19</v>
      </c>
      <c r="H61" s="13" t="s">
        <v>384</v>
      </c>
      <c r="I61" s="13" t="s">
        <v>385</v>
      </c>
      <c r="J61" s="13" t="s">
        <v>136</v>
      </c>
      <c r="K61" s="13">
        <f t="shared" si="0"/>
        <v>8</v>
      </c>
      <c r="L61" s="13">
        <f t="shared" si="1"/>
        <v>0</v>
      </c>
      <c r="M61" s="13">
        <f>IF(AND(L61=0,COUNTIFS($B$2:$B$1534,B61,$G$2:$G$1534,G61,$E$2:$E$1534,"&gt;="&amp;(E61-Assumptions!$B$5),$E$2:$E$1534,"&lt;="&amp;(E61+Assumptions!$B$5))&gt;1),1,0)</f>
        <v>0</v>
      </c>
      <c r="N61" s="13">
        <f>IF(AND(G61&gt;=Assumptions!$B$4*(1-Assumptions!$B$6),G61&lt;Assumptions!$B$4),1,0)</f>
        <v>0</v>
      </c>
      <c r="O61" s="13">
        <f>IF(AND(G61&gt;=Assumptions!$B$7,MOD(G61,Assumptions!$B$7)=0),1,0)</f>
        <v>0</v>
      </c>
      <c r="P61" s="13">
        <f t="shared" si="2"/>
        <v>0</v>
      </c>
      <c r="Q61" s="13">
        <f t="shared" si="3"/>
        <v>0</v>
      </c>
      <c r="R61" s="13">
        <f>L61*Assumptions!$B$11+M61*Assumptions!$B$12+N61*Assumptions!$B$13+O61*Assumptions!$B$14+P61*Assumptions!$B$15+Q61*Assumptions!$B$16</f>
        <v>0</v>
      </c>
      <c r="S61" s="13" t="str">
        <f>IF(R61&gt;=Assumptions!$B$20,"High",IF(R61&gt;=Assumptions!$B$21,"Medium",IF(R61&gt;=1,"Low","Clear")))</f>
        <v>Clear</v>
      </c>
      <c r="T61" s="13" t="str">
        <f t="shared" si="4"/>
        <v/>
      </c>
    </row>
    <row r="62" spans="1:20" x14ac:dyDescent="0.35">
      <c r="A62" s="13" t="s">
        <v>386</v>
      </c>
      <c r="B62" s="13" t="s">
        <v>100</v>
      </c>
      <c r="C62" s="13" t="s">
        <v>101</v>
      </c>
      <c r="D62" s="13" t="s">
        <v>387</v>
      </c>
      <c r="E62" s="14">
        <v>45761</v>
      </c>
      <c r="F62" s="14">
        <v>45792</v>
      </c>
      <c r="G62" s="15">
        <v>45926.6</v>
      </c>
      <c r="H62" s="13" t="s">
        <v>388</v>
      </c>
      <c r="I62" s="13" t="s">
        <v>389</v>
      </c>
      <c r="J62" s="13" t="s">
        <v>91</v>
      </c>
      <c r="K62" s="13">
        <f t="shared" si="0"/>
        <v>4</v>
      </c>
      <c r="L62" s="13">
        <f t="shared" si="1"/>
        <v>0</v>
      </c>
      <c r="M62" s="13">
        <f>IF(AND(L62=0,COUNTIFS($B$2:$B$1534,B62,$G$2:$G$1534,G62,$E$2:$E$1534,"&gt;="&amp;(E62-Assumptions!$B$5),$E$2:$E$1534,"&lt;="&amp;(E62+Assumptions!$B$5))&gt;1),1,0)</f>
        <v>0</v>
      </c>
      <c r="N62" s="13">
        <f>IF(AND(G62&gt;=Assumptions!$B$4*(1-Assumptions!$B$6),G62&lt;Assumptions!$B$4),1,0)</f>
        <v>0</v>
      </c>
      <c r="O62" s="13">
        <f>IF(AND(G62&gt;=Assumptions!$B$7,MOD(G62,Assumptions!$B$7)=0),1,0)</f>
        <v>0</v>
      </c>
      <c r="P62" s="13">
        <f t="shared" si="2"/>
        <v>0</v>
      </c>
      <c r="Q62" s="13">
        <f t="shared" si="3"/>
        <v>0</v>
      </c>
      <c r="R62" s="13">
        <f>L62*Assumptions!$B$11+M62*Assumptions!$B$12+N62*Assumptions!$B$13+O62*Assumptions!$B$14+P62*Assumptions!$B$15+Q62*Assumptions!$B$16</f>
        <v>0</v>
      </c>
      <c r="S62" s="13" t="str">
        <f>IF(R62&gt;=Assumptions!$B$20,"High",IF(R62&gt;=Assumptions!$B$21,"Medium",IF(R62&gt;=1,"Low","Clear")))</f>
        <v>Clear</v>
      </c>
      <c r="T62" s="13" t="str">
        <f t="shared" si="4"/>
        <v/>
      </c>
    </row>
    <row r="63" spans="1:20" x14ac:dyDescent="0.35">
      <c r="A63" s="13" t="s">
        <v>390</v>
      </c>
      <c r="B63" s="13" t="s">
        <v>391</v>
      </c>
      <c r="C63" s="13" t="s">
        <v>392</v>
      </c>
      <c r="D63" s="13" t="s">
        <v>393</v>
      </c>
      <c r="E63" s="14">
        <v>45757</v>
      </c>
      <c r="F63" s="14">
        <v>45793</v>
      </c>
      <c r="G63" s="15">
        <v>78501.78</v>
      </c>
      <c r="H63" s="13" t="s">
        <v>394</v>
      </c>
      <c r="I63" s="13" t="s">
        <v>395</v>
      </c>
      <c r="J63" s="13" t="s">
        <v>98</v>
      </c>
      <c r="K63" s="13">
        <f t="shared" si="0"/>
        <v>7</v>
      </c>
      <c r="L63" s="13">
        <f t="shared" si="1"/>
        <v>0</v>
      </c>
      <c r="M63" s="13">
        <f>IF(AND(L63=0,COUNTIFS($B$2:$B$1534,B63,$G$2:$G$1534,G63,$E$2:$E$1534,"&gt;="&amp;(E63-Assumptions!$B$5),$E$2:$E$1534,"&lt;="&amp;(E63+Assumptions!$B$5))&gt;1),1,0)</f>
        <v>0</v>
      </c>
      <c r="N63" s="13">
        <f>IF(AND(G63&gt;=Assumptions!$B$4*(1-Assumptions!$B$6),G63&lt;Assumptions!$B$4),1,0)</f>
        <v>0</v>
      </c>
      <c r="O63" s="13">
        <f>IF(AND(G63&gt;=Assumptions!$B$7,MOD(G63,Assumptions!$B$7)=0),1,0)</f>
        <v>0</v>
      </c>
      <c r="P63" s="13">
        <f t="shared" si="2"/>
        <v>0</v>
      </c>
      <c r="Q63" s="13">
        <f t="shared" si="3"/>
        <v>0</v>
      </c>
      <c r="R63" s="13">
        <f>L63*Assumptions!$B$11+M63*Assumptions!$B$12+N63*Assumptions!$B$13+O63*Assumptions!$B$14+P63*Assumptions!$B$15+Q63*Assumptions!$B$16</f>
        <v>0</v>
      </c>
      <c r="S63" s="13" t="str">
        <f>IF(R63&gt;=Assumptions!$B$20,"High",IF(R63&gt;=Assumptions!$B$21,"Medium",IF(R63&gt;=1,"Low","Clear")))</f>
        <v>Clear</v>
      </c>
      <c r="T63" s="13" t="str">
        <f t="shared" si="4"/>
        <v/>
      </c>
    </row>
    <row r="64" spans="1:20" x14ac:dyDescent="0.35">
      <c r="A64" s="13" t="s">
        <v>396</v>
      </c>
      <c r="B64" s="13" t="s">
        <v>119</v>
      </c>
      <c r="C64" s="13" t="s">
        <v>120</v>
      </c>
      <c r="D64" s="13" t="s">
        <v>397</v>
      </c>
      <c r="E64" s="14">
        <v>45772</v>
      </c>
      <c r="F64" s="14">
        <v>45793</v>
      </c>
      <c r="G64" s="15">
        <v>6983.43</v>
      </c>
      <c r="H64" s="13" t="s">
        <v>398</v>
      </c>
      <c r="I64" s="13" t="s">
        <v>399</v>
      </c>
      <c r="J64" s="13" t="s">
        <v>136</v>
      </c>
      <c r="K64" s="13">
        <f t="shared" si="0"/>
        <v>6</v>
      </c>
      <c r="L64" s="13">
        <f t="shared" si="1"/>
        <v>0</v>
      </c>
      <c r="M64" s="13">
        <f>IF(AND(L64=0,COUNTIFS($B$2:$B$1534,B64,$G$2:$G$1534,G64,$E$2:$E$1534,"&gt;="&amp;(E64-Assumptions!$B$5),$E$2:$E$1534,"&lt;="&amp;(E64+Assumptions!$B$5))&gt;1),1,0)</f>
        <v>0</v>
      </c>
      <c r="N64" s="13">
        <f>IF(AND(G64&gt;=Assumptions!$B$4*(1-Assumptions!$B$6),G64&lt;Assumptions!$B$4),1,0)</f>
        <v>0</v>
      </c>
      <c r="O64" s="13">
        <f>IF(AND(G64&gt;=Assumptions!$B$7,MOD(G64,Assumptions!$B$7)=0),1,0)</f>
        <v>0</v>
      </c>
      <c r="P64" s="13">
        <f t="shared" si="2"/>
        <v>0</v>
      </c>
      <c r="Q64" s="13">
        <f t="shared" si="3"/>
        <v>0</v>
      </c>
      <c r="R64" s="13">
        <f>L64*Assumptions!$B$11+M64*Assumptions!$B$12+N64*Assumptions!$B$13+O64*Assumptions!$B$14+P64*Assumptions!$B$15+Q64*Assumptions!$B$16</f>
        <v>0</v>
      </c>
      <c r="S64" s="13" t="str">
        <f>IF(R64&gt;=Assumptions!$B$20,"High",IF(R64&gt;=Assumptions!$B$21,"Medium",IF(R64&gt;=1,"Low","Clear")))</f>
        <v>Clear</v>
      </c>
      <c r="T64" s="13" t="str">
        <f t="shared" si="4"/>
        <v/>
      </c>
    </row>
    <row r="65" spans="1:20" x14ac:dyDescent="0.35">
      <c r="A65" s="13" t="s">
        <v>400</v>
      </c>
      <c r="B65" s="13" t="s">
        <v>155</v>
      </c>
      <c r="C65" s="13" t="s">
        <v>156</v>
      </c>
      <c r="D65" s="13" t="s">
        <v>401</v>
      </c>
      <c r="E65" s="14">
        <v>45767</v>
      </c>
      <c r="F65" s="14">
        <v>45794</v>
      </c>
      <c r="G65" s="15">
        <v>12770.64</v>
      </c>
      <c r="H65" s="13" t="s">
        <v>402</v>
      </c>
      <c r="I65" s="13" t="s">
        <v>403</v>
      </c>
      <c r="J65" s="13" t="s">
        <v>136</v>
      </c>
      <c r="K65" s="13">
        <f t="shared" si="0"/>
        <v>1</v>
      </c>
      <c r="L65" s="13">
        <f t="shared" si="1"/>
        <v>0</v>
      </c>
      <c r="M65" s="13">
        <f>IF(AND(L65=0,COUNTIFS($B$2:$B$1534,B65,$G$2:$G$1534,G65,$E$2:$E$1534,"&gt;="&amp;(E65-Assumptions!$B$5),$E$2:$E$1534,"&lt;="&amp;(E65+Assumptions!$B$5))&gt;1),1,0)</f>
        <v>0</v>
      </c>
      <c r="N65" s="13">
        <f>IF(AND(G65&gt;=Assumptions!$B$4*(1-Assumptions!$B$6),G65&lt;Assumptions!$B$4),1,0)</f>
        <v>0</v>
      </c>
      <c r="O65" s="13">
        <f>IF(AND(G65&gt;=Assumptions!$B$7,MOD(G65,Assumptions!$B$7)=0),1,0)</f>
        <v>0</v>
      </c>
      <c r="P65" s="13">
        <f t="shared" si="2"/>
        <v>0</v>
      </c>
      <c r="Q65" s="13">
        <f t="shared" si="3"/>
        <v>1</v>
      </c>
      <c r="R65" s="13">
        <f>L65*Assumptions!$B$11+M65*Assumptions!$B$12+N65*Assumptions!$B$13+O65*Assumptions!$B$14+P65*Assumptions!$B$15+Q65*Assumptions!$B$16</f>
        <v>1</v>
      </c>
      <c r="S65" s="13" t="str">
        <f>IF(R65&gt;=Assumptions!$B$20,"High",IF(R65&gt;=Assumptions!$B$21,"Medium",IF(R65&gt;=1,"Low","Clear")))</f>
        <v>Low</v>
      </c>
      <c r="T65" s="13" t="str">
        <f t="shared" si="4"/>
        <v xml:space="preserve">Weekend payment; </v>
      </c>
    </row>
    <row r="66" spans="1:20" x14ac:dyDescent="0.35">
      <c r="A66" s="13" t="s">
        <v>404</v>
      </c>
      <c r="B66" s="13" t="s">
        <v>182</v>
      </c>
      <c r="C66" s="13" t="s">
        <v>183</v>
      </c>
      <c r="D66" s="13" t="s">
        <v>405</v>
      </c>
      <c r="E66" s="14">
        <v>45765</v>
      </c>
      <c r="F66" s="14">
        <v>45796</v>
      </c>
      <c r="G66" s="15">
        <v>381159.24</v>
      </c>
      <c r="H66" s="13" t="s">
        <v>406</v>
      </c>
      <c r="I66" s="13" t="s">
        <v>407</v>
      </c>
      <c r="J66" s="13" t="s">
        <v>98</v>
      </c>
      <c r="K66" s="13">
        <f t="shared" ref="K66:K129" si="5">VALUE(LEFT(TEXT(G66,"0"),1))</f>
        <v>3</v>
      </c>
      <c r="L66" s="13">
        <f t="shared" ref="L66:L129" si="6">IF(COUNTIFS($B$2:$B$1534,B66,$D$2:$D$1534,D66)&gt;1,1,0)</f>
        <v>0</v>
      </c>
      <c r="M66" s="13">
        <f>IF(AND(L66=0,COUNTIFS($B$2:$B$1534,B66,$G$2:$G$1534,G66,$E$2:$E$1534,"&gt;="&amp;(E66-Assumptions!$B$5),$E$2:$E$1534,"&lt;="&amp;(E66+Assumptions!$B$5))&gt;1),1,0)</f>
        <v>0</v>
      </c>
      <c r="N66" s="13">
        <f>IF(AND(G66&gt;=Assumptions!$B$4*(1-Assumptions!$B$6),G66&lt;Assumptions!$B$4),1,0)</f>
        <v>0</v>
      </c>
      <c r="O66" s="13">
        <f>IF(AND(G66&gt;=Assumptions!$B$7,MOD(G66,Assumptions!$B$7)=0),1,0)</f>
        <v>0</v>
      </c>
      <c r="P66" s="13">
        <f t="shared" ref="P66:P129" si="7">IF(OR(H66="",I66=""),1,0)</f>
        <v>0</v>
      </c>
      <c r="Q66" s="13">
        <f t="shared" ref="Q66:Q129" si="8">IF(WEEKDAY(F66,2)&gt;5,1,0)</f>
        <v>0</v>
      </c>
      <c r="R66" s="13">
        <f>L66*Assumptions!$B$11+M66*Assumptions!$B$12+N66*Assumptions!$B$13+O66*Assumptions!$B$14+P66*Assumptions!$B$15+Q66*Assumptions!$B$16</f>
        <v>0</v>
      </c>
      <c r="S66" s="13" t="str">
        <f>IF(R66&gt;=Assumptions!$B$20,"High",IF(R66&gt;=Assumptions!$B$21,"Medium",IF(R66&gt;=1,"Low","Clear")))</f>
        <v>Clear</v>
      </c>
      <c r="T66" s="13" t="str">
        <f t="shared" ref="T66:T129" si="9">IF(R66=0,"",IF(L66=1,"Duplicate invoice; ","")&amp;IF(M66=1,"Near-duplicate; ","")&amp;IF(N66=1,"Just below limit; ","")&amp;IF(O66=1,"Round amount; ","")&amp;IF(P66=1,"No PO/GRN; ","")&amp;IF(Q66=1,"Weekend payment; ",""))</f>
        <v/>
      </c>
    </row>
    <row r="67" spans="1:20" x14ac:dyDescent="0.35">
      <c r="A67" s="13" t="s">
        <v>408</v>
      </c>
      <c r="B67" s="13" t="s">
        <v>409</v>
      </c>
      <c r="C67" s="13" t="s">
        <v>410</v>
      </c>
      <c r="D67" s="13" t="s">
        <v>411</v>
      </c>
      <c r="E67" s="14">
        <v>45773</v>
      </c>
      <c r="F67" s="14">
        <v>45796</v>
      </c>
      <c r="G67" s="15">
        <v>17818.48</v>
      </c>
      <c r="H67" s="13" t="s">
        <v>412</v>
      </c>
      <c r="I67" s="13" t="s">
        <v>413</v>
      </c>
      <c r="J67" s="13" t="s">
        <v>136</v>
      </c>
      <c r="K67" s="13">
        <f t="shared" si="5"/>
        <v>1</v>
      </c>
      <c r="L67" s="13">
        <f t="shared" si="6"/>
        <v>0</v>
      </c>
      <c r="M67" s="13">
        <f>IF(AND(L67=0,COUNTIFS($B$2:$B$1534,B67,$G$2:$G$1534,G67,$E$2:$E$1534,"&gt;="&amp;(E67-Assumptions!$B$5),$E$2:$E$1534,"&lt;="&amp;(E67+Assumptions!$B$5))&gt;1),1,0)</f>
        <v>0</v>
      </c>
      <c r="N67" s="13">
        <f>IF(AND(G67&gt;=Assumptions!$B$4*(1-Assumptions!$B$6),G67&lt;Assumptions!$B$4),1,0)</f>
        <v>0</v>
      </c>
      <c r="O67" s="13">
        <f>IF(AND(G67&gt;=Assumptions!$B$7,MOD(G67,Assumptions!$B$7)=0),1,0)</f>
        <v>0</v>
      </c>
      <c r="P67" s="13">
        <f t="shared" si="7"/>
        <v>0</v>
      </c>
      <c r="Q67" s="13">
        <f t="shared" si="8"/>
        <v>0</v>
      </c>
      <c r="R67" s="13">
        <f>L67*Assumptions!$B$11+M67*Assumptions!$B$12+N67*Assumptions!$B$13+O67*Assumptions!$B$14+P67*Assumptions!$B$15+Q67*Assumptions!$B$16</f>
        <v>0</v>
      </c>
      <c r="S67" s="13" t="str">
        <f>IF(R67&gt;=Assumptions!$B$20,"High",IF(R67&gt;=Assumptions!$B$21,"Medium",IF(R67&gt;=1,"Low","Clear")))</f>
        <v>Clear</v>
      </c>
      <c r="T67" s="13" t="str">
        <f t="shared" si="9"/>
        <v/>
      </c>
    </row>
    <row r="68" spans="1:20" x14ac:dyDescent="0.35">
      <c r="A68" s="13" t="s">
        <v>414</v>
      </c>
      <c r="B68" s="13" t="s">
        <v>200</v>
      </c>
      <c r="C68" s="13" t="s">
        <v>201</v>
      </c>
      <c r="D68" s="13" t="s">
        <v>415</v>
      </c>
      <c r="E68" s="14">
        <v>45768</v>
      </c>
      <c r="F68" s="14">
        <v>45796</v>
      </c>
      <c r="G68" s="15">
        <v>132698.22</v>
      </c>
      <c r="H68" s="13" t="s">
        <v>416</v>
      </c>
      <c r="I68" s="13" t="s">
        <v>417</v>
      </c>
      <c r="J68" s="13" t="s">
        <v>91</v>
      </c>
      <c r="K68" s="13">
        <f t="shared" si="5"/>
        <v>1</v>
      </c>
      <c r="L68" s="13">
        <f t="shared" si="6"/>
        <v>0</v>
      </c>
      <c r="M68" s="13">
        <f>IF(AND(L68=0,COUNTIFS($B$2:$B$1534,B68,$G$2:$G$1534,G68,$E$2:$E$1534,"&gt;="&amp;(E68-Assumptions!$B$5),$E$2:$E$1534,"&lt;="&amp;(E68+Assumptions!$B$5))&gt;1),1,0)</f>
        <v>0</v>
      </c>
      <c r="N68" s="13">
        <f>IF(AND(G68&gt;=Assumptions!$B$4*(1-Assumptions!$B$6),G68&lt;Assumptions!$B$4),1,0)</f>
        <v>0</v>
      </c>
      <c r="O68" s="13">
        <f>IF(AND(G68&gt;=Assumptions!$B$7,MOD(G68,Assumptions!$B$7)=0),1,0)</f>
        <v>0</v>
      </c>
      <c r="P68" s="13">
        <f t="shared" si="7"/>
        <v>0</v>
      </c>
      <c r="Q68" s="13">
        <f t="shared" si="8"/>
        <v>0</v>
      </c>
      <c r="R68" s="13">
        <f>L68*Assumptions!$B$11+M68*Assumptions!$B$12+N68*Assumptions!$B$13+O68*Assumptions!$B$14+P68*Assumptions!$B$15+Q68*Assumptions!$B$16</f>
        <v>0</v>
      </c>
      <c r="S68" s="13" t="str">
        <f>IF(R68&gt;=Assumptions!$B$20,"High",IF(R68&gt;=Assumptions!$B$21,"Medium",IF(R68&gt;=1,"Low","Clear")))</f>
        <v>Clear</v>
      </c>
      <c r="T68" s="13" t="str">
        <f t="shared" si="9"/>
        <v/>
      </c>
    </row>
    <row r="69" spans="1:20" x14ac:dyDescent="0.35">
      <c r="A69" s="13" t="s">
        <v>418</v>
      </c>
      <c r="B69" s="13" t="s">
        <v>200</v>
      </c>
      <c r="C69" s="13" t="s">
        <v>201</v>
      </c>
      <c r="D69" s="13" t="s">
        <v>419</v>
      </c>
      <c r="E69" s="14">
        <v>45763</v>
      </c>
      <c r="F69" s="14">
        <v>45796</v>
      </c>
      <c r="G69" s="15">
        <v>366272.16</v>
      </c>
      <c r="H69" s="13" t="s">
        <v>420</v>
      </c>
      <c r="I69" s="13" t="s">
        <v>421</v>
      </c>
      <c r="J69" s="13" t="s">
        <v>143</v>
      </c>
      <c r="K69" s="13">
        <f t="shared" si="5"/>
        <v>3</v>
      </c>
      <c r="L69" s="13">
        <f t="shared" si="6"/>
        <v>0</v>
      </c>
      <c r="M69" s="13">
        <f>IF(AND(L69=0,COUNTIFS($B$2:$B$1534,B69,$G$2:$G$1534,G69,$E$2:$E$1534,"&gt;="&amp;(E69-Assumptions!$B$5),$E$2:$E$1534,"&lt;="&amp;(E69+Assumptions!$B$5))&gt;1),1,0)</f>
        <v>0</v>
      </c>
      <c r="N69" s="13">
        <f>IF(AND(G69&gt;=Assumptions!$B$4*(1-Assumptions!$B$6),G69&lt;Assumptions!$B$4),1,0)</f>
        <v>0</v>
      </c>
      <c r="O69" s="13">
        <f>IF(AND(G69&gt;=Assumptions!$B$7,MOD(G69,Assumptions!$B$7)=0),1,0)</f>
        <v>0</v>
      </c>
      <c r="P69" s="13">
        <f t="shared" si="7"/>
        <v>0</v>
      </c>
      <c r="Q69" s="13">
        <f t="shared" si="8"/>
        <v>0</v>
      </c>
      <c r="R69" s="13">
        <f>L69*Assumptions!$B$11+M69*Assumptions!$B$12+N69*Assumptions!$B$13+O69*Assumptions!$B$14+P69*Assumptions!$B$15+Q69*Assumptions!$B$16</f>
        <v>0</v>
      </c>
      <c r="S69" s="13" t="str">
        <f>IF(R69&gt;=Assumptions!$B$20,"High",IF(R69&gt;=Assumptions!$B$21,"Medium",IF(R69&gt;=1,"Low","Clear")))</f>
        <v>Clear</v>
      </c>
      <c r="T69" s="13" t="str">
        <f t="shared" si="9"/>
        <v/>
      </c>
    </row>
    <row r="70" spans="1:20" x14ac:dyDescent="0.35">
      <c r="A70" s="13" t="s">
        <v>422</v>
      </c>
      <c r="B70" s="13" t="s">
        <v>200</v>
      </c>
      <c r="C70" s="13" t="s">
        <v>201</v>
      </c>
      <c r="D70" s="13" t="s">
        <v>423</v>
      </c>
      <c r="E70" s="14">
        <v>45757</v>
      </c>
      <c r="F70" s="14">
        <v>45796</v>
      </c>
      <c r="G70" s="15">
        <v>371952.83</v>
      </c>
      <c r="H70" s="13" t="s">
        <v>424</v>
      </c>
      <c r="I70" s="13" t="s">
        <v>425</v>
      </c>
      <c r="J70" s="13" t="s">
        <v>170</v>
      </c>
      <c r="K70" s="13">
        <f t="shared" si="5"/>
        <v>3</v>
      </c>
      <c r="L70" s="13">
        <f t="shared" si="6"/>
        <v>0</v>
      </c>
      <c r="M70" s="13">
        <f>IF(AND(L70=0,COUNTIFS($B$2:$B$1534,B70,$G$2:$G$1534,G70,$E$2:$E$1534,"&gt;="&amp;(E70-Assumptions!$B$5),$E$2:$E$1534,"&lt;="&amp;(E70+Assumptions!$B$5))&gt;1),1,0)</f>
        <v>0</v>
      </c>
      <c r="N70" s="13">
        <f>IF(AND(G70&gt;=Assumptions!$B$4*(1-Assumptions!$B$6),G70&lt;Assumptions!$B$4),1,0)</f>
        <v>0</v>
      </c>
      <c r="O70" s="13">
        <f>IF(AND(G70&gt;=Assumptions!$B$7,MOD(G70,Assumptions!$B$7)=0),1,0)</f>
        <v>0</v>
      </c>
      <c r="P70" s="13">
        <f t="shared" si="7"/>
        <v>0</v>
      </c>
      <c r="Q70" s="13">
        <f t="shared" si="8"/>
        <v>0</v>
      </c>
      <c r="R70" s="13">
        <f>L70*Assumptions!$B$11+M70*Assumptions!$B$12+N70*Assumptions!$B$13+O70*Assumptions!$B$14+P70*Assumptions!$B$15+Q70*Assumptions!$B$16</f>
        <v>0</v>
      </c>
      <c r="S70" s="13" t="str">
        <f>IF(R70&gt;=Assumptions!$B$20,"High",IF(R70&gt;=Assumptions!$B$21,"Medium",IF(R70&gt;=1,"Low","Clear")))</f>
        <v>Clear</v>
      </c>
      <c r="T70" s="13" t="str">
        <f t="shared" si="9"/>
        <v/>
      </c>
    </row>
    <row r="71" spans="1:20" x14ac:dyDescent="0.35">
      <c r="A71" s="13" t="s">
        <v>426</v>
      </c>
      <c r="B71" s="13" t="s">
        <v>307</v>
      </c>
      <c r="C71" s="13" t="s">
        <v>308</v>
      </c>
      <c r="D71" s="13" t="s">
        <v>427</v>
      </c>
      <c r="E71" s="14">
        <v>45758</v>
      </c>
      <c r="F71" s="14">
        <v>45796</v>
      </c>
      <c r="G71" s="15">
        <v>45894.91</v>
      </c>
      <c r="H71" s="13" t="s">
        <v>428</v>
      </c>
      <c r="I71" s="13" t="s">
        <v>429</v>
      </c>
      <c r="J71" s="13" t="s">
        <v>111</v>
      </c>
      <c r="K71" s="13">
        <f t="shared" si="5"/>
        <v>4</v>
      </c>
      <c r="L71" s="13">
        <f t="shared" si="6"/>
        <v>0</v>
      </c>
      <c r="M71" s="13">
        <f>IF(AND(L71=0,COUNTIFS($B$2:$B$1534,B71,$G$2:$G$1534,G71,$E$2:$E$1534,"&gt;="&amp;(E71-Assumptions!$B$5),$E$2:$E$1534,"&lt;="&amp;(E71+Assumptions!$B$5))&gt;1),1,0)</f>
        <v>0</v>
      </c>
      <c r="N71" s="13">
        <f>IF(AND(G71&gt;=Assumptions!$B$4*(1-Assumptions!$B$6),G71&lt;Assumptions!$B$4),1,0)</f>
        <v>0</v>
      </c>
      <c r="O71" s="13">
        <f>IF(AND(G71&gt;=Assumptions!$B$7,MOD(G71,Assumptions!$B$7)=0),1,0)</f>
        <v>0</v>
      </c>
      <c r="P71" s="13">
        <f t="shared" si="7"/>
        <v>0</v>
      </c>
      <c r="Q71" s="13">
        <f t="shared" si="8"/>
        <v>0</v>
      </c>
      <c r="R71" s="13">
        <f>L71*Assumptions!$B$11+M71*Assumptions!$B$12+N71*Assumptions!$B$13+O71*Assumptions!$B$14+P71*Assumptions!$B$15+Q71*Assumptions!$B$16</f>
        <v>0</v>
      </c>
      <c r="S71" s="13" t="str">
        <f>IF(R71&gt;=Assumptions!$B$20,"High",IF(R71&gt;=Assumptions!$B$21,"Medium",IF(R71&gt;=1,"Low","Clear")))</f>
        <v>Clear</v>
      </c>
      <c r="T71" s="13" t="str">
        <f t="shared" si="9"/>
        <v/>
      </c>
    </row>
    <row r="72" spans="1:20" x14ac:dyDescent="0.35">
      <c r="A72" s="13" t="s">
        <v>430</v>
      </c>
      <c r="B72" s="13" t="s">
        <v>119</v>
      </c>
      <c r="C72" s="13" t="s">
        <v>120</v>
      </c>
      <c r="D72" s="13" t="s">
        <v>431</v>
      </c>
      <c r="E72" s="14">
        <v>45760</v>
      </c>
      <c r="F72" s="14">
        <v>45796</v>
      </c>
      <c r="G72" s="15">
        <v>2058.96</v>
      </c>
      <c r="H72" s="13" t="s">
        <v>432</v>
      </c>
      <c r="I72" s="13" t="s">
        <v>433</v>
      </c>
      <c r="J72" s="13" t="s">
        <v>111</v>
      </c>
      <c r="K72" s="13">
        <f t="shared" si="5"/>
        <v>2</v>
      </c>
      <c r="L72" s="13">
        <f t="shared" si="6"/>
        <v>0</v>
      </c>
      <c r="M72" s="13">
        <f>IF(AND(L72=0,COUNTIFS($B$2:$B$1534,B72,$G$2:$G$1534,G72,$E$2:$E$1534,"&gt;="&amp;(E72-Assumptions!$B$5),$E$2:$E$1534,"&lt;="&amp;(E72+Assumptions!$B$5))&gt;1),1,0)</f>
        <v>0</v>
      </c>
      <c r="N72" s="13">
        <f>IF(AND(G72&gt;=Assumptions!$B$4*(1-Assumptions!$B$6),G72&lt;Assumptions!$B$4),1,0)</f>
        <v>0</v>
      </c>
      <c r="O72" s="13">
        <f>IF(AND(G72&gt;=Assumptions!$B$7,MOD(G72,Assumptions!$B$7)=0),1,0)</f>
        <v>0</v>
      </c>
      <c r="P72" s="13">
        <f t="shared" si="7"/>
        <v>0</v>
      </c>
      <c r="Q72" s="13">
        <f t="shared" si="8"/>
        <v>0</v>
      </c>
      <c r="R72" s="13">
        <f>L72*Assumptions!$B$11+M72*Assumptions!$B$12+N72*Assumptions!$B$13+O72*Assumptions!$B$14+P72*Assumptions!$B$15+Q72*Assumptions!$B$16</f>
        <v>0</v>
      </c>
      <c r="S72" s="13" t="str">
        <f>IF(R72&gt;=Assumptions!$B$20,"High",IF(R72&gt;=Assumptions!$B$21,"Medium",IF(R72&gt;=1,"Low","Clear")))</f>
        <v>Clear</v>
      </c>
      <c r="T72" s="13" t="str">
        <f t="shared" si="9"/>
        <v/>
      </c>
    </row>
    <row r="73" spans="1:20" x14ac:dyDescent="0.35">
      <c r="A73" s="13" t="s">
        <v>434</v>
      </c>
      <c r="B73" s="13" t="s">
        <v>161</v>
      </c>
      <c r="C73" s="13" t="s">
        <v>162</v>
      </c>
      <c r="D73" s="13" t="s">
        <v>435</v>
      </c>
      <c r="E73" s="14">
        <v>45766</v>
      </c>
      <c r="F73" s="14">
        <v>45796</v>
      </c>
      <c r="G73" s="15">
        <v>4025.07</v>
      </c>
      <c r="H73" s="13" t="s">
        <v>436</v>
      </c>
      <c r="I73" s="13"/>
      <c r="J73" s="13" t="s">
        <v>170</v>
      </c>
      <c r="K73" s="13">
        <f t="shared" si="5"/>
        <v>4</v>
      </c>
      <c r="L73" s="13">
        <f t="shared" si="6"/>
        <v>0</v>
      </c>
      <c r="M73" s="13">
        <f>IF(AND(L73=0,COUNTIFS($B$2:$B$1534,B73,$G$2:$G$1534,G73,$E$2:$E$1534,"&gt;="&amp;(E73-Assumptions!$B$5),$E$2:$E$1534,"&lt;="&amp;(E73+Assumptions!$B$5))&gt;1),1,0)</f>
        <v>0</v>
      </c>
      <c r="N73" s="13">
        <f>IF(AND(G73&gt;=Assumptions!$B$4*(1-Assumptions!$B$6),G73&lt;Assumptions!$B$4),1,0)</f>
        <v>0</v>
      </c>
      <c r="O73" s="13">
        <f>IF(AND(G73&gt;=Assumptions!$B$7,MOD(G73,Assumptions!$B$7)=0),1,0)</f>
        <v>0</v>
      </c>
      <c r="P73" s="13">
        <f t="shared" si="7"/>
        <v>1</v>
      </c>
      <c r="Q73" s="13">
        <f t="shared" si="8"/>
        <v>0</v>
      </c>
      <c r="R73" s="13">
        <f>L73*Assumptions!$B$11+M73*Assumptions!$B$12+N73*Assumptions!$B$13+O73*Assumptions!$B$14+P73*Assumptions!$B$15+Q73*Assumptions!$B$16</f>
        <v>4</v>
      </c>
      <c r="S73" s="13" t="str">
        <f>IF(R73&gt;=Assumptions!$B$20,"High",IF(R73&gt;=Assumptions!$B$21,"Medium",IF(R73&gt;=1,"Low","Clear")))</f>
        <v>Medium</v>
      </c>
      <c r="T73" s="13" t="str">
        <f t="shared" si="9"/>
        <v xml:space="preserve">No PO/GRN; </v>
      </c>
    </row>
    <row r="74" spans="1:20" x14ac:dyDescent="0.35">
      <c r="A74" s="13" t="s">
        <v>437</v>
      </c>
      <c r="B74" s="13" t="s">
        <v>438</v>
      </c>
      <c r="C74" s="13" t="s">
        <v>439</v>
      </c>
      <c r="D74" s="13" t="s">
        <v>440</v>
      </c>
      <c r="E74" s="14">
        <v>45764</v>
      </c>
      <c r="F74" s="14">
        <v>45796</v>
      </c>
      <c r="G74" s="15">
        <v>276744.28000000003</v>
      </c>
      <c r="H74" s="13" t="s">
        <v>441</v>
      </c>
      <c r="I74" s="13" t="s">
        <v>442</v>
      </c>
      <c r="J74" s="13" t="s">
        <v>136</v>
      </c>
      <c r="K74" s="13">
        <f t="shared" si="5"/>
        <v>2</v>
      </c>
      <c r="L74" s="13">
        <f t="shared" si="6"/>
        <v>0</v>
      </c>
      <c r="M74" s="13">
        <f>IF(AND(L74=0,COUNTIFS($B$2:$B$1534,B74,$G$2:$G$1534,G74,$E$2:$E$1534,"&gt;="&amp;(E74-Assumptions!$B$5),$E$2:$E$1534,"&lt;="&amp;(E74+Assumptions!$B$5))&gt;1),1,0)</f>
        <v>0</v>
      </c>
      <c r="N74" s="13">
        <f>IF(AND(G74&gt;=Assumptions!$B$4*(1-Assumptions!$B$6),G74&lt;Assumptions!$B$4),1,0)</f>
        <v>0</v>
      </c>
      <c r="O74" s="13">
        <f>IF(AND(G74&gt;=Assumptions!$B$7,MOD(G74,Assumptions!$B$7)=0),1,0)</f>
        <v>0</v>
      </c>
      <c r="P74" s="13">
        <f t="shared" si="7"/>
        <v>0</v>
      </c>
      <c r="Q74" s="13">
        <f t="shared" si="8"/>
        <v>0</v>
      </c>
      <c r="R74" s="13">
        <f>L74*Assumptions!$B$11+M74*Assumptions!$B$12+N74*Assumptions!$B$13+O74*Assumptions!$B$14+P74*Assumptions!$B$15+Q74*Assumptions!$B$16</f>
        <v>0</v>
      </c>
      <c r="S74" s="13" t="str">
        <f>IF(R74&gt;=Assumptions!$B$20,"High",IF(R74&gt;=Assumptions!$B$21,"Medium",IF(R74&gt;=1,"Low","Clear")))</f>
        <v>Clear</v>
      </c>
      <c r="T74" s="13" t="str">
        <f t="shared" si="9"/>
        <v/>
      </c>
    </row>
    <row r="75" spans="1:20" x14ac:dyDescent="0.35">
      <c r="A75" s="13" t="s">
        <v>443</v>
      </c>
      <c r="B75" s="13" t="s">
        <v>125</v>
      </c>
      <c r="C75" s="13" t="s">
        <v>126</v>
      </c>
      <c r="D75" s="13" t="s">
        <v>444</v>
      </c>
      <c r="E75" s="14">
        <v>45768</v>
      </c>
      <c r="F75" s="14">
        <v>45796</v>
      </c>
      <c r="G75" s="15">
        <v>321939.49</v>
      </c>
      <c r="H75" s="13" t="s">
        <v>445</v>
      </c>
      <c r="I75" s="13" t="s">
        <v>446</v>
      </c>
      <c r="J75" s="13" t="s">
        <v>111</v>
      </c>
      <c r="K75" s="13">
        <f t="shared" si="5"/>
        <v>3</v>
      </c>
      <c r="L75" s="13">
        <f t="shared" si="6"/>
        <v>0</v>
      </c>
      <c r="M75" s="13">
        <f>IF(AND(L75=0,COUNTIFS($B$2:$B$1534,B75,$G$2:$G$1534,G75,$E$2:$E$1534,"&gt;="&amp;(E75-Assumptions!$B$5),$E$2:$E$1534,"&lt;="&amp;(E75+Assumptions!$B$5))&gt;1),1,0)</f>
        <v>0</v>
      </c>
      <c r="N75" s="13">
        <f>IF(AND(G75&gt;=Assumptions!$B$4*(1-Assumptions!$B$6),G75&lt;Assumptions!$B$4),1,0)</f>
        <v>0</v>
      </c>
      <c r="O75" s="13">
        <f>IF(AND(G75&gt;=Assumptions!$B$7,MOD(G75,Assumptions!$B$7)=0),1,0)</f>
        <v>0</v>
      </c>
      <c r="P75" s="13">
        <f t="shared" si="7"/>
        <v>0</v>
      </c>
      <c r="Q75" s="13">
        <f t="shared" si="8"/>
        <v>0</v>
      </c>
      <c r="R75" s="13">
        <f>L75*Assumptions!$B$11+M75*Assumptions!$B$12+N75*Assumptions!$B$13+O75*Assumptions!$B$14+P75*Assumptions!$B$15+Q75*Assumptions!$B$16</f>
        <v>0</v>
      </c>
      <c r="S75" s="13" t="str">
        <f>IF(R75&gt;=Assumptions!$B$20,"High",IF(R75&gt;=Assumptions!$B$21,"Medium",IF(R75&gt;=1,"Low","Clear")))</f>
        <v>Clear</v>
      </c>
      <c r="T75" s="13" t="str">
        <f t="shared" si="9"/>
        <v/>
      </c>
    </row>
    <row r="76" spans="1:20" x14ac:dyDescent="0.35">
      <c r="A76" s="13" t="s">
        <v>447</v>
      </c>
      <c r="B76" s="13" t="s">
        <v>357</v>
      </c>
      <c r="C76" s="13" t="s">
        <v>358</v>
      </c>
      <c r="D76" s="13" t="s">
        <v>448</v>
      </c>
      <c r="E76" s="14">
        <v>45773</v>
      </c>
      <c r="F76" s="14">
        <v>45796</v>
      </c>
      <c r="G76" s="15">
        <v>6551.01</v>
      </c>
      <c r="H76" s="13"/>
      <c r="I76" s="13"/>
      <c r="J76" s="13" t="s">
        <v>98</v>
      </c>
      <c r="K76" s="13">
        <f t="shared" si="5"/>
        <v>6</v>
      </c>
      <c r="L76" s="13">
        <f t="shared" si="6"/>
        <v>0</v>
      </c>
      <c r="M76" s="13">
        <f>IF(AND(L76=0,COUNTIFS($B$2:$B$1534,B76,$G$2:$G$1534,G76,$E$2:$E$1534,"&gt;="&amp;(E76-Assumptions!$B$5),$E$2:$E$1534,"&lt;="&amp;(E76+Assumptions!$B$5))&gt;1),1,0)</f>
        <v>0</v>
      </c>
      <c r="N76" s="13">
        <f>IF(AND(G76&gt;=Assumptions!$B$4*(1-Assumptions!$B$6),G76&lt;Assumptions!$B$4),1,0)</f>
        <v>0</v>
      </c>
      <c r="O76" s="13">
        <f>IF(AND(G76&gt;=Assumptions!$B$7,MOD(G76,Assumptions!$B$7)=0),1,0)</f>
        <v>0</v>
      </c>
      <c r="P76" s="13">
        <f t="shared" si="7"/>
        <v>1</v>
      </c>
      <c r="Q76" s="13">
        <f t="shared" si="8"/>
        <v>0</v>
      </c>
      <c r="R76" s="13">
        <f>L76*Assumptions!$B$11+M76*Assumptions!$B$12+N76*Assumptions!$B$13+O76*Assumptions!$B$14+P76*Assumptions!$B$15+Q76*Assumptions!$B$16</f>
        <v>4</v>
      </c>
      <c r="S76" s="13" t="str">
        <f>IF(R76&gt;=Assumptions!$B$20,"High",IF(R76&gt;=Assumptions!$B$21,"Medium",IF(R76&gt;=1,"Low","Clear")))</f>
        <v>Medium</v>
      </c>
      <c r="T76" s="13" t="str">
        <f t="shared" si="9"/>
        <v xml:space="preserve">No PO/GRN; </v>
      </c>
    </row>
    <row r="77" spans="1:20" x14ac:dyDescent="0.35">
      <c r="A77" s="13" t="s">
        <v>449</v>
      </c>
      <c r="B77" s="13" t="s">
        <v>228</v>
      </c>
      <c r="C77" s="13" t="s">
        <v>229</v>
      </c>
      <c r="D77" s="13" t="s">
        <v>450</v>
      </c>
      <c r="E77" s="14">
        <v>45762</v>
      </c>
      <c r="F77" s="14">
        <v>45797</v>
      </c>
      <c r="G77" s="15">
        <v>19762.73</v>
      </c>
      <c r="H77" s="13" t="s">
        <v>451</v>
      </c>
      <c r="I77" s="13" t="s">
        <v>452</v>
      </c>
      <c r="J77" s="13" t="s">
        <v>136</v>
      </c>
      <c r="K77" s="13">
        <f t="shared" si="5"/>
        <v>1</v>
      </c>
      <c r="L77" s="13">
        <f t="shared" si="6"/>
        <v>0</v>
      </c>
      <c r="M77" s="13">
        <f>IF(AND(L77=0,COUNTIFS($B$2:$B$1534,B77,$G$2:$G$1534,G77,$E$2:$E$1534,"&gt;="&amp;(E77-Assumptions!$B$5),$E$2:$E$1534,"&lt;="&amp;(E77+Assumptions!$B$5))&gt;1),1,0)</f>
        <v>0</v>
      </c>
      <c r="N77" s="13">
        <f>IF(AND(G77&gt;=Assumptions!$B$4*(1-Assumptions!$B$6),G77&lt;Assumptions!$B$4),1,0)</f>
        <v>0</v>
      </c>
      <c r="O77" s="13">
        <f>IF(AND(G77&gt;=Assumptions!$B$7,MOD(G77,Assumptions!$B$7)=0),1,0)</f>
        <v>0</v>
      </c>
      <c r="P77" s="13">
        <f t="shared" si="7"/>
        <v>0</v>
      </c>
      <c r="Q77" s="13">
        <f t="shared" si="8"/>
        <v>0</v>
      </c>
      <c r="R77" s="13">
        <f>L77*Assumptions!$B$11+M77*Assumptions!$B$12+N77*Assumptions!$B$13+O77*Assumptions!$B$14+P77*Assumptions!$B$15+Q77*Assumptions!$B$16</f>
        <v>0</v>
      </c>
      <c r="S77" s="13" t="str">
        <f>IF(R77&gt;=Assumptions!$B$20,"High",IF(R77&gt;=Assumptions!$B$21,"Medium",IF(R77&gt;=1,"Low","Clear")))</f>
        <v>Clear</v>
      </c>
      <c r="T77" s="13" t="str">
        <f t="shared" si="9"/>
        <v/>
      </c>
    </row>
    <row r="78" spans="1:20" x14ac:dyDescent="0.35">
      <c r="A78" s="13" t="s">
        <v>453</v>
      </c>
      <c r="B78" s="13" t="s">
        <v>155</v>
      </c>
      <c r="C78" s="13" t="s">
        <v>156</v>
      </c>
      <c r="D78" s="13" t="s">
        <v>454</v>
      </c>
      <c r="E78" s="14">
        <v>45770</v>
      </c>
      <c r="F78" s="14">
        <v>45797</v>
      </c>
      <c r="G78" s="15">
        <v>3972.42</v>
      </c>
      <c r="H78" s="13" t="s">
        <v>455</v>
      </c>
      <c r="I78" s="13" t="s">
        <v>456</v>
      </c>
      <c r="J78" s="13" t="s">
        <v>136</v>
      </c>
      <c r="K78" s="13">
        <f t="shared" si="5"/>
        <v>3</v>
      </c>
      <c r="L78" s="13">
        <f t="shared" si="6"/>
        <v>0</v>
      </c>
      <c r="M78" s="13">
        <f>IF(AND(L78=0,COUNTIFS($B$2:$B$1534,B78,$G$2:$G$1534,G78,$E$2:$E$1534,"&gt;="&amp;(E78-Assumptions!$B$5),$E$2:$E$1534,"&lt;="&amp;(E78+Assumptions!$B$5))&gt;1),1,0)</f>
        <v>0</v>
      </c>
      <c r="N78" s="13">
        <f>IF(AND(G78&gt;=Assumptions!$B$4*(1-Assumptions!$B$6),G78&lt;Assumptions!$B$4),1,0)</f>
        <v>0</v>
      </c>
      <c r="O78" s="13">
        <f>IF(AND(G78&gt;=Assumptions!$B$7,MOD(G78,Assumptions!$B$7)=0),1,0)</f>
        <v>0</v>
      </c>
      <c r="P78" s="13">
        <f t="shared" si="7"/>
        <v>0</v>
      </c>
      <c r="Q78" s="13">
        <f t="shared" si="8"/>
        <v>0</v>
      </c>
      <c r="R78" s="13">
        <f>L78*Assumptions!$B$11+M78*Assumptions!$B$12+N78*Assumptions!$B$13+O78*Assumptions!$B$14+P78*Assumptions!$B$15+Q78*Assumptions!$B$16</f>
        <v>0</v>
      </c>
      <c r="S78" s="13" t="str">
        <f>IF(R78&gt;=Assumptions!$B$20,"High",IF(R78&gt;=Assumptions!$B$21,"Medium",IF(R78&gt;=1,"Low","Clear")))</f>
        <v>Clear</v>
      </c>
      <c r="T78" s="13" t="str">
        <f t="shared" si="9"/>
        <v/>
      </c>
    </row>
    <row r="79" spans="1:20" x14ac:dyDescent="0.35">
      <c r="A79" s="13" t="s">
        <v>457</v>
      </c>
      <c r="B79" s="13" t="s">
        <v>339</v>
      </c>
      <c r="C79" s="13" t="s">
        <v>340</v>
      </c>
      <c r="D79" s="13" t="s">
        <v>458</v>
      </c>
      <c r="E79" s="14">
        <v>45767</v>
      </c>
      <c r="F79" s="14">
        <v>45797</v>
      </c>
      <c r="G79" s="15">
        <v>425773.2</v>
      </c>
      <c r="H79" s="13" t="s">
        <v>459</v>
      </c>
      <c r="I79" s="13" t="s">
        <v>460</v>
      </c>
      <c r="J79" s="13" t="s">
        <v>91</v>
      </c>
      <c r="K79" s="13">
        <f t="shared" si="5"/>
        <v>4</v>
      </c>
      <c r="L79" s="13">
        <f t="shared" si="6"/>
        <v>0</v>
      </c>
      <c r="M79" s="13">
        <f>IF(AND(L79=0,COUNTIFS($B$2:$B$1534,B79,$G$2:$G$1534,G79,$E$2:$E$1534,"&gt;="&amp;(E79-Assumptions!$B$5),$E$2:$E$1534,"&lt;="&amp;(E79+Assumptions!$B$5))&gt;1),1,0)</f>
        <v>0</v>
      </c>
      <c r="N79" s="13">
        <f>IF(AND(G79&gt;=Assumptions!$B$4*(1-Assumptions!$B$6),G79&lt;Assumptions!$B$4),1,0)</f>
        <v>0</v>
      </c>
      <c r="O79" s="13">
        <f>IF(AND(G79&gt;=Assumptions!$B$7,MOD(G79,Assumptions!$B$7)=0),1,0)</f>
        <v>0</v>
      </c>
      <c r="P79" s="13">
        <f t="shared" si="7"/>
        <v>0</v>
      </c>
      <c r="Q79" s="13">
        <f t="shared" si="8"/>
        <v>0</v>
      </c>
      <c r="R79" s="13">
        <f>L79*Assumptions!$B$11+M79*Assumptions!$B$12+N79*Assumptions!$B$13+O79*Assumptions!$B$14+P79*Assumptions!$B$15+Q79*Assumptions!$B$16</f>
        <v>0</v>
      </c>
      <c r="S79" s="13" t="str">
        <f>IF(R79&gt;=Assumptions!$B$20,"High",IF(R79&gt;=Assumptions!$B$21,"Medium",IF(R79&gt;=1,"Low","Clear")))</f>
        <v>Clear</v>
      </c>
      <c r="T79" s="13" t="str">
        <f t="shared" si="9"/>
        <v/>
      </c>
    </row>
    <row r="80" spans="1:20" x14ac:dyDescent="0.35">
      <c r="A80" s="13" t="s">
        <v>461</v>
      </c>
      <c r="B80" s="13" t="s">
        <v>200</v>
      </c>
      <c r="C80" s="13" t="s">
        <v>201</v>
      </c>
      <c r="D80" s="13" t="s">
        <v>462</v>
      </c>
      <c r="E80" s="14">
        <v>45766</v>
      </c>
      <c r="F80" s="14">
        <v>45798</v>
      </c>
      <c r="G80" s="15">
        <v>231143.61</v>
      </c>
      <c r="H80" s="13" t="s">
        <v>463</v>
      </c>
      <c r="I80" s="13" t="s">
        <v>464</v>
      </c>
      <c r="J80" s="13" t="s">
        <v>111</v>
      </c>
      <c r="K80" s="13">
        <f t="shared" si="5"/>
        <v>2</v>
      </c>
      <c r="L80" s="13">
        <f t="shared" si="6"/>
        <v>0</v>
      </c>
      <c r="M80" s="13">
        <f>IF(AND(L80=0,COUNTIFS($B$2:$B$1534,B80,$G$2:$G$1534,G80,$E$2:$E$1534,"&gt;="&amp;(E80-Assumptions!$B$5),$E$2:$E$1534,"&lt;="&amp;(E80+Assumptions!$B$5))&gt;1),1,0)</f>
        <v>0</v>
      </c>
      <c r="N80" s="13">
        <f>IF(AND(G80&gt;=Assumptions!$B$4*(1-Assumptions!$B$6),G80&lt;Assumptions!$B$4),1,0)</f>
        <v>0</v>
      </c>
      <c r="O80" s="13">
        <f>IF(AND(G80&gt;=Assumptions!$B$7,MOD(G80,Assumptions!$B$7)=0),1,0)</f>
        <v>0</v>
      </c>
      <c r="P80" s="13">
        <f t="shared" si="7"/>
        <v>0</v>
      </c>
      <c r="Q80" s="13">
        <f t="shared" si="8"/>
        <v>0</v>
      </c>
      <c r="R80" s="13">
        <f>L80*Assumptions!$B$11+M80*Assumptions!$B$12+N80*Assumptions!$B$13+O80*Assumptions!$B$14+P80*Assumptions!$B$15+Q80*Assumptions!$B$16</f>
        <v>0</v>
      </c>
      <c r="S80" s="13" t="str">
        <f>IF(R80&gt;=Assumptions!$B$20,"High",IF(R80&gt;=Assumptions!$B$21,"Medium",IF(R80&gt;=1,"Low","Clear")))</f>
        <v>Clear</v>
      </c>
      <c r="T80" s="13" t="str">
        <f t="shared" si="9"/>
        <v/>
      </c>
    </row>
    <row r="81" spans="1:20" x14ac:dyDescent="0.35">
      <c r="A81" s="13" t="s">
        <v>465</v>
      </c>
      <c r="B81" s="13" t="s">
        <v>466</v>
      </c>
      <c r="C81" s="13" t="s">
        <v>467</v>
      </c>
      <c r="D81" s="13" t="s">
        <v>468</v>
      </c>
      <c r="E81" s="14">
        <v>45769</v>
      </c>
      <c r="F81" s="14">
        <v>45798</v>
      </c>
      <c r="G81" s="15">
        <v>734414.35</v>
      </c>
      <c r="H81" s="13" t="s">
        <v>469</v>
      </c>
      <c r="I81" s="13" t="s">
        <v>470</v>
      </c>
      <c r="J81" s="13" t="s">
        <v>98</v>
      </c>
      <c r="K81" s="13">
        <f t="shared" si="5"/>
        <v>7</v>
      </c>
      <c r="L81" s="13">
        <f t="shared" si="6"/>
        <v>0</v>
      </c>
      <c r="M81" s="13">
        <f>IF(AND(L81=0,COUNTIFS($B$2:$B$1534,B81,$G$2:$G$1534,G81,$E$2:$E$1534,"&gt;="&amp;(E81-Assumptions!$B$5),$E$2:$E$1534,"&lt;="&amp;(E81+Assumptions!$B$5))&gt;1),1,0)</f>
        <v>0</v>
      </c>
      <c r="N81" s="13">
        <f>IF(AND(G81&gt;=Assumptions!$B$4*(1-Assumptions!$B$6),G81&lt;Assumptions!$B$4),1,0)</f>
        <v>0</v>
      </c>
      <c r="O81" s="13">
        <f>IF(AND(G81&gt;=Assumptions!$B$7,MOD(G81,Assumptions!$B$7)=0),1,0)</f>
        <v>0</v>
      </c>
      <c r="P81" s="13">
        <f t="shared" si="7"/>
        <v>0</v>
      </c>
      <c r="Q81" s="13">
        <f t="shared" si="8"/>
        <v>0</v>
      </c>
      <c r="R81" s="13">
        <f>L81*Assumptions!$B$11+M81*Assumptions!$B$12+N81*Assumptions!$B$13+O81*Assumptions!$B$14+P81*Assumptions!$B$15+Q81*Assumptions!$B$16</f>
        <v>0</v>
      </c>
      <c r="S81" s="13" t="str">
        <f>IF(R81&gt;=Assumptions!$B$20,"High",IF(R81&gt;=Assumptions!$B$21,"Medium",IF(R81&gt;=1,"Low","Clear")))</f>
        <v>Clear</v>
      </c>
      <c r="T81" s="13" t="str">
        <f t="shared" si="9"/>
        <v/>
      </c>
    </row>
    <row r="82" spans="1:20" x14ac:dyDescent="0.35">
      <c r="A82" s="13" t="s">
        <v>471</v>
      </c>
      <c r="B82" s="13" t="s">
        <v>176</v>
      </c>
      <c r="C82" s="13" t="s">
        <v>177</v>
      </c>
      <c r="D82" s="13" t="s">
        <v>472</v>
      </c>
      <c r="E82" s="14">
        <v>45767</v>
      </c>
      <c r="F82" s="14">
        <v>45799</v>
      </c>
      <c r="G82" s="15">
        <v>6299.55</v>
      </c>
      <c r="H82" s="13" t="s">
        <v>473</v>
      </c>
      <c r="I82" s="13" t="s">
        <v>474</v>
      </c>
      <c r="J82" s="13" t="s">
        <v>98</v>
      </c>
      <c r="K82" s="13">
        <f t="shared" si="5"/>
        <v>6</v>
      </c>
      <c r="L82" s="13">
        <f t="shared" si="6"/>
        <v>0</v>
      </c>
      <c r="M82" s="13">
        <f>IF(AND(L82=0,COUNTIFS($B$2:$B$1534,B82,$G$2:$G$1534,G82,$E$2:$E$1534,"&gt;="&amp;(E82-Assumptions!$B$5),$E$2:$E$1534,"&lt;="&amp;(E82+Assumptions!$B$5))&gt;1),1,0)</f>
        <v>0</v>
      </c>
      <c r="N82" s="13">
        <f>IF(AND(G82&gt;=Assumptions!$B$4*(1-Assumptions!$B$6),G82&lt;Assumptions!$B$4),1,0)</f>
        <v>0</v>
      </c>
      <c r="O82" s="13">
        <f>IF(AND(G82&gt;=Assumptions!$B$7,MOD(G82,Assumptions!$B$7)=0),1,0)</f>
        <v>0</v>
      </c>
      <c r="P82" s="13">
        <f t="shared" si="7"/>
        <v>0</v>
      </c>
      <c r="Q82" s="13">
        <f t="shared" si="8"/>
        <v>0</v>
      </c>
      <c r="R82" s="13">
        <f>L82*Assumptions!$B$11+M82*Assumptions!$B$12+N82*Assumptions!$B$13+O82*Assumptions!$B$14+P82*Assumptions!$B$15+Q82*Assumptions!$B$16</f>
        <v>0</v>
      </c>
      <c r="S82" s="13" t="str">
        <f>IF(R82&gt;=Assumptions!$B$20,"High",IF(R82&gt;=Assumptions!$B$21,"Medium",IF(R82&gt;=1,"Low","Clear")))</f>
        <v>Clear</v>
      </c>
      <c r="T82" s="13" t="str">
        <f t="shared" si="9"/>
        <v/>
      </c>
    </row>
    <row r="83" spans="1:20" x14ac:dyDescent="0.35">
      <c r="A83" s="13" t="s">
        <v>475</v>
      </c>
      <c r="B83" s="13" t="s">
        <v>476</v>
      </c>
      <c r="C83" s="13" t="s">
        <v>477</v>
      </c>
      <c r="D83" s="13" t="s">
        <v>478</v>
      </c>
      <c r="E83" s="14">
        <v>45760</v>
      </c>
      <c r="F83" s="14">
        <v>45799</v>
      </c>
      <c r="G83" s="15">
        <v>449473.96</v>
      </c>
      <c r="H83" s="13" t="s">
        <v>479</v>
      </c>
      <c r="I83" s="13" t="s">
        <v>480</v>
      </c>
      <c r="J83" s="13" t="s">
        <v>91</v>
      </c>
      <c r="K83" s="13">
        <f t="shared" si="5"/>
        <v>4</v>
      </c>
      <c r="L83" s="13">
        <f t="shared" si="6"/>
        <v>0</v>
      </c>
      <c r="M83" s="13">
        <f>IF(AND(L83=0,COUNTIFS($B$2:$B$1534,B83,$G$2:$G$1534,G83,$E$2:$E$1534,"&gt;="&amp;(E83-Assumptions!$B$5),$E$2:$E$1534,"&lt;="&amp;(E83+Assumptions!$B$5))&gt;1),1,0)</f>
        <v>0</v>
      </c>
      <c r="N83" s="13">
        <f>IF(AND(G83&gt;=Assumptions!$B$4*(1-Assumptions!$B$6),G83&lt;Assumptions!$B$4),1,0)</f>
        <v>0</v>
      </c>
      <c r="O83" s="13">
        <f>IF(AND(G83&gt;=Assumptions!$B$7,MOD(G83,Assumptions!$B$7)=0),1,0)</f>
        <v>0</v>
      </c>
      <c r="P83" s="13">
        <f t="shared" si="7"/>
        <v>0</v>
      </c>
      <c r="Q83" s="13">
        <f t="shared" si="8"/>
        <v>0</v>
      </c>
      <c r="R83" s="13">
        <f>L83*Assumptions!$B$11+M83*Assumptions!$B$12+N83*Assumptions!$B$13+O83*Assumptions!$B$14+P83*Assumptions!$B$15+Q83*Assumptions!$B$16</f>
        <v>0</v>
      </c>
      <c r="S83" s="13" t="str">
        <f>IF(R83&gt;=Assumptions!$B$20,"High",IF(R83&gt;=Assumptions!$B$21,"Medium",IF(R83&gt;=1,"Low","Clear")))</f>
        <v>Clear</v>
      </c>
      <c r="T83" s="13" t="str">
        <f t="shared" si="9"/>
        <v/>
      </c>
    </row>
    <row r="84" spans="1:20" x14ac:dyDescent="0.35">
      <c r="A84" s="13" t="s">
        <v>481</v>
      </c>
      <c r="B84" s="13" t="s">
        <v>106</v>
      </c>
      <c r="C84" s="13" t="s">
        <v>107</v>
      </c>
      <c r="D84" s="13" t="s">
        <v>482</v>
      </c>
      <c r="E84" s="14">
        <v>45778</v>
      </c>
      <c r="F84" s="14">
        <v>45799</v>
      </c>
      <c r="G84" s="15">
        <v>9967.5300000000007</v>
      </c>
      <c r="H84" s="13" t="s">
        <v>483</v>
      </c>
      <c r="I84" s="13" t="s">
        <v>484</v>
      </c>
      <c r="J84" s="13" t="s">
        <v>170</v>
      </c>
      <c r="K84" s="13">
        <f t="shared" si="5"/>
        <v>9</v>
      </c>
      <c r="L84" s="13">
        <f t="shared" si="6"/>
        <v>0</v>
      </c>
      <c r="M84" s="13">
        <f>IF(AND(L84=0,COUNTIFS($B$2:$B$1534,B84,$G$2:$G$1534,G84,$E$2:$E$1534,"&gt;="&amp;(E84-Assumptions!$B$5),$E$2:$E$1534,"&lt;="&amp;(E84+Assumptions!$B$5))&gt;1),1,0)</f>
        <v>0</v>
      </c>
      <c r="N84" s="13">
        <f>IF(AND(G84&gt;=Assumptions!$B$4*(1-Assumptions!$B$6),G84&lt;Assumptions!$B$4),1,0)</f>
        <v>0</v>
      </c>
      <c r="O84" s="13">
        <f>IF(AND(G84&gt;=Assumptions!$B$7,MOD(G84,Assumptions!$B$7)=0),1,0)</f>
        <v>0</v>
      </c>
      <c r="P84" s="13">
        <f t="shared" si="7"/>
        <v>0</v>
      </c>
      <c r="Q84" s="13">
        <f t="shared" si="8"/>
        <v>0</v>
      </c>
      <c r="R84" s="13">
        <f>L84*Assumptions!$B$11+M84*Assumptions!$B$12+N84*Assumptions!$B$13+O84*Assumptions!$B$14+P84*Assumptions!$B$15+Q84*Assumptions!$B$16</f>
        <v>0</v>
      </c>
      <c r="S84" s="13" t="str">
        <f>IF(R84&gt;=Assumptions!$B$20,"High",IF(R84&gt;=Assumptions!$B$21,"Medium",IF(R84&gt;=1,"Low","Clear")))</f>
        <v>Clear</v>
      </c>
      <c r="T84" s="13" t="str">
        <f t="shared" si="9"/>
        <v/>
      </c>
    </row>
    <row r="85" spans="1:20" x14ac:dyDescent="0.35">
      <c r="A85" s="13" t="s">
        <v>485</v>
      </c>
      <c r="B85" s="13" t="s">
        <v>200</v>
      </c>
      <c r="C85" s="13" t="s">
        <v>201</v>
      </c>
      <c r="D85" s="13" t="s">
        <v>486</v>
      </c>
      <c r="E85" s="14">
        <v>45761</v>
      </c>
      <c r="F85" s="14">
        <v>45800</v>
      </c>
      <c r="G85" s="15">
        <v>70931.56</v>
      </c>
      <c r="H85" s="13" t="s">
        <v>487</v>
      </c>
      <c r="I85" s="13" t="s">
        <v>488</v>
      </c>
      <c r="J85" s="13" t="s">
        <v>91</v>
      </c>
      <c r="K85" s="13">
        <f t="shared" si="5"/>
        <v>7</v>
      </c>
      <c r="L85" s="13">
        <f t="shared" si="6"/>
        <v>0</v>
      </c>
      <c r="M85" s="13">
        <f>IF(AND(L85=0,COUNTIFS($B$2:$B$1534,B85,$G$2:$G$1534,G85,$E$2:$E$1534,"&gt;="&amp;(E85-Assumptions!$B$5),$E$2:$E$1534,"&lt;="&amp;(E85+Assumptions!$B$5))&gt;1),1,0)</f>
        <v>0</v>
      </c>
      <c r="N85" s="13">
        <f>IF(AND(G85&gt;=Assumptions!$B$4*(1-Assumptions!$B$6),G85&lt;Assumptions!$B$4),1,0)</f>
        <v>0</v>
      </c>
      <c r="O85" s="13">
        <f>IF(AND(G85&gt;=Assumptions!$B$7,MOD(G85,Assumptions!$B$7)=0),1,0)</f>
        <v>0</v>
      </c>
      <c r="P85" s="13">
        <f t="shared" si="7"/>
        <v>0</v>
      </c>
      <c r="Q85" s="13">
        <f t="shared" si="8"/>
        <v>0</v>
      </c>
      <c r="R85" s="13">
        <f>L85*Assumptions!$B$11+M85*Assumptions!$B$12+N85*Assumptions!$B$13+O85*Assumptions!$B$14+P85*Assumptions!$B$15+Q85*Assumptions!$B$16</f>
        <v>0</v>
      </c>
      <c r="S85" s="13" t="str">
        <f>IF(R85&gt;=Assumptions!$B$20,"High",IF(R85&gt;=Assumptions!$B$21,"Medium",IF(R85&gt;=1,"Low","Clear")))</f>
        <v>Clear</v>
      </c>
      <c r="T85" s="13" t="str">
        <f t="shared" si="9"/>
        <v/>
      </c>
    </row>
    <row r="86" spans="1:20" x14ac:dyDescent="0.35">
      <c r="A86" s="13" t="s">
        <v>489</v>
      </c>
      <c r="B86" s="13" t="s">
        <v>155</v>
      </c>
      <c r="C86" s="13" t="s">
        <v>156</v>
      </c>
      <c r="D86" s="13" t="s">
        <v>490</v>
      </c>
      <c r="E86" s="14">
        <v>45774</v>
      </c>
      <c r="F86" s="14">
        <v>45800</v>
      </c>
      <c r="G86" s="15">
        <v>6326.58</v>
      </c>
      <c r="H86" s="13" t="s">
        <v>491</v>
      </c>
      <c r="I86" s="13" t="s">
        <v>492</v>
      </c>
      <c r="J86" s="13" t="s">
        <v>98</v>
      </c>
      <c r="K86" s="13">
        <f t="shared" si="5"/>
        <v>6</v>
      </c>
      <c r="L86" s="13">
        <f t="shared" si="6"/>
        <v>0</v>
      </c>
      <c r="M86" s="13">
        <f>IF(AND(L86=0,COUNTIFS($B$2:$B$1534,B86,$G$2:$G$1534,G86,$E$2:$E$1534,"&gt;="&amp;(E86-Assumptions!$B$5),$E$2:$E$1534,"&lt;="&amp;(E86+Assumptions!$B$5))&gt;1),1,0)</f>
        <v>0</v>
      </c>
      <c r="N86" s="13">
        <f>IF(AND(G86&gt;=Assumptions!$B$4*(1-Assumptions!$B$6),G86&lt;Assumptions!$B$4),1,0)</f>
        <v>0</v>
      </c>
      <c r="O86" s="13">
        <f>IF(AND(G86&gt;=Assumptions!$B$7,MOD(G86,Assumptions!$B$7)=0),1,0)</f>
        <v>0</v>
      </c>
      <c r="P86" s="13">
        <f t="shared" si="7"/>
        <v>0</v>
      </c>
      <c r="Q86" s="13">
        <f t="shared" si="8"/>
        <v>0</v>
      </c>
      <c r="R86" s="13">
        <f>L86*Assumptions!$B$11+M86*Assumptions!$B$12+N86*Assumptions!$B$13+O86*Assumptions!$B$14+P86*Assumptions!$B$15+Q86*Assumptions!$B$16</f>
        <v>0</v>
      </c>
      <c r="S86" s="13" t="str">
        <f>IF(R86&gt;=Assumptions!$B$20,"High",IF(R86&gt;=Assumptions!$B$21,"Medium",IF(R86&gt;=1,"Low","Clear")))</f>
        <v>Clear</v>
      </c>
      <c r="T86" s="13" t="str">
        <f t="shared" si="9"/>
        <v/>
      </c>
    </row>
    <row r="87" spans="1:20" x14ac:dyDescent="0.35">
      <c r="A87" s="13" t="s">
        <v>493</v>
      </c>
      <c r="B87" s="13" t="s">
        <v>182</v>
      </c>
      <c r="C87" s="13" t="s">
        <v>183</v>
      </c>
      <c r="D87" s="13" t="s">
        <v>494</v>
      </c>
      <c r="E87" s="14">
        <v>45773</v>
      </c>
      <c r="F87" s="14">
        <v>45803</v>
      </c>
      <c r="G87" s="15">
        <v>5379.06</v>
      </c>
      <c r="H87" s="13" t="s">
        <v>495</v>
      </c>
      <c r="I87" s="13" t="s">
        <v>496</v>
      </c>
      <c r="J87" s="13" t="s">
        <v>143</v>
      </c>
      <c r="K87" s="13">
        <f t="shared" si="5"/>
        <v>5</v>
      </c>
      <c r="L87" s="13">
        <f t="shared" si="6"/>
        <v>0</v>
      </c>
      <c r="M87" s="13">
        <f>IF(AND(L87=0,COUNTIFS($B$2:$B$1534,B87,$G$2:$G$1534,G87,$E$2:$E$1534,"&gt;="&amp;(E87-Assumptions!$B$5),$E$2:$E$1534,"&lt;="&amp;(E87+Assumptions!$B$5))&gt;1),1,0)</f>
        <v>0</v>
      </c>
      <c r="N87" s="13">
        <f>IF(AND(G87&gt;=Assumptions!$B$4*(1-Assumptions!$B$6),G87&lt;Assumptions!$B$4),1,0)</f>
        <v>0</v>
      </c>
      <c r="O87" s="13">
        <f>IF(AND(G87&gt;=Assumptions!$B$7,MOD(G87,Assumptions!$B$7)=0),1,0)</f>
        <v>0</v>
      </c>
      <c r="P87" s="13">
        <f t="shared" si="7"/>
        <v>0</v>
      </c>
      <c r="Q87" s="13">
        <f t="shared" si="8"/>
        <v>0</v>
      </c>
      <c r="R87" s="13">
        <f>L87*Assumptions!$B$11+M87*Assumptions!$B$12+N87*Assumptions!$B$13+O87*Assumptions!$B$14+P87*Assumptions!$B$15+Q87*Assumptions!$B$16</f>
        <v>0</v>
      </c>
      <c r="S87" s="13" t="str">
        <f>IF(R87&gt;=Assumptions!$B$20,"High",IF(R87&gt;=Assumptions!$B$21,"Medium",IF(R87&gt;=1,"Low","Clear")))</f>
        <v>Clear</v>
      </c>
      <c r="T87" s="13" t="str">
        <f t="shared" si="9"/>
        <v/>
      </c>
    </row>
    <row r="88" spans="1:20" x14ac:dyDescent="0.35">
      <c r="A88" s="13" t="s">
        <v>497</v>
      </c>
      <c r="B88" s="13" t="s">
        <v>498</v>
      </c>
      <c r="C88" s="13" t="s">
        <v>499</v>
      </c>
      <c r="D88" s="13" t="s">
        <v>500</v>
      </c>
      <c r="E88" s="14">
        <v>45769</v>
      </c>
      <c r="F88" s="14">
        <v>45803</v>
      </c>
      <c r="G88" s="15">
        <v>1718.33</v>
      </c>
      <c r="H88" s="13" t="s">
        <v>501</v>
      </c>
      <c r="I88" s="13" t="s">
        <v>502</v>
      </c>
      <c r="J88" s="13" t="s">
        <v>143</v>
      </c>
      <c r="K88" s="13">
        <f t="shared" si="5"/>
        <v>1</v>
      </c>
      <c r="L88" s="13">
        <f t="shared" si="6"/>
        <v>0</v>
      </c>
      <c r="M88" s="13">
        <f>IF(AND(L88=0,COUNTIFS($B$2:$B$1534,B88,$G$2:$G$1534,G88,$E$2:$E$1534,"&gt;="&amp;(E88-Assumptions!$B$5),$E$2:$E$1534,"&lt;="&amp;(E88+Assumptions!$B$5))&gt;1),1,0)</f>
        <v>0</v>
      </c>
      <c r="N88" s="13">
        <f>IF(AND(G88&gt;=Assumptions!$B$4*(1-Assumptions!$B$6),G88&lt;Assumptions!$B$4),1,0)</f>
        <v>0</v>
      </c>
      <c r="O88" s="13">
        <f>IF(AND(G88&gt;=Assumptions!$B$7,MOD(G88,Assumptions!$B$7)=0),1,0)</f>
        <v>0</v>
      </c>
      <c r="P88" s="13">
        <f t="shared" si="7"/>
        <v>0</v>
      </c>
      <c r="Q88" s="13">
        <f t="shared" si="8"/>
        <v>0</v>
      </c>
      <c r="R88" s="13">
        <f>L88*Assumptions!$B$11+M88*Assumptions!$B$12+N88*Assumptions!$B$13+O88*Assumptions!$B$14+P88*Assumptions!$B$15+Q88*Assumptions!$B$16</f>
        <v>0</v>
      </c>
      <c r="S88" s="13" t="str">
        <f>IF(R88&gt;=Assumptions!$B$20,"High",IF(R88&gt;=Assumptions!$B$21,"Medium",IF(R88&gt;=1,"Low","Clear")))</f>
        <v>Clear</v>
      </c>
      <c r="T88" s="13" t="str">
        <f t="shared" si="9"/>
        <v/>
      </c>
    </row>
    <row r="89" spans="1:20" x14ac:dyDescent="0.35">
      <c r="A89" s="13" t="s">
        <v>503</v>
      </c>
      <c r="B89" s="13" t="s">
        <v>498</v>
      </c>
      <c r="C89" s="13" t="s">
        <v>499</v>
      </c>
      <c r="D89" s="13" t="s">
        <v>504</v>
      </c>
      <c r="E89" s="14">
        <v>45764</v>
      </c>
      <c r="F89" s="14">
        <v>45803</v>
      </c>
      <c r="G89" s="15">
        <v>1509.92</v>
      </c>
      <c r="H89" s="13" t="s">
        <v>505</v>
      </c>
      <c r="I89" s="13" t="s">
        <v>506</v>
      </c>
      <c r="J89" s="13" t="s">
        <v>98</v>
      </c>
      <c r="K89" s="13">
        <f t="shared" si="5"/>
        <v>1</v>
      </c>
      <c r="L89" s="13">
        <f t="shared" si="6"/>
        <v>0</v>
      </c>
      <c r="M89" s="13">
        <f>IF(AND(L89=0,COUNTIFS($B$2:$B$1534,B89,$G$2:$G$1534,G89,$E$2:$E$1534,"&gt;="&amp;(E89-Assumptions!$B$5),$E$2:$E$1534,"&lt;="&amp;(E89+Assumptions!$B$5))&gt;1),1,0)</f>
        <v>0</v>
      </c>
      <c r="N89" s="13">
        <f>IF(AND(G89&gt;=Assumptions!$B$4*(1-Assumptions!$B$6),G89&lt;Assumptions!$B$4),1,0)</f>
        <v>0</v>
      </c>
      <c r="O89" s="13">
        <f>IF(AND(G89&gt;=Assumptions!$B$7,MOD(G89,Assumptions!$B$7)=0),1,0)</f>
        <v>0</v>
      </c>
      <c r="P89" s="13">
        <f t="shared" si="7"/>
        <v>0</v>
      </c>
      <c r="Q89" s="13">
        <f t="shared" si="8"/>
        <v>0</v>
      </c>
      <c r="R89" s="13">
        <f>L89*Assumptions!$B$11+M89*Assumptions!$B$12+N89*Assumptions!$B$13+O89*Assumptions!$B$14+P89*Assumptions!$B$15+Q89*Assumptions!$B$16</f>
        <v>0</v>
      </c>
      <c r="S89" s="13" t="str">
        <f>IF(R89&gt;=Assumptions!$B$20,"High",IF(R89&gt;=Assumptions!$B$21,"Medium",IF(R89&gt;=1,"Low","Clear")))</f>
        <v>Clear</v>
      </c>
      <c r="T89" s="13" t="str">
        <f t="shared" si="9"/>
        <v/>
      </c>
    </row>
    <row r="90" spans="1:20" x14ac:dyDescent="0.35">
      <c r="A90" s="13" t="s">
        <v>507</v>
      </c>
      <c r="B90" s="13" t="s">
        <v>86</v>
      </c>
      <c r="C90" s="13" t="s">
        <v>87</v>
      </c>
      <c r="D90" s="13" t="s">
        <v>508</v>
      </c>
      <c r="E90" s="14">
        <v>45775</v>
      </c>
      <c r="F90" s="14">
        <v>45803</v>
      </c>
      <c r="G90" s="15">
        <v>12119.66</v>
      </c>
      <c r="H90" s="13" t="s">
        <v>509</v>
      </c>
      <c r="I90" s="13" t="s">
        <v>510</v>
      </c>
      <c r="J90" s="13" t="s">
        <v>111</v>
      </c>
      <c r="K90" s="13">
        <f t="shared" si="5"/>
        <v>1</v>
      </c>
      <c r="L90" s="13">
        <f t="shared" si="6"/>
        <v>0</v>
      </c>
      <c r="M90" s="13">
        <f>IF(AND(L90=0,COUNTIFS($B$2:$B$1534,B90,$G$2:$G$1534,G90,$E$2:$E$1534,"&gt;="&amp;(E90-Assumptions!$B$5),$E$2:$E$1534,"&lt;="&amp;(E90+Assumptions!$B$5))&gt;1),1,0)</f>
        <v>0</v>
      </c>
      <c r="N90" s="13">
        <f>IF(AND(G90&gt;=Assumptions!$B$4*(1-Assumptions!$B$6),G90&lt;Assumptions!$B$4),1,0)</f>
        <v>0</v>
      </c>
      <c r="O90" s="13">
        <f>IF(AND(G90&gt;=Assumptions!$B$7,MOD(G90,Assumptions!$B$7)=0),1,0)</f>
        <v>0</v>
      </c>
      <c r="P90" s="13">
        <f t="shared" si="7"/>
        <v>0</v>
      </c>
      <c r="Q90" s="13">
        <f t="shared" si="8"/>
        <v>0</v>
      </c>
      <c r="R90" s="13">
        <f>L90*Assumptions!$B$11+M90*Assumptions!$B$12+N90*Assumptions!$B$13+O90*Assumptions!$B$14+P90*Assumptions!$B$15+Q90*Assumptions!$B$16</f>
        <v>0</v>
      </c>
      <c r="S90" s="13" t="str">
        <f>IF(R90&gt;=Assumptions!$B$20,"High",IF(R90&gt;=Assumptions!$B$21,"Medium",IF(R90&gt;=1,"Low","Clear")))</f>
        <v>Clear</v>
      </c>
      <c r="T90" s="13" t="str">
        <f t="shared" si="9"/>
        <v/>
      </c>
    </row>
    <row r="91" spans="1:20" x14ac:dyDescent="0.35">
      <c r="A91" s="13" t="s">
        <v>511</v>
      </c>
      <c r="B91" s="13" t="s">
        <v>86</v>
      </c>
      <c r="C91" s="13" t="s">
        <v>87</v>
      </c>
      <c r="D91" s="13" t="s">
        <v>512</v>
      </c>
      <c r="E91" s="14">
        <v>45770</v>
      </c>
      <c r="F91" s="14">
        <v>45803</v>
      </c>
      <c r="G91" s="15">
        <v>34474.68</v>
      </c>
      <c r="H91" s="13" t="s">
        <v>513</v>
      </c>
      <c r="I91" s="13" t="s">
        <v>514</v>
      </c>
      <c r="J91" s="13" t="s">
        <v>91</v>
      </c>
      <c r="K91" s="13">
        <f t="shared" si="5"/>
        <v>3</v>
      </c>
      <c r="L91" s="13">
        <f t="shared" si="6"/>
        <v>0</v>
      </c>
      <c r="M91" s="13">
        <f>IF(AND(L91=0,COUNTIFS($B$2:$B$1534,B91,$G$2:$G$1534,G91,$E$2:$E$1534,"&gt;="&amp;(E91-Assumptions!$B$5),$E$2:$E$1534,"&lt;="&amp;(E91+Assumptions!$B$5))&gt;1),1,0)</f>
        <v>0</v>
      </c>
      <c r="N91" s="13">
        <f>IF(AND(G91&gt;=Assumptions!$B$4*(1-Assumptions!$B$6),G91&lt;Assumptions!$B$4),1,0)</f>
        <v>0</v>
      </c>
      <c r="O91" s="13">
        <f>IF(AND(G91&gt;=Assumptions!$B$7,MOD(G91,Assumptions!$B$7)=0),1,0)</f>
        <v>0</v>
      </c>
      <c r="P91" s="13">
        <f t="shared" si="7"/>
        <v>0</v>
      </c>
      <c r="Q91" s="13">
        <f t="shared" si="8"/>
        <v>0</v>
      </c>
      <c r="R91" s="13">
        <f>L91*Assumptions!$B$11+M91*Assumptions!$B$12+N91*Assumptions!$B$13+O91*Assumptions!$B$14+P91*Assumptions!$B$15+Q91*Assumptions!$B$16</f>
        <v>0</v>
      </c>
      <c r="S91" s="13" t="str">
        <f>IF(R91&gt;=Assumptions!$B$20,"High",IF(R91&gt;=Assumptions!$B$21,"Medium",IF(R91&gt;=1,"Low","Clear")))</f>
        <v>Clear</v>
      </c>
      <c r="T91" s="13" t="str">
        <f t="shared" si="9"/>
        <v/>
      </c>
    </row>
    <row r="92" spans="1:20" x14ac:dyDescent="0.35">
      <c r="A92" s="13" t="s">
        <v>515</v>
      </c>
      <c r="B92" s="13" t="s">
        <v>206</v>
      </c>
      <c r="C92" s="13" t="s">
        <v>207</v>
      </c>
      <c r="D92" s="13" t="s">
        <v>516</v>
      </c>
      <c r="E92" s="14">
        <v>45776</v>
      </c>
      <c r="F92" s="14">
        <v>45803</v>
      </c>
      <c r="G92" s="15">
        <v>292016.76</v>
      </c>
      <c r="H92" s="13" t="s">
        <v>517</v>
      </c>
      <c r="I92" s="13" t="s">
        <v>518</v>
      </c>
      <c r="J92" s="13" t="s">
        <v>170</v>
      </c>
      <c r="K92" s="13">
        <f t="shared" si="5"/>
        <v>2</v>
      </c>
      <c r="L92" s="13">
        <f t="shared" si="6"/>
        <v>0</v>
      </c>
      <c r="M92" s="13">
        <f>IF(AND(L92=0,COUNTIFS($B$2:$B$1534,B92,$G$2:$G$1534,G92,$E$2:$E$1534,"&gt;="&amp;(E92-Assumptions!$B$5),$E$2:$E$1534,"&lt;="&amp;(E92+Assumptions!$B$5))&gt;1),1,0)</f>
        <v>0</v>
      </c>
      <c r="N92" s="13">
        <f>IF(AND(G92&gt;=Assumptions!$B$4*(1-Assumptions!$B$6),G92&lt;Assumptions!$B$4),1,0)</f>
        <v>0</v>
      </c>
      <c r="O92" s="13">
        <f>IF(AND(G92&gt;=Assumptions!$B$7,MOD(G92,Assumptions!$B$7)=0),1,0)</f>
        <v>0</v>
      </c>
      <c r="P92" s="13">
        <f t="shared" si="7"/>
        <v>0</v>
      </c>
      <c r="Q92" s="13">
        <f t="shared" si="8"/>
        <v>0</v>
      </c>
      <c r="R92" s="13">
        <f>L92*Assumptions!$B$11+M92*Assumptions!$B$12+N92*Assumptions!$B$13+O92*Assumptions!$B$14+P92*Assumptions!$B$15+Q92*Assumptions!$B$16</f>
        <v>0</v>
      </c>
      <c r="S92" s="13" t="str">
        <f>IF(R92&gt;=Assumptions!$B$20,"High",IF(R92&gt;=Assumptions!$B$21,"Medium",IF(R92&gt;=1,"Low","Clear")))</f>
        <v>Clear</v>
      </c>
      <c r="T92" s="13" t="str">
        <f t="shared" si="9"/>
        <v/>
      </c>
    </row>
    <row r="93" spans="1:20" x14ac:dyDescent="0.35">
      <c r="A93" s="13" t="s">
        <v>519</v>
      </c>
      <c r="B93" s="13" t="s">
        <v>206</v>
      </c>
      <c r="C93" s="13" t="s">
        <v>207</v>
      </c>
      <c r="D93" s="13" t="s">
        <v>520</v>
      </c>
      <c r="E93" s="14">
        <v>45763</v>
      </c>
      <c r="F93" s="14">
        <v>45803</v>
      </c>
      <c r="G93" s="15">
        <v>6606.65</v>
      </c>
      <c r="H93" s="13" t="s">
        <v>521</v>
      </c>
      <c r="I93" s="13" t="s">
        <v>522</v>
      </c>
      <c r="J93" s="13" t="s">
        <v>143</v>
      </c>
      <c r="K93" s="13">
        <f t="shared" si="5"/>
        <v>6</v>
      </c>
      <c r="L93" s="13">
        <f t="shared" si="6"/>
        <v>0</v>
      </c>
      <c r="M93" s="13">
        <f>IF(AND(L93=0,COUNTIFS($B$2:$B$1534,B93,$G$2:$G$1534,G93,$E$2:$E$1534,"&gt;="&amp;(E93-Assumptions!$B$5),$E$2:$E$1534,"&lt;="&amp;(E93+Assumptions!$B$5))&gt;1),1,0)</f>
        <v>0</v>
      </c>
      <c r="N93" s="13">
        <f>IF(AND(G93&gt;=Assumptions!$B$4*(1-Assumptions!$B$6),G93&lt;Assumptions!$B$4),1,0)</f>
        <v>0</v>
      </c>
      <c r="O93" s="13">
        <f>IF(AND(G93&gt;=Assumptions!$B$7,MOD(G93,Assumptions!$B$7)=0),1,0)</f>
        <v>0</v>
      </c>
      <c r="P93" s="13">
        <f t="shared" si="7"/>
        <v>0</v>
      </c>
      <c r="Q93" s="13">
        <f t="shared" si="8"/>
        <v>0</v>
      </c>
      <c r="R93" s="13">
        <f>L93*Assumptions!$B$11+M93*Assumptions!$B$12+N93*Assumptions!$B$13+O93*Assumptions!$B$14+P93*Assumptions!$B$15+Q93*Assumptions!$B$16</f>
        <v>0</v>
      </c>
      <c r="S93" s="13" t="str">
        <f>IF(R93&gt;=Assumptions!$B$20,"High",IF(R93&gt;=Assumptions!$B$21,"Medium",IF(R93&gt;=1,"Low","Clear")))</f>
        <v>Clear</v>
      </c>
      <c r="T93" s="13" t="str">
        <f t="shared" si="9"/>
        <v/>
      </c>
    </row>
    <row r="94" spans="1:20" x14ac:dyDescent="0.35">
      <c r="A94" s="13" t="s">
        <v>523</v>
      </c>
      <c r="B94" s="13" t="s">
        <v>218</v>
      </c>
      <c r="C94" s="13" t="s">
        <v>219</v>
      </c>
      <c r="D94" s="13" t="s">
        <v>524</v>
      </c>
      <c r="E94" s="14">
        <v>45768</v>
      </c>
      <c r="F94" s="14">
        <v>45803</v>
      </c>
      <c r="G94" s="15">
        <v>6876.01</v>
      </c>
      <c r="H94" s="13" t="s">
        <v>525</v>
      </c>
      <c r="I94" s="13" t="s">
        <v>526</v>
      </c>
      <c r="J94" s="13" t="s">
        <v>143</v>
      </c>
      <c r="K94" s="13">
        <f t="shared" si="5"/>
        <v>6</v>
      </c>
      <c r="L94" s="13">
        <f t="shared" si="6"/>
        <v>0</v>
      </c>
      <c r="M94" s="13">
        <f>IF(AND(L94=0,COUNTIFS($B$2:$B$1534,B94,$G$2:$G$1534,G94,$E$2:$E$1534,"&gt;="&amp;(E94-Assumptions!$B$5),$E$2:$E$1534,"&lt;="&amp;(E94+Assumptions!$B$5))&gt;1),1,0)</f>
        <v>0</v>
      </c>
      <c r="N94" s="13">
        <f>IF(AND(G94&gt;=Assumptions!$B$4*(1-Assumptions!$B$6),G94&lt;Assumptions!$B$4),1,0)</f>
        <v>0</v>
      </c>
      <c r="O94" s="13">
        <f>IF(AND(G94&gt;=Assumptions!$B$7,MOD(G94,Assumptions!$B$7)=0),1,0)</f>
        <v>0</v>
      </c>
      <c r="P94" s="13">
        <f t="shared" si="7"/>
        <v>0</v>
      </c>
      <c r="Q94" s="13">
        <f t="shared" si="8"/>
        <v>0</v>
      </c>
      <c r="R94" s="13">
        <f>L94*Assumptions!$B$11+M94*Assumptions!$B$12+N94*Assumptions!$B$13+O94*Assumptions!$B$14+P94*Assumptions!$B$15+Q94*Assumptions!$B$16</f>
        <v>0</v>
      </c>
      <c r="S94" s="13" t="str">
        <f>IF(R94&gt;=Assumptions!$B$20,"High",IF(R94&gt;=Assumptions!$B$21,"Medium",IF(R94&gt;=1,"Low","Clear")))</f>
        <v>Clear</v>
      </c>
      <c r="T94" s="13" t="str">
        <f t="shared" si="9"/>
        <v/>
      </c>
    </row>
    <row r="95" spans="1:20" x14ac:dyDescent="0.35">
      <c r="A95" s="13" t="s">
        <v>527</v>
      </c>
      <c r="B95" s="13" t="s">
        <v>317</v>
      </c>
      <c r="C95" s="13" t="s">
        <v>318</v>
      </c>
      <c r="D95" s="13" t="s">
        <v>528</v>
      </c>
      <c r="E95" s="14">
        <v>45769</v>
      </c>
      <c r="F95" s="14">
        <v>45803</v>
      </c>
      <c r="G95" s="15">
        <v>1138.22</v>
      </c>
      <c r="H95" s="13" t="s">
        <v>529</v>
      </c>
      <c r="I95" s="13" t="s">
        <v>530</v>
      </c>
      <c r="J95" s="13" t="s">
        <v>91</v>
      </c>
      <c r="K95" s="13">
        <f t="shared" si="5"/>
        <v>1</v>
      </c>
      <c r="L95" s="13">
        <f t="shared" si="6"/>
        <v>0</v>
      </c>
      <c r="M95" s="13">
        <f>IF(AND(L95=0,COUNTIFS($B$2:$B$1534,B95,$G$2:$G$1534,G95,$E$2:$E$1534,"&gt;="&amp;(E95-Assumptions!$B$5),$E$2:$E$1534,"&lt;="&amp;(E95+Assumptions!$B$5))&gt;1),1,0)</f>
        <v>0</v>
      </c>
      <c r="N95" s="13">
        <f>IF(AND(G95&gt;=Assumptions!$B$4*(1-Assumptions!$B$6),G95&lt;Assumptions!$B$4),1,0)</f>
        <v>0</v>
      </c>
      <c r="O95" s="13">
        <f>IF(AND(G95&gt;=Assumptions!$B$7,MOD(G95,Assumptions!$B$7)=0),1,0)</f>
        <v>0</v>
      </c>
      <c r="P95" s="13">
        <f t="shared" si="7"/>
        <v>0</v>
      </c>
      <c r="Q95" s="13">
        <f t="shared" si="8"/>
        <v>0</v>
      </c>
      <c r="R95" s="13">
        <f>L95*Assumptions!$B$11+M95*Assumptions!$B$12+N95*Assumptions!$B$13+O95*Assumptions!$B$14+P95*Assumptions!$B$15+Q95*Assumptions!$B$16</f>
        <v>0</v>
      </c>
      <c r="S95" s="13" t="str">
        <f>IF(R95&gt;=Assumptions!$B$20,"High",IF(R95&gt;=Assumptions!$B$21,"Medium",IF(R95&gt;=1,"Low","Clear")))</f>
        <v>Clear</v>
      </c>
      <c r="T95" s="13" t="str">
        <f t="shared" si="9"/>
        <v/>
      </c>
    </row>
    <row r="96" spans="1:20" x14ac:dyDescent="0.35">
      <c r="A96" s="13" t="s">
        <v>531</v>
      </c>
      <c r="B96" s="13" t="s">
        <v>323</v>
      </c>
      <c r="C96" s="13" t="s">
        <v>324</v>
      </c>
      <c r="D96" s="13" t="s">
        <v>532</v>
      </c>
      <c r="E96" s="14">
        <v>45772</v>
      </c>
      <c r="F96" s="14">
        <v>45803</v>
      </c>
      <c r="G96" s="15">
        <v>464698.87</v>
      </c>
      <c r="H96" s="13" t="s">
        <v>533</v>
      </c>
      <c r="I96" s="13" t="s">
        <v>534</v>
      </c>
      <c r="J96" s="13" t="s">
        <v>136</v>
      </c>
      <c r="K96" s="13">
        <f t="shared" si="5"/>
        <v>4</v>
      </c>
      <c r="L96" s="13">
        <f t="shared" si="6"/>
        <v>0</v>
      </c>
      <c r="M96" s="13">
        <f>IF(AND(L96=0,COUNTIFS($B$2:$B$1534,B96,$G$2:$G$1534,G96,$E$2:$E$1534,"&gt;="&amp;(E96-Assumptions!$B$5),$E$2:$E$1534,"&lt;="&amp;(E96+Assumptions!$B$5))&gt;1),1,0)</f>
        <v>0</v>
      </c>
      <c r="N96" s="13">
        <f>IF(AND(G96&gt;=Assumptions!$B$4*(1-Assumptions!$B$6),G96&lt;Assumptions!$B$4),1,0)</f>
        <v>0</v>
      </c>
      <c r="O96" s="13">
        <f>IF(AND(G96&gt;=Assumptions!$B$7,MOD(G96,Assumptions!$B$7)=0),1,0)</f>
        <v>0</v>
      </c>
      <c r="P96" s="13">
        <f t="shared" si="7"/>
        <v>0</v>
      </c>
      <c r="Q96" s="13">
        <f t="shared" si="8"/>
        <v>0</v>
      </c>
      <c r="R96" s="13">
        <f>L96*Assumptions!$B$11+M96*Assumptions!$B$12+N96*Assumptions!$B$13+O96*Assumptions!$B$14+P96*Assumptions!$B$15+Q96*Assumptions!$B$16</f>
        <v>0</v>
      </c>
      <c r="S96" s="13" t="str">
        <f>IF(R96&gt;=Assumptions!$B$20,"High",IF(R96&gt;=Assumptions!$B$21,"Medium",IF(R96&gt;=1,"Low","Clear")))</f>
        <v>Clear</v>
      </c>
      <c r="T96" s="13" t="str">
        <f t="shared" si="9"/>
        <v/>
      </c>
    </row>
    <row r="97" spans="1:20" x14ac:dyDescent="0.35">
      <c r="A97" s="13" t="s">
        <v>535</v>
      </c>
      <c r="B97" s="13" t="s">
        <v>155</v>
      </c>
      <c r="C97" s="13" t="s">
        <v>156</v>
      </c>
      <c r="D97" s="13" t="s">
        <v>536</v>
      </c>
      <c r="E97" s="14">
        <v>45765</v>
      </c>
      <c r="F97" s="14">
        <v>45803</v>
      </c>
      <c r="G97" s="15">
        <v>12433.22</v>
      </c>
      <c r="H97" s="13" t="s">
        <v>537</v>
      </c>
      <c r="I97" s="13" t="s">
        <v>538</v>
      </c>
      <c r="J97" s="13" t="s">
        <v>170</v>
      </c>
      <c r="K97" s="13">
        <f t="shared" si="5"/>
        <v>1</v>
      </c>
      <c r="L97" s="13">
        <f t="shared" si="6"/>
        <v>0</v>
      </c>
      <c r="M97" s="13">
        <f>IF(AND(L97=0,COUNTIFS($B$2:$B$1534,B97,$G$2:$G$1534,G97,$E$2:$E$1534,"&gt;="&amp;(E97-Assumptions!$B$5),$E$2:$E$1534,"&lt;="&amp;(E97+Assumptions!$B$5))&gt;1),1,0)</f>
        <v>0</v>
      </c>
      <c r="N97" s="13">
        <f>IF(AND(G97&gt;=Assumptions!$B$4*(1-Assumptions!$B$6),G97&lt;Assumptions!$B$4),1,0)</f>
        <v>0</v>
      </c>
      <c r="O97" s="13">
        <f>IF(AND(G97&gt;=Assumptions!$B$7,MOD(G97,Assumptions!$B$7)=0),1,0)</f>
        <v>0</v>
      </c>
      <c r="P97" s="13">
        <f t="shared" si="7"/>
        <v>0</v>
      </c>
      <c r="Q97" s="13">
        <f t="shared" si="8"/>
        <v>0</v>
      </c>
      <c r="R97" s="13">
        <f>L97*Assumptions!$B$11+M97*Assumptions!$B$12+N97*Assumptions!$B$13+O97*Assumptions!$B$14+P97*Assumptions!$B$15+Q97*Assumptions!$B$16</f>
        <v>0</v>
      </c>
      <c r="S97" s="13" t="str">
        <f>IF(R97&gt;=Assumptions!$B$20,"High",IF(R97&gt;=Assumptions!$B$21,"Medium",IF(R97&gt;=1,"Low","Clear")))</f>
        <v>Clear</v>
      </c>
      <c r="T97" s="13" t="str">
        <f t="shared" si="9"/>
        <v/>
      </c>
    </row>
    <row r="98" spans="1:20" x14ac:dyDescent="0.35">
      <c r="A98" s="13" t="s">
        <v>539</v>
      </c>
      <c r="B98" s="13" t="s">
        <v>155</v>
      </c>
      <c r="C98" s="13" t="s">
        <v>156</v>
      </c>
      <c r="D98" s="13" t="s">
        <v>540</v>
      </c>
      <c r="E98" s="14">
        <v>45770</v>
      </c>
      <c r="F98" s="14">
        <v>45803</v>
      </c>
      <c r="G98" s="15">
        <v>12385.06</v>
      </c>
      <c r="H98" s="13" t="s">
        <v>541</v>
      </c>
      <c r="I98" s="13" t="s">
        <v>542</v>
      </c>
      <c r="J98" s="13" t="s">
        <v>98</v>
      </c>
      <c r="K98" s="13">
        <f t="shared" si="5"/>
        <v>1</v>
      </c>
      <c r="L98" s="13">
        <f t="shared" si="6"/>
        <v>0</v>
      </c>
      <c r="M98" s="13">
        <f>IF(AND(L98=0,COUNTIFS($B$2:$B$1534,B98,$G$2:$G$1534,G98,$E$2:$E$1534,"&gt;="&amp;(E98-Assumptions!$B$5),$E$2:$E$1534,"&lt;="&amp;(E98+Assumptions!$B$5))&gt;1),1,0)</f>
        <v>0</v>
      </c>
      <c r="N98" s="13">
        <f>IF(AND(G98&gt;=Assumptions!$B$4*(1-Assumptions!$B$6),G98&lt;Assumptions!$B$4),1,0)</f>
        <v>0</v>
      </c>
      <c r="O98" s="13">
        <f>IF(AND(G98&gt;=Assumptions!$B$7,MOD(G98,Assumptions!$B$7)=0),1,0)</f>
        <v>0</v>
      </c>
      <c r="P98" s="13">
        <f t="shared" si="7"/>
        <v>0</v>
      </c>
      <c r="Q98" s="13">
        <f t="shared" si="8"/>
        <v>0</v>
      </c>
      <c r="R98" s="13">
        <f>L98*Assumptions!$B$11+M98*Assumptions!$B$12+N98*Assumptions!$B$13+O98*Assumptions!$B$14+P98*Assumptions!$B$15+Q98*Assumptions!$B$16</f>
        <v>0</v>
      </c>
      <c r="S98" s="13" t="str">
        <f>IF(R98&gt;=Assumptions!$B$20,"High",IF(R98&gt;=Assumptions!$B$21,"Medium",IF(R98&gt;=1,"Low","Clear")))</f>
        <v>Clear</v>
      </c>
      <c r="T98" s="13" t="str">
        <f t="shared" si="9"/>
        <v/>
      </c>
    </row>
    <row r="99" spans="1:20" x14ac:dyDescent="0.35">
      <c r="A99" s="13" t="s">
        <v>543</v>
      </c>
      <c r="B99" s="13" t="s">
        <v>476</v>
      </c>
      <c r="C99" s="13" t="s">
        <v>477</v>
      </c>
      <c r="D99" s="13" t="s">
        <v>544</v>
      </c>
      <c r="E99" s="14">
        <v>45779</v>
      </c>
      <c r="F99" s="14">
        <v>45803</v>
      </c>
      <c r="G99" s="15">
        <v>6907.61</v>
      </c>
      <c r="H99" s="13" t="s">
        <v>545</v>
      </c>
      <c r="I99" s="13" t="s">
        <v>546</v>
      </c>
      <c r="J99" s="13" t="s">
        <v>143</v>
      </c>
      <c r="K99" s="13">
        <f t="shared" si="5"/>
        <v>6</v>
      </c>
      <c r="L99" s="13">
        <f t="shared" si="6"/>
        <v>0</v>
      </c>
      <c r="M99" s="13">
        <f>IF(AND(L99=0,COUNTIFS($B$2:$B$1534,B99,$G$2:$G$1534,G99,$E$2:$E$1534,"&gt;="&amp;(E99-Assumptions!$B$5),$E$2:$E$1534,"&lt;="&amp;(E99+Assumptions!$B$5))&gt;1),1,0)</f>
        <v>0</v>
      </c>
      <c r="N99" s="13">
        <f>IF(AND(G99&gt;=Assumptions!$B$4*(1-Assumptions!$B$6),G99&lt;Assumptions!$B$4),1,0)</f>
        <v>0</v>
      </c>
      <c r="O99" s="13">
        <f>IF(AND(G99&gt;=Assumptions!$B$7,MOD(G99,Assumptions!$B$7)=0),1,0)</f>
        <v>0</v>
      </c>
      <c r="P99" s="13">
        <f t="shared" si="7"/>
        <v>0</v>
      </c>
      <c r="Q99" s="13">
        <f t="shared" si="8"/>
        <v>0</v>
      </c>
      <c r="R99" s="13">
        <f>L99*Assumptions!$B$11+M99*Assumptions!$B$12+N99*Assumptions!$B$13+O99*Assumptions!$B$14+P99*Assumptions!$B$15+Q99*Assumptions!$B$16</f>
        <v>0</v>
      </c>
      <c r="S99" s="13" t="str">
        <f>IF(R99&gt;=Assumptions!$B$20,"High",IF(R99&gt;=Assumptions!$B$21,"Medium",IF(R99&gt;=1,"Low","Clear")))</f>
        <v>Clear</v>
      </c>
      <c r="T99" s="13" t="str">
        <f t="shared" si="9"/>
        <v/>
      </c>
    </row>
    <row r="100" spans="1:20" x14ac:dyDescent="0.35">
      <c r="A100" s="13" t="s">
        <v>547</v>
      </c>
      <c r="B100" s="13" t="s">
        <v>438</v>
      </c>
      <c r="C100" s="13" t="s">
        <v>439</v>
      </c>
      <c r="D100" s="13" t="s">
        <v>548</v>
      </c>
      <c r="E100" s="14">
        <v>45776</v>
      </c>
      <c r="F100" s="14">
        <v>45803</v>
      </c>
      <c r="G100" s="15">
        <v>53342.86</v>
      </c>
      <c r="H100" s="13" t="s">
        <v>549</v>
      </c>
      <c r="I100" s="13" t="s">
        <v>550</v>
      </c>
      <c r="J100" s="13" t="s">
        <v>143</v>
      </c>
      <c r="K100" s="13">
        <f t="shared" si="5"/>
        <v>5</v>
      </c>
      <c r="L100" s="13">
        <f t="shared" si="6"/>
        <v>0</v>
      </c>
      <c r="M100" s="13">
        <f>IF(AND(L100=0,COUNTIFS($B$2:$B$1534,B100,$G$2:$G$1534,G100,$E$2:$E$1534,"&gt;="&amp;(E100-Assumptions!$B$5),$E$2:$E$1534,"&lt;="&amp;(E100+Assumptions!$B$5))&gt;1),1,0)</f>
        <v>0</v>
      </c>
      <c r="N100" s="13">
        <f>IF(AND(G100&gt;=Assumptions!$B$4*(1-Assumptions!$B$6),G100&lt;Assumptions!$B$4),1,0)</f>
        <v>0</v>
      </c>
      <c r="O100" s="13">
        <f>IF(AND(G100&gt;=Assumptions!$B$7,MOD(G100,Assumptions!$B$7)=0),1,0)</f>
        <v>0</v>
      </c>
      <c r="P100" s="13">
        <f t="shared" si="7"/>
        <v>0</v>
      </c>
      <c r="Q100" s="13">
        <f t="shared" si="8"/>
        <v>0</v>
      </c>
      <c r="R100" s="13">
        <f>L100*Assumptions!$B$11+M100*Assumptions!$B$12+N100*Assumptions!$B$13+O100*Assumptions!$B$14+P100*Assumptions!$B$15+Q100*Assumptions!$B$16</f>
        <v>0</v>
      </c>
      <c r="S100" s="13" t="str">
        <f>IF(R100&gt;=Assumptions!$B$20,"High",IF(R100&gt;=Assumptions!$B$21,"Medium",IF(R100&gt;=1,"Low","Clear")))</f>
        <v>Clear</v>
      </c>
      <c r="T100" s="13" t="str">
        <f t="shared" si="9"/>
        <v/>
      </c>
    </row>
    <row r="101" spans="1:20" x14ac:dyDescent="0.35">
      <c r="A101" s="13" t="s">
        <v>551</v>
      </c>
      <c r="B101" s="13" t="s">
        <v>106</v>
      </c>
      <c r="C101" s="13" t="s">
        <v>107</v>
      </c>
      <c r="D101" s="13" t="s">
        <v>552</v>
      </c>
      <c r="E101" s="14">
        <v>45774</v>
      </c>
      <c r="F101" s="14">
        <v>45803</v>
      </c>
      <c r="G101" s="15">
        <v>354640.18</v>
      </c>
      <c r="H101" s="13" t="s">
        <v>553</v>
      </c>
      <c r="I101" s="13" t="s">
        <v>554</v>
      </c>
      <c r="J101" s="13" t="s">
        <v>91</v>
      </c>
      <c r="K101" s="13">
        <f t="shared" si="5"/>
        <v>3</v>
      </c>
      <c r="L101" s="13">
        <f t="shared" si="6"/>
        <v>0</v>
      </c>
      <c r="M101" s="13">
        <f>IF(AND(L101=0,COUNTIFS($B$2:$B$1534,B101,$G$2:$G$1534,G101,$E$2:$E$1534,"&gt;="&amp;(E101-Assumptions!$B$5),$E$2:$E$1534,"&lt;="&amp;(E101+Assumptions!$B$5))&gt;1),1,0)</f>
        <v>0</v>
      </c>
      <c r="N101" s="13">
        <f>IF(AND(G101&gt;=Assumptions!$B$4*(1-Assumptions!$B$6),G101&lt;Assumptions!$B$4),1,0)</f>
        <v>0</v>
      </c>
      <c r="O101" s="13">
        <f>IF(AND(G101&gt;=Assumptions!$B$7,MOD(G101,Assumptions!$B$7)=0),1,0)</f>
        <v>0</v>
      </c>
      <c r="P101" s="13">
        <f t="shared" si="7"/>
        <v>0</v>
      </c>
      <c r="Q101" s="13">
        <f t="shared" si="8"/>
        <v>0</v>
      </c>
      <c r="R101" s="13">
        <f>L101*Assumptions!$B$11+M101*Assumptions!$B$12+N101*Assumptions!$B$13+O101*Assumptions!$B$14+P101*Assumptions!$B$15+Q101*Assumptions!$B$16</f>
        <v>0</v>
      </c>
      <c r="S101" s="13" t="str">
        <f>IF(R101&gt;=Assumptions!$B$20,"High",IF(R101&gt;=Assumptions!$B$21,"Medium",IF(R101&gt;=1,"Low","Clear")))</f>
        <v>Clear</v>
      </c>
      <c r="T101" s="13" t="str">
        <f t="shared" si="9"/>
        <v/>
      </c>
    </row>
    <row r="102" spans="1:20" x14ac:dyDescent="0.35">
      <c r="A102" s="13" t="s">
        <v>555</v>
      </c>
      <c r="B102" s="13" t="s">
        <v>556</v>
      </c>
      <c r="C102" s="13" t="s">
        <v>557</v>
      </c>
      <c r="D102" s="13" t="s">
        <v>558</v>
      </c>
      <c r="E102" s="14">
        <v>45777</v>
      </c>
      <c r="F102" s="14">
        <v>45803</v>
      </c>
      <c r="G102" s="15">
        <v>9100.0400000000009</v>
      </c>
      <c r="H102" s="13" t="s">
        <v>559</v>
      </c>
      <c r="I102" s="13" t="s">
        <v>560</v>
      </c>
      <c r="J102" s="13" t="s">
        <v>170</v>
      </c>
      <c r="K102" s="13">
        <f t="shared" si="5"/>
        <v>9</v>
      </c>
      <c r="L102" s="13">
        <f t="shared" si="6"/>
        <v>0</v>
      </c>
      <c r="M102" s="13">
        <f>IF(AND(L102=0,COUNTIFS($B$2:$B$1534,B102,$G$2:$G$1534,G102,$E$2:$E$1534,"&gt;="&amp;(E102-Assumptions!$B$5),$E$2:$E$1534,"&lt;="&amp;(E102+Assumptions!$B$5))&gt;1),1,0)</f>
        <v>0</v>
      </c>
      <c r="N102" s="13">
        <f>IF(AND(G102&gt;=Assumptions!$B$4*(1-Assumptions!$B$6),G102&lt;Assumptions!$B$4),1,0)</f>
        <v>0</v>
      </c>
      <c r="O102" s="13">
        <f>IF(AND(G102&gt;=Assumptions!$B$7,MOD(G102,Assumptions!$B$7)=0),1,0)</f>
        <v>0</v>
      </c>
      <c r="P102" s="13">
        <f t="shared" si="7"/>
        <v>0</v>
      </c>
      <c r="Q102" s="13">
        <f t="shared" si="8"/>
        <v>0</v>
      </c>
      <c r="R102" s="13">
        <f>L102*Assumptions!$B$11+M102*Assumptions!$B$12+N102*Assumptions!$B$13+O102*Assumptions!$B$14+P102*Assumptions!$B$15+Q102*Assumptions!$B$16</f>
        <v>0</v>
      </c>
      <c r="S102" s="13" t="str">
        <f>IF(R102&gt;=Assumptions!$B$20,"High",IF(R102&gt;=Assumptions!$B$21,"Medium",IF(R102&gt;=1,"Low","Clear")))</f>
        <v>Clear</v>
      </c>
      <c r="T102" s="13" t="str">
        <f t="shared" si="9"/>
        <v/>
      </c>
    </row>
    <row r="103" spans="1:20" x14ac:dyDescent="0.35">
      <c r="A103" s="13" t="s">
        <v>561</v>
      </c>
      <c r="B103" s="13" t="s">
        <v>556</v>
      </c>
      <c r="C103" s="13" t="s">
        <v>557</v>
      </c>
      <c r="D103" s="13" t="s">
        <v>562</v>
      </c>
      <c r="E103" s="14">
        <v>45769</v>
      </c>
      <c r="F103" s="14">
        <v>45803</v>
      </c>
      <c r="G103" s="15">
        <v>34418.050000000003</v>
      </c>
      <c r="H103" s="13" t="s">
        <v>563</v>
      </c>
      <c r="I103" s="13" t="s">
        <v>564</v>
      </c>
      <c r="J103" s="13" t="s">
        <v>98</v>
      </c>
      <c r="K103" s="13">
        <f t="shared" si="5"/>
        <v>3</v>
      </c>
      <c r="L103" s="13">
        <f t="shared" si="6"/>
        <v>0</v>
      </c>
      <c r="M103" s="13">
        <f>IF(AND(L103=0,COUNTIFS($B$2:$B$1534,B103,$G$2:$G$1534,G103,$E$2:$E$1534,"&gt;="&amp;(E103-Assumptions!$B$5),$E$2:$E$1534,"&lt;="&amp;(E103+Assumptions!$B$5))&gt;1),1,0)</f>
        <v>0</v>
      </c>
      <c r="N103" s="13">
        <f>IF(AND(G103&gt;=Assumptions!$B$4*(1-Assumptions!$B$6),G103&lt;Assumptions!$B$4),1,0)</f>
        <v>0</v>
      </c>
      <c r="O103" s="13">
        <f>IF(AND(G103&gt;=Assumptions!$B$7,MOD(G103,Assumptions!$B$7)=0),1,0)</f>
        <v>0</v>
      </c>
      <c r="P103" s="13">
        <f t="shared" si="7"/>
        <v>0</v>
      </c>
      <c r="Q103" s="13">
        <f t="shared" si="8"/>
        <v>0</v>
      </c>
      <c r="R103" s="13">
        <f>L103*Assumptions!$B$11+M103*Assumptions!$B$12+N103*Assumptions!$B$13+O103*Assumptions!$B$14+P103*Assumptions!$B$15+Q103*Assumptions!$B$16</f>
        <v>0</v>
      </c>
      <c r="S103" s="13" t="str">
        <f>IF(R103&gt;=Assumptions!$B$20,"High",IF(R103&gt;=Assumptions!$B$21,"Medium",IF(R103&gt;=1,"Low","Clear")))</f>
        <v>Clear</v>
      </c>
      <c r="T103" s="13" t="str">
        <f t="shared" si="9"/>
        <v/>
      </c>
    </row>
    <row r="104" spans="1:20" x14ac:dyDescent="0.35">
      <c r="A104" s="13" t="s">
        <v>565</v>
      </c>
      <c r="B104" s="13" t="s">
        <v>409</v>
      </c>
      <c r="C104" s="13" t="s">
        <v>410</v>
      </c>
      <c r="D104" s="13" t="s">
        <v>566</v>
      </c>
      <c r="E104" s="14">
        <v>45768</v>
      </c>
      <c r="F104" s="14">
        <v>45804</v>
      </c>
      <c r="G104" s="15">
        <v>10598.26</v>
      </c>
      <c r="H104" s="13" t="s">
        <v>567</v>
      </c>
      <c r="I104" s="13" t="s">
        <v>568</v>
      </c>
      <c r="J104" s="13" t="s">
        <v>143</v>
      </c>
      <c r="K104" s="13">
        <f t="shared" si="5"/>
        <v>1</v>
      </c>
      <c r="L104" s="13">
        <f t="shared" si="6"/>
        <v>0</v>
      </c>
      <c r="M104" s="13">
        <f>IF(AND(L104=0,COUNTIFS($B$2:$B$1534,B104,$G$2:$G$1534,G104,$E$2:$E$1534,"&gt;="&amp;(E104-Assumptions!$B$5),$E$2:$E$1534,"&lt;="&amp;(E104+Assumptions!$B$5))&gt;1),1,0)</f>
        <v>0</v>
      </c>
      <c r="N104" s="13">
        <f>IF(AND(G104&gt;=Assumptions!$B$4*(1-Assumptions!$B$6),G104&lt;Assumptions!$B$4),1,0)</f>
        <v>0</v>
      </c>
      <c r="O104" s="13">
        <f>IF(AND(G104&gt;=Assumptions!$B$7,MOD(G104,Assumptions!$B$7)=0),1,0)</f>
        <v>0</v>
      </c>
      <c r="P104" s="13">
        <f t="shared" si="7"/>
        <v>0</v>
      </c>
      <c r="Q104" s="13">
        <f t="shared" si="8"/>
        <v>0</v>
      </c>
      <c r="R104" s="13">
        <f>L104*Assumptions!$B$11+M104*Assumptions!$B$12+N104*Assumptions!$B$13+O104*Assumptions!$B$14+P104*Assumptions!$B$15+Q104*Assumptions!$B$16</f>
        <v>0</v>
      </c>
      <c r="S104" s="13" t="str">
        <f>IF(R104&gt;=Assumptions!$B$20,"High",IF(R104&gt;=Assumptions!$B$21,"Medium",IF(R104&gt;=1,"Low","Clear")))</f>
        <v>Clear</v>
      </c>
      <c r="T104" s="13" t="str">
        <f t="shared" si="9"/>
        <v/>
      </c>
    </row>
    <row r="105" spans="1:20" x14ac:dyDescent="0.35">
      <c r="A105" s="13" t="s">
        <v>569</v>
      </c>
      <c r="B105" s="13" t="s">
        <v>252</v>
      </c>
      <c r="C105" s="13" t="s">
        <v>253</v>
      </c>
      <c r="D105" s="13" t="s">
        <v>570</v>
      </c>
      <c r="E105" s="14">
        <v>45776</v>
      </c>
      <c r="F105" s="14">
        <v>45804</v>
      </c>
      <c r="G105" s="15">
        <v>212304.27</v>
      </c>
      <c r="H105" s="13" t="s">
        <v>571</v>
      </c>
      <c r="I105" s="13" t="s">
        <v>572</v>
      </c>
      <c r="J105" s="13" t="s">
        <v>98</v>
      </c>
      <c r="K105" s="13">
        <f t="shared" si="5"/>
        <v>2</v>
      </c>
      <c r="L105" s="13">
        <f t="shared" si="6"/>
        <v>0</v>
      </c>
      <c r="M105" s="13">
        <f>IF(AND(L105=0,COUNTIFS($B$2:$B$1534,B105,$G$2:$G$1534,G105,$E$2:$E$1534,"&gt;="&amp;(E105-Assumptions!$B$5),$E$2:$E$1534,"&lt;="&amp;(E105+Assumptions!$B$5))&gt;1),1,0)</f>
        <v>0</v>
      </c>
      <c r="N105" s="13">
        <f>IF(AND(G105&gt;=Assumptions!$B$4*(1-Assumptions!$B$6),G105&lt;Assumptions!$B$4),1,0)</f>
        <v>0</v>
      </c>
      <c r="O105" s="13">
        <f>IF(AND(G105&gt;=Assumptions!$B$7,MOD(G105,Assumptions!$B$7)=0),1,0)</f>
        <v>0</v>
      </c>
      <c r="P105" s="13">
        <f t="shared" si="7"/>
        <v>0</v>
      </c>
      <c r="Q105" s="13">
        <f t="shared" si="8"/>
        <v>0</v>
      </c>
      <c r="R105" s="13">
        <f>L105*Assumptions!$B$11+M105*Assumptions!$B$12+N105*Assumptions!$B$13+O105*Assumptions!$B$14+P105*Assumptions!$B$15+Q105*Assumptions!$B$16</f>
        <v>0</v>
      </c>
      <c r="S105" s="13" t="str">
        <f>IF(R105&gt;=Assumptions!$B$20,"High",IF(R105&gt;=Assumptions!$B$21,"Medium",IF(R105&gt;=1,"Low","Clear")))</f>
        <v>Clear</v>
      </c>
      <c r="T105" s="13" t="str">
        <f t="shared" si="9"/>
        <v/>
      </c>
    </row>
    <row r="106" spans="1:20" x14ac:dyDescent="0.35">
      <c r="A106" s="13" t="s">
        <v>573</v>
      </c>
      <c r="B106" s="13" t="s">
        <v>86</v>
      </c>
      <c r="C106" s="13" t="s">
        <v>87</v>
      </c>
      <c r="D106" s="13" t="s">
        <v>574</v>
      </c>
      <c r="E106" s="14">
        <v>45773</v>
      </c>
      <c r="F106" s="14">
        <v>45805</v>
      </c>
      <c r="G106" s="15">
        <v>71451.63</v>
      </c>
      <c r="H106" s="13" t="s">
        <v>575</v>
      </c>
      <c r="I106" s="13" t="s">
        <v>576</v>
      </c>
      <c r="J106" s="13" t="s">
        <v>143</v>
      </c>
      <c r="K106" s="13">
        <f t="shared" si="5"/>
        <v>7</v>
      </c>
      <c r="L106" s="13">
        <f t="shared" si="6"/>
        <v>0</v>
      </c>
      <c r="M106" s="13">
        <f>IF(AND(L106=0,COUNTIFS($B$2:$B$1534,B106,$G$2:$G$1534,G106,$E$2:$E$1534,"&gt;="&amp;(E106-Assumptions!$B$5),$E$2:$E$1534,"&lt;="&amp;(E106+Assumptions!$B$5))&gt;1),1,0)</f>
        <v>0</v>
      </c>
      <c r="N106" s="13">
        <f>IF(AND(G106&gt;=Assumptions!$B$4*(1-Assumptions!$B$6),G106&lt;Assumptions!$B$4),1,0)</f>
        <v>0</v>
      </c>
      <c r="O106" s="13">
        <f>IF(AND(G106&gt;=Assumptions!$B$7,MOD(G106,Assumptions!$B$7)=0),1,0)</f>
        <v>0</v>
      </c>
      <c r="P106" s="13">
        <f t="shared" si="7"/>
        <v>0</v>
      </c>
      <c r="Q106" s="13">
        <f t="shared" si="8"/>
        <v>0</v>
      </c>
      <c r="R106" s="13">
        <f>L106*Assumptions!$B$11+M106*Assumptions!$B$12+N106*Assumptions!$B$13+O106*Assumptions!$B$14+P106*Assumptions!$B$15+Q106*Assumptions!$B$16</f>
        <v>0</v>
      </c>
      <c r="S106" s="13" t="str">
        <f>IF(R106&gt;=Assumptions!$B$20,"High",IF(R106&gt;=Assumptions!$B$21,"Medium",IF(R106&gt;=1,"Low","Clear")))</f>
        <v>Clear</v>
      </c>
      <c r="T106" s="13" t="str">
        <f t="shared" si="9"/>
        <v/>
      </c>
    </row>
    <row r="107" spans="1:20" x14ac:dyDescent="0.35">
      <c r="A107" s="13" t="s">
        <v>577</v>
      </c>
      <c r="B107" s="13" t="s">
        <v>339</v>
      </c>
      <c r="C107" s="13" t="s">
        <v>340</v>
      </c>
      <c r="D107" s="13" t="s">
        <v>578</v>
      </c>
      <c r="E107" s="14">
        <v>45783</v>
      </c>
      <c r="F107" s="14">
        <v>45805</v>
      </c>
      <c r="G107" s="15">
        <v>10349.299999999999</v>
      </c>
      <c r="H107" s="13" t="s">
        <v>579</v>
      </c>
      <c r="I107" s="13" t="s">
        <v>580</v>
      </c>
      <c r="J107" s="13" t="s">
        <v>98</v>
      </c>
      <c r="K107" s="13">
        <f t="shared" si="5"/>
        <v>1</v>
      </c>
      <c r="L107" s="13">
        <f t="shared" si="6"/>
        <v>0</v>
      </c>
      <c r="M107" s="13">
        <f>IF(AND(L107=0,COUNTIFS($B$2:$B$1534,B107,$G$2:$G$1534,G107,$E$2:$E$1534,"&gt;="&amp;(E107-Assumptions!$B$5),$E$2:$E$1534,"&lt;="&amp;(E107+Assumptions!$B$5))&gt;1),1,0)</f>
        <v>0</v>
      </c>
      <c r="N107" s="13">
        <f>IF(AND(G107&gt;=Assumptions!$B$4*(1-Assumptions!$B$6),G107&lt;Assumptions!$B$4),1,0)</f>
        <v>0</v>
      </c>
      <c r="O107" s="13">
        <f>IF(AND(G107&gt;=Assumptions!$B$7,MOD(G107,Assumptions!$B$7)=0),1,0)</f>
        <v>0</v>
      </c>
      <c r="P107" s="13">
        <f t="shared" si="7"/>
        <v>0</v>
      </c>
      <c r="Q107" s="13">
        <f t="shared" si="8"/>
        <v>0</v>
      </c>
      <c r="R107" s="13">
        <f>L107*Assumptions!$B$11+M107*Assumptions!$B$12+N107*Assumptions!$B$13+O107*Assumptions!$B$14+P107*Assumptions!$B$15+Q107*Assumptions!$B$16</f>
        <v>0</v>
      </c>
      <c r="S107" s="13" t="str">
        <f>IF(R107&gt;=Assumptions!$B$20,"High",IF(R107&gt;=Assumptions!$B$21,"Medium",IF(R107&gt;=1,"Low","Clear")))</f>
        <v>Clear</v>
      </c>
      <c r="T107" s="13" t="str">
        <f t="shared" si="9"/>
        <v/>
      </c>
    </row>
    <row r="108" spans="1:20" x14ac:dyDescent="0.35">
      <c r="A108" s="13" t="s">
        <v>581</v>
      </c>
      <c r="B108" s="13" t="s">
        <v>307</v>
      </c>
      <c r="C108" s="13" t="s">
        <v>308</v>
      </c>
      <c r="D108" s="13" t="s">
        <v>582</v>
      </c>
      <c r="E108" s="14">
        <v>45776</v>
      </c>
      <c r="F108" s="14">
        <v>45806</v>
      </c>
      <c r="G108" s="15">
        <v>230853.04</v>
      </c>
      <c r="H108" s="13" t="s">
        <v>583</v>
      </c>
      <c r="I108" s="13" t="s">
        <v>584</v>
      </c>
      <c r="J108" s="13" t="s">
        <v>111</v>
      </c>
      <c r="K108" s="13">
        <f t="shared" si="5"/>
        <v>2</v>
      </c>
      <c r="L108" s="13">
        <f t="shared" si="6"/>
        <v>0</v>
      </c>
      <c r="M108" s="13">
        <f>IF(AND(L108=0,COUNTIFS($B$2:$B$1534,B108,$G$2:$G$1534,G108,$E$2:$E$1534,"&gt;="&amp;(E108-Assumptions!$B$5),$E$2:$E$1534,"&lt;="&amp;(E108+Assumptions!$B$5))&gt;1),1,0)</f>
        <v>0</v>
      </c>
      <c r="N108" s="13">
        <f>IF(AND(G108&gt;=Assumptions!$B$4*(1-Assumptions!$B$6),G108&lt;Assumptions!$B$4),1,0)</f>
        <v>0</v>
      </c>
      <c r="O108" s="13">
        <f>IF(AND(G108&gt;=Assumptions!$B$7,MOD(G108,Assumptions!$B$7)=0),1,0)</f>
        <v>0</v>
      </c>
      <c r="P108" s="13">
        <f t="shared" si="7"/>
        <v>0</v>
      </c>
      <c r="Q108" s="13">
        <f t="shared" si="8"/>
        <v>0</v>
      </c>
      <c r="R108" s="13">
        <f>L108*Assumptions!$B$11+M108*Assumptions!$B$12+N108*Assumptions!$B$13+O108*Assumptions!$B$14+P108*Assumptions!$B$15+Q108*Assumptions!$B$16</f>
        <v>0</v>
      </c>
      <c r="S108" s="13" t="str">
        <f>IF(R108&gt;=Assumptions!$B$20,"High",IF(R108&gt;=Assumptions!$B$21,"Medium",IF(R108&gt;=1,"Low","Clear")))</f>
        <v>Clear</v>
      </c>
      <c r="T108" s="13" t="str">
        <f t="shared" si="9"/>
        <v/>
      </c>
    </row>
    <row r="109" spans="1:20" x14ac:dyDescent="0.35">
      <c r="A109" s="13" t="s">
        <v>585</v>
      </c>
      <c r="B109" s="13" t="s">
        <v>317</v>
      </c>
      <c r="C109" s="13" t="s">
        <v>318</v>
      </c>
      <c r="D109" s="13" t="s">
        <v>586</v>
      </c>
      <c r="E109" s="14">
        <v>45768</v>
      </c>
      <c r="F109" s="14">
        <v>45808</v>
      </c>
      <c r="G109" s="15">
        <v>14527.59</v>
      </c>
      <c r="H109" s="13" t="s">
        <v>587</v>
      </c>
      <c r="I109" s="13" t="s">
        <v>588</v>
      </c>
      <c r="J109" s="13" t="s">
        <v>143</v>
      </c>
      <c r="K109" s="13">
        <f t="shared" si="5"/>
        <v>1</v>
      </c>
      <c r="L109" s="13">
        <f t="shared" si="6"/>
        <v>0</v>
      </c>
      <c r="M109" s="13">
        <f>IF(AND(L109=0,COUNTIFS($B$2:$B$1534,B109,$G$2:$G$1534,G109,$E$2:$E$1534,"&gt;="&amp;(E109-Assumptions!$B$5),$E$2:$E$1534,"&lt;="&amp;(E109+Assumptions!$B$5))&gt;1),1,0)</f>
        <v>0</v>
      </c>
      <c r="N109" s="13">
        <f>IF(AND(G109&gt;=Assumptions!$B$4*(1-Assumptions!$B$6),G109&lt;Assumptions!$B$4),1,0)</f>
        <v>0</v>
      </c>
      <c r="O109" s="13">
        <f>IF(AND(G109&gt;=Assumptions!$B$7,MOD(G109,Assumptions!$B$7)=0),1,0)</f>
        <v>0</v>
      </c>
      <c r="P109" s="13">
        <f t="shared" si="7"/>
        <v>0</v>
      </c>
      <c r="Q109" s="13">
        <f t="shared" si="8"/>
        <v>1</v>
      </c>
      <c r="R109" s="13">
        <f>L109*Assumptions!$B$11+M109*Assumptions!$B$12+N109*Assumptions!$B$13+O109*Assumptions!$B$14+P109*Assumptions!$B$15+Q109*Assumptions!$B$16</f>
        <v>1</v>
      </c>
      <c r="S109" s="13" t="str">
        <f>IF(R109&gt;=Assumptions!$B$20,"High",IF(R109&gt;=Assumptions!$B$21,"Medium",IF(R109&gt;=1,"Low","Clear")))</f>
        <v>Low</v>
      </c>
      <c r="T109" s="13" t="str">
        <f t="shared" si="9"/>
        <v xml:space="preserve">Weekend payment; </v>
      </c>
    </row>
    <row r="110" spans="1:20" x14ac:dyDescent="0.35">
      <c r="A110" s="13" t="s">
        <v>589</v>
      </c>
      <c r="B110" s="13" t="s">
        <v>438</v>
      </c>
      <c r="C110" s="13" t="s">
        <v>439</v>
      </c>
      <c r="D110" s="13" t="s">
        <v>590</v>
      </c>
      <c r="E110" s="14">
        <v>45774</v>
      </c>
      <c r="F110" s="14">
        <v>45808</v>
      </c>
      <c r="G110" s="15">
        <v>4706.16</v>
      </c>
      <c r="H110" s="13" t="s">
        <v>591</v>
      </c>
      <c r="I110" s="13" t="s">
        <v>592</v>
      </c>
      <c r="J110" s="13" t="s">
        <v>111</v>
      </c>
      <c r="K110" s="13">
        <f t="shared" si="5"/>
        <v>4</v>
      </c>
      <c r="L110" s="13">
        <f t="shared" si="6"/>
        <v>0</v>
      </c>
      <c r="M110" s="13">
        <f>IF(AND(L110=0,COUNTIFS($B$2:$B$1534,B110,$G$2:$G$1534,G110,$E$2:$E$1534,"&gt;="&amp;(E110-Assumptions!$B$5),$E$2:$E$1534,"&lt;="&amp;(E110+Assumptions!$B$5))&gt;1),1,0)</f>
        <v>0</v>
      </c>
      <c r="N110" s="13">
        <f>IF(AND(G110&gt;=Assumptions!$B$4*(1-Assumptions!$B$6),G110&lt;Assumptions!$B$4),1,0)</f>
        <v>0</v>
      </c>
      <c r="O110" s="13">
        <f>IF(AND(G110&gt;=Assumptions!$B$7,MOD(G110,Assumptions!$B$7)=0),1,0)</f>
        <v>0</v>
      </c>
      <c r="P110" s="13">
        <f t="shared" si="7"/>
        <v>0</v>
      </c>
      <c r="Q110" s="13">
        <f t="shared" si="8"/>
        <v>1</v>
      </c>
      <c r="R110" s="13">
        <f>L110*Assumptions!$B$11+M110*Assumptions!$B$12+N110*Assumptions!$B$13+O110*Assumptions!$B$14+P110*Assumptions!$B$15+Q110*Assumptions!$B$16</f>
        <v>1</v>
      </c>
      <c r="S110" s="13" t="str">
        <f>IF(R110&gt;=Assumptions!$B$20,"High",IF(R110&gt;=Assumptions!$B$21,"Medium",IF(R110&gt;=1,"Low","Clear")))</f>
        <v>Low</v>
      </c>
      <c r="T110" s="13" t="str">
        <f t="shared" si="9"/>
        <v xml:space="preserve">Weekend payment; </v>
      </c>
    </row>
    <row r="111" spans="1:20" x14ac:dyDescent="0.35">
      <c r="A111" s="13" t="s">
        <v>593</v>
      </c>
      <c r="B111" s="13" t="s">
        <v>188</v>
      </c>
      <c r="C111" s="13" t="s">
        <v>189</v>
      </c>
      <c r="D111" s="13" t="s">
        <v>594</v>
      </c>
      <c r="E111" s="14">
        <v>45778</v>
      </c>
      <c r="F111" s="14">
        <v>45810</v>
      </c>
      <c r="G111" s="15">
        <v>85846.91</v>
      </c>
      <c r="H111" s="13" t="s">
        <v>595</v>
      </c>
      <c r="I111" s="13" t="s">
        <v>596</v>
      </c>
      <c r="J111" s="13" t="s">
        <v>111</v>
      </c>
      <c r="K111" s="13">
        <f t="shared" si="5"/>
        <v>8</v>
      </c>
      <c r="L111" s="13">
        <f t="shared" si="6"/>
        <v>0</v>
      </c>
      <c r="M111" s="13">
        <f>IF(AND(L111=0,COUNTIFS($B$2:$B$1534,B111,$G$2:$G$1534,G111,$E$2:$E$1534,"&gt;="&amp;(E111-Assumptions!$B$5),$E$2:$E$1534,"&lt;="&amp;(E111+Assumptions!$B$5))&gt;1),1,0)</f>
        <v>0</v>
      </c>
      <c r="N111" s="13">
        <f>IF(AND(G111&gt;=Assumptions!$B$4*(1-Assumptions!$B$6),G111&lt;Assumptions!$B$4),1,0)</f>
        <v>0</v>
      </c>
      <c r="O111" s="13">
        <f>IF(AND(G111&gt;=Assumptions!$B$7,MOD(G111,Assumptions!$B$7)=0),1,0)</f>
        <v>0</v>
      </c>
      <c r="P111" s="13">
        <f t="shared" si="7"/>
        <v>0</v>
      </c>
      <c r="Q111" s="13">
        <f t="shared" si="8"/>
        <v>0</v>
      </c>
      <c r="R111" s="13">
        <f>L111*Assumptions!$B$11+M111*Assumptions!$B$12+N111*Assumptions!$B$13+O111*Assumptions!$B$14+P111*Assumptions!$B$15+Q111*Assumptions!$B$16</f>
        <v>0</v>
      </c>
      <c r="S111" s="13" t="str">
        <f>IF(R111&gt;=Assumptions!$B$20,"High",IF(R111&gt;=Assumptions!$B$21,"Medium",IF(R111&gt;=1,"Low","Clear")))</f>
        <v>Clear</v>
      </c>
      <c r="T111" s="13" t="str">
        <f t="shared" si="9"/>
        <v/>
      </c>
    </row>
    <row r="112" spans="1:20" x14ac:dyDescent="0.35">
      <c r="A112" s="13" t="s">
        <v>597</v>
      </c>
      <c r="B112" s="13" t="s">
        <v>131</v>
      </c>
      <c r="C112" s="13" t="s">
        <v>132</v>
      </c>
      <c r="D112" s="13" t="s">
        <v>598</v>
      </c>
      <c r="E112" s="14">
        <v>45773</v>
      </c>
      <c r="F112" s="14">
        <v>45810</v>
      </c>
      <c r="G112" s="15">
        <v>4657.1400000000003</v>
      </c>
      <c r="H112" s="13" t="s">
        <v>599</v>
      </c>
      <c r="I112" s="13" t="s">
        <v>600</v>
      </c>
      <c r="J112" s="13" t="s">
        <v>98</v>
      </c>
      <c r="K112" s="13">
        <f t="shared" si="5"/>
        <v>4</v>
      </c>
      <c r="L112" s="13">
        <f t="shared" si="6"/>
        <v>0</v>
      </c>
      <c r="M112" s="13">
        <f>IF(AND(L112=0,COUNTIFS($B$2:$B$1534,B112,$G$2:$G$1534,G112,$E$2:$E$1534,"&gt;="&amp;(E112-Assumptions!$B$5),$E$2:$E$1534,"&lt;="&amp;(E112+Assumptions!$B$5))&gt;1),1,0)</f>
        <v>0</v>
      </c>
      <c r="N112" s="13">
        <f>IF(AND(G112&gt;=Assumptions!$B$4*(1-Assumptions!$B$6),G112&lt;Assumptions!$B$4),1,0)</f>
        <v>0</v>
      </c>
      <c r="O112" s="13">
        <f>IF(AND(G112&gt;=Assumptions!$B$7,MOD(G112,Assumptions!$B$7)=0),1,0)</f>
        <v>0</v>
      </c>
      <c r="P112" s="13">
        <f t="shared" si="7"/>
        <v>0</v>
      </c>
      <c r="Q112" s="13">
        <f t="shared" si="8"/>
        <v>0</v>
      </c>
      <c r="R112" s="13">
        <f>L112*Assumptions!$B$11+M112*Assumptions!$B$12+N112*Assumptions!$B$13+O112*Assumptions!$B$14+P112*Assumptions!$B$15+Q112*Assumptions!$B$16</f>
        <v>0</v>
      </c>
      <c r="S112" s="13" t="str">
        <f>IF(R112&gt;=Assumptions!$B$20,"High",IF(R112&gt;=Assumptions!$B$21,"Medium",IF(R112&gt;=1,"Low","Clear")))</f>
        <v>Clear</v>
      </c>
      <c r="T112" s="13" t="str">
        <f t="shared" si="9"/>
        <v/>
      </c>
    </row>
    <row r="113" spans="1:20" x14ac:dyDescent="0.35">
      <c r="A113" s="13" t="s">
        <v>601</v>
      </c>
      <c r="B113" s="13" t="s">
        <v>145</v>
      </c>
      <c r="C113" s="13" t="s">
        <v>146</v>
      </c>
      <c r="D113" s="13" t="s">
        <v>602</v>
      </c>
      <c r="E113" s="14">
        <v>45772</v>
      </c>
      <c r="F113" s="14">
        <v>45810</v>
      </c>
      <c r="G113" s="15">
        <v>1696.67</v>
      </c>
      <c r="H113" s="13" t="s">
        <v>603</v>
      </c>
      <c r="I113" s="13" t="s">
        <v>604</v>
      </c>
      <c r="J113" s="13" t="s">
        <v>111</v>
      </c>
      <c r="K113" s="13">
        <f t="shared" si="5"/>
        <v>1</v>
      </c>
      <c r="L113" s="13">
        <f t="shared" si="6"/>
        <v>0</v>
      </c>
      <c r="M113" s="13">
        <f>IF(AND(L113=0,COUNTIFS($B$2:$B$1534,B113,$G$2:$G$1534,G113,$E$2:$E$1534,"&gt;="&amp;(E113-Assumptions!$B$5),$E$2:$E$1534,"&lt;="&amp;(E113+Assumptions!$B$5))&gt;1),1,0)</f>
        <v>0</v>
      </c>
      <c r="N113" s="13">
        <f>IF(AND(G113&gt;=Assumptions!$B$4*(1-Assumptions!$B$6),G113&lt;Assumptions!$B$4),1,0)</f>
        <v>0</v>
      </c>
      <c r="O113" s="13">
        <f>IF(AND(G113&gt;=Assumptions!$B$7,MOD(G113,Assumptions!$B$7)=0),1,0)</f>
        <v>0</v>
      </c>
      <c r="P113" s="13">
        <f t="shared" si="7"/>
        <v>0</v>
      </c>
      <c r="Q113" s="13">
        <f t="shared" si="8"/>
        <v>0</v>
      </c>
      <c r="R113" s="13">
        <f>L113*Assumptions!$B$11+M113*Assumptions!$B$12+N113*Assumptions!$B$13+O113*Assumptions!$B$14+P113*Assumptions!$B$15+Q113*Assumptions!$B$16</f>
        <v>0</v>
      </c>
      <c r="S113" s="13" t="str">
        <f>IF(R113&gt;=Assumptions!$B$20,"High",IF(R113&gt;=Assumptions!$B$21,"Medium",IF(R113&gt;=1,"Low","Clear")))</f>
        <v>Clear</v>
      </c>
      <c r="T113" s="13" t="str">
        <f t="shared" si="9"/>
        <v/>
      </c>
    </row>
    <row r="114" spans="1:20" x14ac:dyDescent="0.35">
      <c r="A114" s="13" t="s">
        <v>605</v>
      </c>
      <c r="B114" s="13" t="s">
        <v>556</v>
      </c>
      <c r="C114" s="13" t="s">
        <v>557</v>
      </c>
      <c r="D114" s="13" t="s">
        <v>606</v>
      </c>
      <c r="E114" s="14">
        <v>45783</v>
      </c>
      <c r="F114" s="14">
        <v>45810</v>
      </c>
      <c r="G114" s="15">
        <v>13634.34</v>
      </c>
      <c r="H114" s="13" t="s">
        <v>607</v>
      </c>
      <c r="I114" s="13" t="s">
        <v>608</v>
      </c>
      <c r="J114" s="13" t="s">
        <v>111</v>
      </c>
      <c r="K114" s="13">
        <f t="shared" si="5"/>
        <v>1</v>
      </c>
      <c r="L114" s="13">
        <f t="shared" si="6"/>
        <v>0</v>
      </c>
      <c r="M114" s="13">
        <f>IF(AND(L114=0,COUNTIFS($B$2:$B$1534,B114,$G$2:$G$1534,G114,$E$2:$E$1534,"&gt;="&amp;(E114-Assumptions!$B$5),$E$2:$E$1534,"&lt;="&amp;(E114+Assumptions!$B$5))&gt;1),1,0)</f>
        <v>0</v>
      </c>
      <c r="N114" s="13">
        <f>IF(AND(G114&gt;=Assumptions!$B$4*(1-Assumptions!$B$6),G114&lt;Assumptions!$B$4),1,0)</f>
        <v>0</v>
      </c>
      <c r="O114" s="13">
        <f>IF(AND(G114&gt;=Assumptions!$B$7,MOD(G114,Assumptions!$B$7)=0),1,0)</f>
        <v>0</v>
      </c>
      <c r="P114" s="13">
        <f t="shared" si="7"/>
        <v>0</v>
      </c>
      <c r="Q114" s="13">
        <f t="shared" si="8"/>
        <v>0</v>
      </c>
      <c r="R114" s="13">
        <f>L114*Assumptions!$B$11+M114*Assumptions!$B$12+N114*Assumptions!$B$13+O114*Assumptions!$B$14+P114*Assumptions!$B$15+Q114*Assumptions!$B$16</f>
        <v>0</v>
      </c>
      <c r="S114" s="13" t="str">
        <f>IF(R114&gt;=Assumptions!$B$20,"High",IF(R114&gt;=Assumptions!$B$21,"Medium",IF(R114&gt;=1,"Low","Clear")))</f>
        <v>Clear</v>
      </c>
      <c r="T114" s="13" t="str">
        <f t="shared" si="9"/>
        <v/>
      </c>
    </row>
    <row r="115" spans="1:20" x14ac:dyDescent="0.35">
      <c r="A115" s="13" t="s">
        <v>609</v>
      </c>
      <c r="B115" s="13" t="s">
        <v>357</v>
      </c>
      <c r="C115" s="13" t="s">
        <v>358</v>
      </c>
      <c r="D115" s="13" t="s">
        <v>610</v>
      </c>
      <c r="E115" s="14">
        <v>45788</v>
      </c>
      <c r="F115" s="14">
        <v>45810</v>
      </c>
      <c r="G115" s="15">
        <v>2586.23</v>
      </c>
      <c r="H115" s="13" t="s">
        <v>611</v>
      </c>
      <c r="I115" s="13" t="s">
        <v>612</v>
      </c>
      <c r="J115" s="13" t="s">
        <v>143</v>
      </c>
      <c r="K115" s="13">
        <f t="shared" si="5"/>
        <v>2</v>
      </c>
      <c r="L115" s="13">
        <f t="shared" si="6"/>
        <v>0</v>
      </c>
      <c r="M115" s="13">
        <f>IF(AND(L115=0,COUNTIFS($B$2:$B$1534,B115,$G$2:$G$1534,G115,$E$2:$E$1534,"&gt;="&amp;(E115-Assumptions!$B$5),$E$2:$E$1534,"&lt;="&amp;(E115+Assumptions!$B$5))&gt;1),1,0)</f>
        <v>0</v>
      </c>
      <c r="N115" s="13">
        <f>IF(AND(G115&gt;=Assumptions!$B$4*(1-Assumptions!$B$6),G115&lt;Assumptions!$B$4),1,0)</f>
        <v>0</v>
      </c>
      <c r="O115" s="13">
        <f>IF(AND(G115&gt;=Assumptions!$B$7,MOD(G115,Assumptions!$B$7)=0),1,0)</f>
        <v>0</v>
      </c>
      <c r="P115" s="13">
        <f t="shared" si="7"/>
        <v>0</v>
      </c>
      <c r="Q115" s="13">
        <f t="shared" si="8"/>
        <v>0</v>
      </c>
      <c r="R115" s="13">
        <f>L115*Assumptions!$B$11+M115*Assumptions!$B$12+N115*Assumptions!$B$13+O115*Assumptions!$B$14+P115*Assumptions!$B$15+Q115*Assumptions!$B$16</f>
        <v>0</v>
      </c>
      <c r="S115" s="13" t="str">
        <f>IF(R115&gt;=Assumptions!$B$20,"High",IF(R115&gt;=Assumptions!$B$21,"Medium",IF(R115&gt;=1,"Low","Clear")))</f>
        <v>Clear</v>
      </c>
      <c r="T115" s="13" t="str">
        <f t="shared" si="9"/>
        <v/>
      </c>
    </row>
    <row r="116" spans="1:20" x14ac:dyDescent="0.35">
      <c r="A116" s="13" t="s">
        <v>613</v>
      </c>
      <c r="B116" s="13" t="s">
        <v>498</v>
      </c>
      <c r="C116" s="13" t="s">
        <v>499</v>
      </c>
      <c r="D116" s="13" t="s">
        <v>614</v>
      </c>
      <c r="E116" s="14">
        <v>45783</v>
      </c>
      <c r="F116" s="14">
        <v>45811</v>
      </c>
      <c r="G116" s="15">
        <v>207981.83</v>
      </c>
      <c r="H116" s="13" t="s">
        <v>615</v>
      </c>
      <c r="I116" s="13" t="s">
        <v>616</v>
      </c>
      <c r="J116" s="13" t="s">
        <v>91</v>
      </c>
      <c r="K116" s="13">
        <f t="shared" si="5"/>
        <v>2</v>
      </c>
      <c r="L116" s="13">
        <f t="shared" si="6"/>
        <v>0</v>
      </c>
      <c r="M116" s="13">
        <f>IF(AND(L116=0,COUNTIFS($B$2:$B$1534,B116,$G$2:$G$1534,G116,$E$2:$E$1534,"&gt;="&amp;(E116-Assumptions!$B$5),$E$2:$E$1534,"&lt;="&amp;(E116+Assumptions!$B$5))&gt;1),1,0)</f>
        <v>0</v>
      </c>
      <c r="N116" s="13">
        <f>IF(AND(G116&gt;=Assumptions!$B$4*(1-Assumptions!$B$6),G116&lt;Assumptions!$B$4),1,0)</f>
        <v>0</v>
      </c>
      <c r="O116" s="13">
        <f>IF(AND(G116&gt;=Assumptions!$B$7,MOD(G116,Assumptions!$B$7)=0),1,0)</f>
        <v>0</v>
      </c>
      <c r="P116" s="13">
        <f t="shared" si="7"/>
        <v>0</v>
      </c>
      <c r="Q116" s="13">
        <f t="shared" si="8"/>
        <v>0</v>
      </c>
      <c r="R116" s="13">
        <f>L116*Assumptions!$B$11+M116*Assumptions!$B$12+N116*Assumptions!$B$13+O116*Assumptions!$B$14+P116*Assumptions!$B$15+Q116*Assumptions!$B$16</f>
        <v>0</v>
      </c>
      <c r="S116" s="13" t="str">
        <f>IF(R116&gt;=Assumptions!$B$20,"High",IF(R116&gt;=Assumptions!$B$21,"Medium",IF(R116&gt;=1,"Low","Clear")))</f>
        <v>Clear</v>
      </c>
      <c r="T116" s="13" t="str">
        <f t="shared" si="9"/>
        <v/>
      </c>
    </row>
    <row r="117" spans="1:20" x14ac:dyDescent="0.35">
      <c r="A117" s="13" t="s">
        <v>617</v>
      </c>
      <c r="B117" s="13" t="s">
        <v>218</v>
      </c>
      <c r="C117" s="13" t="s">
        <v>219</v>
      </c>
      <c r="D117" s="13" t="s">
        <v>618</v>
      </c>
      <c r="E117" s="14">
        <v>45781</v>
      </c>
      <c r="F117" s="14">
        <v>45811</v>
      </c>
      <c r="G117" s="15">
        <v>4214.1899999999996</v>
      </c>
      <c r="H117" s="13" t="s">
        <v>619</v>
      </c>
      <c r="I117" s="13" t="s">
        <v>620</v>
      </c>
      <c r="J117" s="13" t="s">
        <v>98</v>
      </c>
      <c r="K117" s="13">
        <f t="shared" si="5"/>
        <v>4</v>
      </c>
      <c r="L117" s="13">
        <f t="shared" si="6"/>
        <v>0</v>
      </c>
      <c r="M117" s="13">
        <f>IF(AND(L117=0,COUNTIFS($B$2:$B$1534,B117,$G$2:$G$1534,G117,$E$2:$E$1534,"&gt;="&amp;(E117-Assumptions!$B$5),$E$2:$E$1534,"&lt;="&amp;(E117+Assumptions!$B$5))&gt;1),1,0)</f>
        <v>0</v>
      </c>
      <c r="N117" s="13">
        <f>IF(AND(G117&gt;=Assumptions!$B$4*(1-Assumptions!$B$6),G117&lt;Assumptions!$B$4),1,0)</f>
        <v>0</v>
      </c>
      <c r="O117" s="13">
        <f>IF(AND(G117&gt;=Assumptions!$B$7,MOD(G117,Assumptions!$B$7)=0),1,0)</f>
        <v>0</v>
      </c>
      <c r="P117" s="13">
        <f t="shared" si="7"/>
        <v>0</v>
      </c>
      <c r="Q117" s="13">
        <f t="shared" si="8"/>
        <v>0</v>
      </c>
      <c r="R117" s="13">
        <f>L117*Assumptions!$B$11+M117*Assumptions!$B$12+N117*Assumptions!$B$13+O117*Assumptions!$B$14+P117*Assumptions!$B$15+Q117*Assumptions!$B$16</f>
        <v>0</v>
      </c>
      <c r="S117" s="13" t="str">
        <f>IF(R117&gt;=Assumptions!$B$20,"High",IF(R117&gt;=Assumptions!$B$21,"Medium",IF(R117&gt;=1,"Low","Clear")))</f>
        <v>Clear</v>
      </c>
      <c r="T117" s="13" t="str">
        <f t="shared" si="9"/>
        <v/>
      </c>
    </row>
    <row r="118" spans="1:20" x14ac:dyDescent="0.35">
      <c r="A118" s="13" t="s">
        <v>621</v>
      </c>
      <c r="B118" s="13" t="s">
        <v>161</v>
      </c>
      <c r="C118" s="13" t="s">
        <v>162</v>
      </c>
      <c r="D118" s="13" t="s">
        <v>622</v>
      </c>
      <c r="E118" s="14">
        <v>45791</v>
      </c>
      <c r="F118" s="14">
        <v>45811</v>
      </c>
      <c r="G118" s="15">
        <v>25506.14</v>
      </c>
      <c r="H118" s="13" t="s">
        <v>623</v>
      </c>
      <c r="I118" s="13" t="s">
        <v>624</v>
      </c>
      <c r="J118" s="13" t="s">
        <v>136</v>
      </c>
      <c r="K118" s="13">
        <f t="shared" si="5"/>
        <v>2</v>
      </c>
      <c r="L118" s="13">
        <f t="shared" si="6"/>
        <v>0</v>
      </c>
      <c r="M118" s="13">
        <f>IF(AND(L118=0,COUNTIFS($B$2:$B$1534,B118,$G$2:$G$1534,G118,$E$2:$E$1534,"&gt;="&amp;(E118-Assumptions!$B$5),$E$2:$E$1534,"&lt;="&amp;(E118+Assumptions!$B$5))&gt;1),1,0)</f>
        <v>0</v>
      </c>
      <c r="N118" s="13">
        <f>IF(AND(G118&gt;=Assumptions!$B$4*(1-Assumptions!$B$6),G118&lt;Assumptions!$B$4),1,0)</f>
        <v>0</v>
      </c>
      <c r="O118" s="13">
        <f>IF(AND(G118&gt;=Assumptions!$B$7,MOD(G118,Assumptions!$B$7)=0),1,0)</f>
        <v>0</v>
      </c>
      <c r="P118" s="13">
        <f t="shared" si="7"/>
        <v>0</v>
      </c>
      <c r="Q118" s="13">
        <f t="shared" si="8"/>
        <v>0</v>
      </c>
      <c r="R118" s="13">
        <f>L118*Assumptions!$B$11+M118*Assumptions!$B$12+N118*Assumptions!$B$13+O118*Assumptions!$B$14+P118*Assumptions!$B$15+Q118*Assumptions!$B$16</f>
        <v>0</v>
      </c>
      <c r="S118" s="13" t="str">
        <f>IF(R118&gt;=Assumptions!$B$20,"High",IF(R118&gt;=Assumptions!$B$21,"Medium",IF(R118&gt;=1,"Low","Clear")))</f>
        <v>Clear</v>
      </c>
      <c r="T118" s="13" t="str">
        <f t="shared" si="9"/>
        <v/>
      </c>
    </row>
    <row r="119" spans="1:20" x14ac:dyDescent="0.35">
      <c r="A119" s="13" t="s">
        <v>625</v>
      </c>
      <c r="B119" s="13" t="s">
        <v>106</v>
      </c>
      <c r="C119" s="13" t="s">
        <v>107</v>
      </c>
      <c r="D119" s="13" t="s">
        <v>626</v>
      </c>
      <c r="E119" s="14">
        <v>45779</v>
      </c>
      <c r="F119" s="14">
        <v>45811</v>
      </c>
      <c r="G119" s="15">
        <v>285243.43</v>
      </c>
      <c r="H119" s="13" t="s">
        <v>627</v>
      </c>
      <c r="I119" s="13" t="s">
        <v>628</v>
      </c>
      <c r="J119" s="13" t="s">
        <v>136</v>
      </c>
      <c r="K119" s="13">
        <f t="shared" si="5"/>
        <v>2</v>
      </c>
      <c r="L119" s="13">
        <f t="shared" si="6"/>
        <v>0</v>
      </c>
      <c r="M119" s="13">
        <f>IF(AND(L119=0,COUNTIFS($B$2:$B$1534,B119,$G$2:$G$1534,G119,$E$2:$E$1534,"&gt;="&amp;(E119-Assumptions!$B$5),$E$2:$E$1534,"&lt;="&amp;(E119+Assumptions!$B$5))&gt;1),1,0)</f>
        <v>0</v>
      </c>
      <c r="N119" s="13">
        <f>IF(AND(G119&gt;=Assumptions!$B$4*(1-Assumptions!$B$6),G119&lt;Assumptions!$B$4),1,0)</f>
        <v>0</v>
      </c>
      <c r="O119" s="13">
        <f>IF(AND(G119&gt;=Assumptions!$B$7,MOD(G119,Assumptions!$B$7)=0),1,0)</f>
        <v>0</v>
      </c>
      <c r="P119" s="13">
        <f t="shared" si="7"/>
        <v>0</v>
      </c>
      <c r="Q119" s="13">
        <f t="shared" si="8"/>
        <v>0</v>
      </c>
      <c r="R119" s="13">
        <f>L119*Assumptions!$B$11+M119*Assumptions!$B$12+N119*Assumptions!$B$13+O119*Assumptions!$B$14+P119*Assumptions!$B$15+Q119*Assumptions!$B$16</f>
        <v>0</v>
      </c>
      <c r="S119" s="13" t="str">
        <f>IF(R119&gt;=Assumptions!$B$20,"High",IF(R119&gt;=Assumptions!$B$21,"Medium",IF(R119&gt;=1,"Low","Clear")))</f>
        <v>Clear</v>
      </c>
      <c r="T119" s="13" t="str">
        <f t="shared" si="9"/>
        <v/>
      </c>
    </row>
    <row r="120" spans="1:20" x14ac:dyDescent="0.35">
      <c r="A120" s="13" t="s">
        <v>629</v>
      </c>
      <c r="B120" s="13" t="s">
        <v>113</v>
      </c>
      <c r="C120" s="13" t="s">
        <v>114</v>
      </c>
      <c r="D120" s="13" t="s">
        <v>630</v>
      </c>
      <c r="E120" s="14">
        <v>45791</v>
      </c>
      <c r="F120" s="14">
        <v>45812</v>
      </c>
      <c r="G120" s="15">
        <v>40954.39</v>
      </c>
      <c r="H120" s="13" t="s">
        <v>631</v>
      </c>
      <c r="I120" s="13" t="s">
        <v>632</v>
      </c>
      <c r="J120" s="13" t="s">
        <v>91</v>
      </c>
      <c r="K120" s="13">
        <f t="shared" si="5"/>
        <v>4</v>
      </c>
      <c r="L120" s="13">
        <f t="shared" si="6"/>
        <v>0</v>
      </c>
      <c r="M120" s="13">
        <f>IF(AND(L120=0,COUNTIFS($B$2:$B$1534,B120,$G$2:$G$1534,G120,$E$2:$E$1534,"&gt;="&amp;(E120-Assumptions!$B$5),$E$2:$E$1534,"&lt;="&amp;(E120+Assumptions!$B$5))&gt;1),1,0)</f>
        <v>0</v>
      </c>
      <c r="N120" s="13">
        <f>IF(AND(G120&gt;=Assumptions!$B$4*(1-Assumptions!$B$6),G120&lt;Assumptions!$B$4),1,0)</f>
        <v>0</v>
      </c>
      <c r="O120" s="13">
        <f>IF(AND(G120&gt;=Assumptions!$B$7,MOD(G120,Assumptions!$B$7)=0),1,0)</f>
        <v>0</v>
      </c>
      <c r="P120" s="13">
        <f t="shared" si="7"/>
        <v>0</v>
      </c>
      <c r="Q120" s="13">
        <f t="shared" si="8"/>
        <v>0</v>
      </c>
      <c r="R120" s="13">
        <f>L120*Assumptions!$B$11+M120*Assumptions!$B$12+N120*Assumptions!$B$13+O120*Assumptions!$B$14+P120*Assumptions!$B$15+Q120*Assumptions!$B$16</f>
        <v>0</v>
      </c>
      <c r="S120" s="13" t="str">
        <f>IF(R120&gt;=Assumptions!$B$20,"High",IF(R120&gt;=Assumptions!$B$21,"Medium",IF(R120&gt;=1,"Low","Clear")))</f>
        <v>Clear</v>
      </c>
      <c r="T120" s="13" t="str">
        <f t="shared" si="9"/>
        <v/>
      </c>
    </row>
    <row r="121" spans="1:20" x14ac:dyDescent="0.35">
      <c r="A121" s="13" t="s">
        <v>633</v>
      </c>
      <c r="B121" s="13" t="s">
        <v>307</v>
      </c>
      <c r="C121" s="13" t="s">
        <v>308</v>
      </c>
      <c r="D121" s="13" t="s">
        <v>634</v>
      </c>
      <c r="E121" s="14">
        <v>45776</v>
      </c>
      <c r="F121" s="14">
        <v>45812</v>
      </c>
      <c r="G121" s="15">
        <v>685435.65</v>
      </c>
      <c r="H121" s="13" t="s">
        <v>635</v>
      </c>
      <c r="I121" s="13" t="s">
        <v>636</v>
      </c>
      <c r="J121" s="13" t="s">
        <v>111</v>
      </c>
      <c r="K121" s="13">
        <f t="shared" si="5"/>
        <v>6</v>
      </c>
      <c r="L121" s="13">
        <f t="shared" si="6"/>
        <v>0</v>
      </c>
      <c r="M121" s="13">
        <f>IF(AND(L121=0,COUNTIFS($B$2:$B$1534,B121,$G$2:$G$1534,G121,$E$2:$E$1534,"&gt;="&amp;(E121-Assumptions!$B$5),$E$2:$E$1534,"&lt;="&amp;(E121+Assumptions!$B$5))&gt;1),1,0)</f>
        <v>0</v>
      </c>
      <c r="N121" s="13">
        <f>IF(AND(G121&gt;=Assumptions!$B$4*(1-Assumptions!$B$6),G121&lt;Assumptions!$B$4),1,0)</f>
        <v>0</v>
      </c>
      <c r="O121" s="13">
        <f>IF(AND(G121&gt;=Assumptions!$B$7,MOD(G121,Assumptions!$B$7)=0),1,0)</f>
        <v>0</v>
      </c>
      <c r="P121" s="13">
        <f t="shared" si="7"/>
        <v>0</v>
      </c>
      <c r="Q121" s="13">
        <f t="shared" si="8"/>
        <v>0</v>
      </c>
      <c r="R121" s="13">
        <f>L121*Assumptions!$B$11+M121*Assumptions!$B$12+N121*Assumptions!$B$13+O121*Assumptions!$B$14+P121*Assumptions!$B$15+Q121*Assumptions!$B$16</f>
        <v>0</v>
      </c>
      <c r="S121" s="13" t="str">
        <f>IF(R121&gt;=Assumptions!$B$20,"High",IF(R121&gt;=Assumptions!$B$21,"Medium",IF(R121&gt;=1,"Low","Clear")))</f>
        <v>Clear</v>
      </c>
      <c r="T121" s="13" t="str">
        <f t="shared" si="9"/>
        <v/>
      </c>
    </row>
    <row r="122" spans="1:20" x14ac:dyDescent="0.35">
      <c r="A122" s="13" t="s">
        <v>637</v>
      </c>
      <c r="B122" s="13" t="s">
        <v>323</v>
      </c>
      <c r="C122" s="13" t="s">
        <v>324</v>
      </c>
      <c r="D122" s="13" t="s">
        <v>638</v>
      </c>
      <c r="E122" s="14">
        <v>45776</v>
      </c>
      <c r="F122" s="14">
        <v>45812</v>
      </c>
      <c r="G122" s="15">
        <v>7907.36</v>
      </c>
      <c r="H122" s="13" t="s">
        <v>639</v>
      </c>
      <c r="I122" s="13" t="s">
        <v>640</v>
      </c>
      <c r="J122" s="13" t="s">
        <v>170</v>
      </c>
      <c r="K122" s="13">
        <f t="shared" si="5"/>
        <v>7</v>
      </c>
      <c r="L122" s="13">
        <f t="shared" si="6"/>
        <v>0</v>
      </c>
      <c r="M122" s="13">
        <f>IF(AND(L122=0,COUNTIFS($B$2:$B$1534,B122,$G$2:$G$1534,G122,$E$2:$E$1534,"&gt;="&amp;(E122-Assumptions!$B$5),$E$2:$E$1534,"&lt;="&amp;(E122+Assumptions!$B$5))&gt;1),1,0)</f>
        <v>0</v>
      </c>
      <c r="N122" s="13">
        <f>IF(AND(G122&gt;=Assumptions!$B$4*(1-Assumptions!$B$6),G122&lt;Assumptions!$B$4),1,0)</f>
        <v>0</v>
      </c>
      <c r="O122" s="13">
        <f>IF(AND(G122&gt;=Assumptions!$B$7,MOD(G122,Assumptions!$B$7)=0),1,0)</f>
        <v>0</v>
      </c>
      <c r="P122" s="13">
        <f t="shared" si="7"/>
        <v>0</v>
      </c>
      <c r="Q122" s="13">
        <f t="shared" si="8"/>
        <v>0</v>
      </c>
      <c r="R122" s="13">
        <f>L122*Assumptions!$B$11+M122*Assumptions!$B$12+N122*Assumptions!$B$13+O122*Assumptions!$B$14+P122*Assumptions!$B$15+Q122*Assumptions!$B$16</f>
        <v>0</v>
      </c>
      <c r="S122" s="13" t="str">
        <f>IF(R122&gt;=Assumptions!$B$20,"High",IF(R122&gt;=Assumptions!$B$21,"Medium",IF(R122&gt;=1,"Low","Clear")))</f>
        <v>Clear</v>
      </c>
      <c r="T122" s="13" t="str">
        <f t="shared" si="9"/>
        <v/>
      </c>
    </row>
    <row r="123" spans="1:20" x14ac:dyDescent="0.35">
      <c r="A123" s="13" t="s">
        <v>641</v>
      </c>
      <c r="B123" s="13" t="s">
        <v>228</v>
      </c>
      <c r="C123" s="13" t="s">
        <v>229</v>
      </c>
      <c r="D123" s="13" t="s">
        <v>642</v>
      </c>
      <c r="E123" s="14">
        <v>45773</v>
      </c>
      <c r="F123" s="14">
        <v>45813</v>
      </c>
      <c r="G123" s="15">
        <v>995055.73</v>
      </c>
      <c r="H123" s="13" t="s">
        <v>643</v>
      </c>
      <c r="I123" s="13" t="s">
        <v>644</v>
      </c>
      <c r="J123" s="13" t="s">
        <v>143</v>
      </c>
      <c r="K123" s="13">
        <f t="shared" si="5"/>
        <v>9</v>
      </c>
      <c r="L123" s="13">
        <f t="shared" si="6"/>
        <v>0</v>
      </c>
      <c r="M123" s="13">
        <f>IF(AND(L123=0,COUNTIFS($B$2:$B$1534,B123,$G$2:$G$1534,G123,$E$2:$E$1534,"&gt;="&amp;(E123-Assumptions!$B$5),$E$2:$E$1534,"&lt;="&amp;(E123+Assumptions!$B$5))&gt;1),1,0)</f>
        <v>0</v>
      </c>
      <c r="N123" s="13">
        <f>IF(AND(G123&gt;=Assumptions!$B$4*(1-Assumptions!$B$6),G123&lt;Assumptions!$B$4),1,0)</f>
        <v>0</v>
      </c>
      <c r="O123" s="13">
        <f>IF(AND(G123&gt;=Assumptions!$B$7,MOD(G123,Assumptions!$B$7)=0),1,0)</f>
        <v>0</v>
      </c>
      <c r="P123" s="13">
        <f t="shared" si="7"/>
        <v>0</v>
      </c>
      <c r="Q123" s="13">
        <f t="shared" si="8"/>
        <v>0</v>
      </c>
      <c r="R123" s="13">
        <f>L123*Assumptions!$B$11+M123*Assumptions!$B$12+N123*Assumptions!$B$13+O123*Assumptions!$B$14+P123*Assumptions!$B$15+Q123*Assumptions!$B$16</f>
        <v>0</v>
      </c>
      <c r="S123" s="13" t="str">
        <f>IF(R123&gt;=Assumptions!$B$20,"High",IF(R123&gt;=Assumptions!$B$21,"Medium",IF(R123&gt;=1,"Low","Clear")))</f>
        <v>Clear</v>
      </c>
      <c r="T123" s="13" t="str">
        <f t="shared" si="9"/>
        <v/>
      </c>
    </row>
    <row r="124" spans="1:20" x14ac:dyDescent="0.35">
      <c r="A124" s="13" t="s">
        <v>645</v>
      </c>
      <c r="B124" s="13" t="s">
        <v>556</v>
      </c>
      <c r="C124" s="13" t="s">
        <v>557</v>
      </c>
      <c r="D124" s="13" t="s">
        <v>646</v>
      </c>
      <c r="E124" s="14">
        <v>45778</v>
      </c>
      <c r="F124" s="14">
        <v>45813</v>
      </c>
      <c r="G124" s="15">
        <v>2273.88</v>
      </c>
      <c r="H124" s="13" t="s">
        <v>647</v>
      </c>
      <c r="I124" s="13" t="s">
        <v>648</v>
      </c>
      <c r="J124" s="13" t="s">
        <v>111</v>
      </c>
      <c r="K124" s="13">
        <f t="shared" si="5"/>
        <v>2</v>
      </c>
      <c r="L124" s="13">
        <f t="shared" si="6"/>
        <v>0</v>
      </c>
      <c r="M124" s="13">
        <f>IF(AND(L124=0,COUNTIFS($B$2:$B$1534,B124,$G$2:$G$1534,G124,$E$2:$E$1534,"&gt;="&amp;(E124-Assumptions!$B$5),$E$2:$E$1534,"&lt;="&amp;(E124+Assumptions!$B$5))&gt;1),1,0)</f>
        <v>0</v>
      </c>
      <c r="N124" s="13">
        <f>IF(AND(G124&gt;=Assumptions!$B$4*(1-Assumptions!$B$6),G124&lt;Assumptions!$B$4),1,0)</f>
        <v>0</v>
      </c>
      <c r="O124" s="13">
        <f>IF(AND(G124&gt;=Assumptions!$B$7,MOD(G124,Assumptions!$B$7)=0),1,0)</f>
        <v>0</v>
      </c>
      <c r="P124" s="13">
        <f t="shared" si="7"/>
        <v>0</v>
      </c>
      <c r="Q124" s="13">
        <f t="shared" si="8"/>
        <v>0</v>
      </c>
      <c r="R124" s="13">
        <f>L124*Assumptions!$B$11+M124*Assumptions!$B$12+N124*Assumptions!$B$13+O124*Assumptions!$B$14+P124*Assumptions!$B$15+Q124*Assumptions!$B$16</f>
        <v>0</v>
      </c>
      <c r="S124" s="13" t="str">
        <f>IF(R124&gt;=Assumptions!$B$20,"High",IF(R124&gt;=Assumptions!$B$21,"Medium",IF(R124&gt;=1,"Low","Clear")))</f>
        <v>Clear</v>
      </c>
      <c r="T124" s="13" t="str">
        <f t="shared" si="9"/>
        <v/>
      </c>
    </row>
    <row r="125" spans="1:20" x14ac:dyDescent="0.35">
      <c r="A125" s="13" t="s">
        <v>649</v>
      </c>
      <c r="B125" s="13" t="s">
        <v>234</v>
      </c>
      <c r="C125" s="13" t="s">
        <v>235</v>
      </c>
      <c r="D125" s="13" t="s">
        <v>650</v>
      </c>
      <c r="E125" s="14">
        <v>45774</v>
      </c>
      <c r="F125" s="14">
        <v>45814</v>
      </c>
      <c r="G125" s="15">
        <v>27654.89</v>
      </c>
      <c r="H125" s="13" t="s">
        <v>651</v>
      </c>
      <c r="I125" s="13" t="s">
        <v>652</v>
      </c>
      <c r="J125" s="13" t="s">
        <v>111</v>
      </c>
      <c r="K125" s="13">
        <f t="shared" si="5"/>
        <v>2</v>
      </c>
      <c r="L125" s="13">
        <f t="shared" si="6"/>
        <v>0</v>
      </c>
      <c r="M125" s="13">
        <f>IF(AND(L125=0,COUNTIFS($B$2:$B$1534,B125,$G$2:$G$1534,G125,$E$2:$E$1534,"&gt;="&amp;(E125-Assumptions!$B$5),$E$2:$E$1534,"&lt;="&amp;(E125+Assumptions!$B$5))&gt;1),1,0)</f>
        <v>0</v>
      </c>
      <c r="N125" s="13">
        <f>IF(AND(G125&gt;=Assumptions!$B$4*(1-Assumptions!$B$6),G125&lt;Assumptions!$B$4),1,0)</f>
        <v>0</v>
      </c>
      <c r="O125" s="13">
        <f>IF(AND(G125&gt;=Assumptions!$B$7,MOD(G125,Assumptions!$B$7)=0),1,0)</f>
        <v>0</v>
      </c>
      <c r="P125" s="13">
        <f t="shared" si="7"/>
        <v>0</v>
      </c>
      <c r="Q125" s="13">
        <f t="shared" si="8"/>
        <v>0</v>
      </c>
      <c r="R125" s="13">
        <f>L125*Assumptions!$B$11+M125*Assumptions!$B$12+N125*Assumptions!$B$13+O125*Assumptions!$B$14+P125*Assumptions!$B$15+Q125*Assumptions!$B$16</f>
        <v>0</v>
      </c>
      <c r="S125" s="13" t="str">
        <f>IF(R125&gt;=Assumptions!$B$20,"High",IF(R125&gt;=Assumptions!$B$21,"Medium",IF(R125&gt;=1,"Low","Clear")))</f>
        <v>Clear</v>
      </c>
      <c r="T125" s="13" t="str">
        <f t="shared" si="9"/>
        <v/>
      </c>
    </row>
    <row r="126" spans="1:20" x14ac:dyDescent="0.35">
      <c r="A126" s="13" t="s">
        <v>653</v>
      </c>
      <c r="B126" s="13" t="s">
        <v>161</v>
      </c>
      <c r="C126" s="13" t="s">
        <v>162</v>
      </c>
      <c r="D126" s="13" t="s">
        <v>654</v>
      </c>
      <c r="E126" s="14">
        <v>45792</v>
      </c>
      <c r="F126" s="14">
        <v>45814</v>
      </c>
      <c r="G126" s="15">
        <v>14860.98</v>
      </c>
      <c r="H126" s="13" t="s">
        <v>655</v>
      </c>
      <c r="I126" s="13" t="s">
        <v>656</v>
      </c>
      <c r="J126" s="13" t="s">
        <v>111</v>
      </c>
      <c r="K126" s="13">
        <f t="shared" si="5"/>
        <v>1</v>
      </c>
      <c r="L126" s="13">
        <f t="shared" si="6"/>
        <v>0</v>
      </c>
      <c r="M126" s="13">
        <f>IF(AND(L126=0,COUNTIFS($B$2:$B$1534,B126,$G$2:$G$1534,G126,$E$2:$E$1534,"&gt;="&amp;(E126-Assumptions!$B$5),$E$2:$E$1534,"&lt;="&amp;(E126+Assumptions!$B$5))&gt;1),1,0)</f>
        <v>0</v>
      </c>
      <c r="N126" s="13">
        <f>IF(AND(G126&gt;=Assumptions!$B$4*(1-Assumptions!$B$6),G126&lt;Assumptions!$B$4),1,0)</f>
        <v>0</v>
      </c>
      <c r="O126" s="13">
        <f>IF(AND(G126&gt;=Assumptions!$B$7,MOD(G126,Assumptions!$B$7)=0),1,0)</f>
        <v>0</v>
      </c>
      <c r="P126" s="13">
        <f t="shared" si="7"/>
        <v>0</v>
      </c>
      <c r="Q126" s="13">
        <f t="shared" si="8"/>
        <v>0</v>
      </c>
      <c r="R126" s="13">
        <f>L126*Assumptions!$B$11+M126*Assumptions!$B$12+N126*Assumptions!$B$13+O126*Assumptions!$B$14+P126*Assumptions!$B$15+Q126*Assumptions!$B$16</f>
        <v>0</v>
      </c>
      <c r="S126" s="13" t="str">
        <f>IF(R126&gt;=Assumptions!$B$20,"High",IF(R126&gt;=Assumptions!$B$21,"Medium",IF(R126&gt;=1,"Low","Clear")))</f>
        <v>Clear</v>
      </c>
      <c r="T126" s="13" t="str">
        <f t="shared" si="9"/>
        <v/>
      </c>
    </row>
    <row r="127" spans="1:20" x14ac:dyDescent="0.35">
      <c r="A127" s="13" t="s">
        <v>657</v>
      </c>
      <c r="B127" s="13" t="s">
        <v>476</v>
      </c>
      <c r="C127" s="13" t="s">
        <v>477</v>
      </c>
      <c r="D127" s="13" t="s">
        <v>658</v>
      </c>
      <c r="E127" s="14">
        <v>45784</v>
      </c>
      <c r="F127" s="14">
        <v>45814</v>
      </c>
      <c r="G127" s="15">
        <v>2570.21</v>
      </c>
      <c r="H127" s="13" t="s">
        <v>659</v>
      </c>
      <c r="I127" s="13" t="s">
        <v>660</v>
      </c>
      <c r="J127" s="13" t="s">
        <v>143</v>
      </c>
      <c r="K127" s="13">
        <f t="shared" si="5"/>
        <v>2</v>
      </c>
      <c r="L127" s="13">
        <f t="shared" si="6"/>
        <v>0</v>
      </c>
      <c r="M127" s="13">
        <f>IF(AND(L127=0,COUNTIFS($B$2:$B$1534,B127,$G$2:$G$1534,G127,$E$2:$E$1534,"&gt;="&amp;(E127-Assumptions!$B$5),$E$2:$E$1534,"&lt;="&amp;(E127+Assumptions!$B$5))&gt;1),1,0)</f>
        <v>1</v>
      </c>
      <c r="N127" s="13">
        <f>IF(AND(G127&gt;=Assumptions!$B$4*(1-Assumptions!$B$6),G127&lt;Assumptions!$B$4),1,0)</f>
        <v>0</v>
      </c>
      <c r="O127" s="13">
        <f>IF(AND(G127&gt;=Assumptions!$B$7,MOD(G127,Assumptions!$B$7)=0),1,0)</f>
        <v>0</v>
      </c>
      <c r="P127" s="13">
        <f t="shared" si="7"/>
        <v>0</v>
      </c>
      <c r="Q127" s="13">
        <f t="shared" si="8"/>
        <v>0</v>
      </c>
      <c r="R127" s="13">
        <f>L127*Assumptions!$B$11+M127*Assumptions!$B$12+N127*Assumptions!$B$13+O127*Assumptions!$B$14+P127*Assumptions!$B$15+Q127*Assumptions!$B$16</f>
        <v>3</v>
      </c>
      <c r="S127" s="13" t="str">
        <f>IF(R127&gt;=Assumptions!$B$20,"High",IF(R127&gt;=Assumptions!$B$21,"Medium",IF(R127&gt;=1,"Low","Clear")))</f>
        <v>Medium</v>
      </c>
      <c r="T127" s="13" t="str">
        <f t="shared" si="9"/>
        <v xml:space="preserve">Near-duplicate; </v>
      </c>
    </row>
    <row r="128" spans="1:20" x14ac:dyDescent="0.35">
      <c r="A128" s="13" t="s">
        <v>661</v>
      </c>
      <c r="B128" s="13" t="s">
        <v>476</v>
      </c>
      <c r="C128" s="13" t="s">
        <v>477</v>
      </c>
      <c r="D128" s="13" t="s">
        <v>662</v>
      </c>
      <c r="E128" s="14">
        <v>45782</v>
      </c>
      <c r="F128" s="14">
        <v>45815</v>
      </c>
      <c r="G128" s="15">
        <v>1129.6600000000001</v>
      </c>
      <c r="H128" s="13" t="s">
        <v>663</v>
      </c>
      <c r="I128" s="13" t="s">
        <v>664</v>
      </c>
      <c r="J128" s="13" t="s">
        <v>98</v>
      </c>
      <c r="K128" s="13">
        <f t="shared" si="5"/>
        <v>1</v>
      </c>
      <c r="L128" s="13">
        <f t="shared" si="6"/>
        <v>0</v>
      </c>
      <c r="M128" s="13">
        <f>IF(AND(L128=0,COUNTIFS($B$2:$B$1534,B128,$G$2:$G$1534,G128,$E$2:$E$1534,"&gt;="&amp;(E128-Assumptions!$B$5),$E$2:$E$1534,"&lt;="&amp;(E128+Assumptions!$B$5))&gt;1),1,0)</f>
        <v>0</v>
      </c>
      <c r="N128" s="13">
        <f>IF(AND(G128&gt;=Assumptions!$B$4*(1-Assumptions!$B$6),G128&lt;Assumptions!$B$4),1,0)</f>
        <v>0</v>
      </c>
      <c r="O128" s="13">
        <f>IF(AND(G128&gt;=Assumptions!$B$7,MOD(G128,Assumptions!$B$7)=0),1,0)</f>
        <v>0</v>
      </c>
      <c r="P128" s="13">
        <f t="shared" si="7"/>
        <v>0</v>
      </c>
      <c r="Q128" s="13">
        <f t="shared" si="8"/>
        <v>1</v>
      </c>
      <c r="R128" s="13">
        <f>L128*Assumptions!$B$11+M128*Assumptions!$B$12+N128*Assumptions!$B$13+O128*Assumptions!$B$14+P128*Assumptions!$B$15+Q128*Assumptions!$B$16</f>
        <v>1</v>
      </c>
      <c r="S128" s="13" t="str">
        <f>IF(R128&gt;=Assumptions!$B$20,"High",IF(R128&gt;=Assumptions!$B$21,"Medium",IF(R128&gt;=1,"Low","Clear")))</f>
        <v>Low</v>
      </c>
      <c r="T128" s="13" t="str">
        <f t="shared" si="9"/>
        <v xml:space="preserve">Weekend payment; </v>
      </c>
    </row>
    <row r="129" spans="1:20" x14ac:dyDescent="0.35">
      <c r="A129" s="13" t="s">
        <v>665</v>
      </c>
      <c r="B129" s="13" t="s">
        <v>176</v>
      </c>
      <c r="C129" s="13" t="s">
        <v>177</v>
      </c>
      <c r="D129" s="13" t="s">
        <v>666</v>
      </c>
      <c r="E129" s="14">
        <v>45781</v>
      </c>
      <c r="F129" s="14">
        <v>45817</v>
      </c>
      <c r="G129" s="15">
        <v>1621.64</v>
      </c>
      <c r="H129" s="13" t="s">
        <v>667</v>
      </c>
      <c r="I129" s="13" t="s">
        <v>668</v>
      </c>
      <c r="J129" s="13" t="s">
        <v>136</v>
      </c>
      <c r="K129" s="13">
        <f t="shared" si="5"/>
        <v>1</v>
      </c>
      <c r="L129" s="13">
        <f t="shared" si="6"/>
        <v>0</v>
      </c>
      <c r="M129" s="13">
        <f>IF(AND(L129=0,COUNTIFS($B$2:$B$1534,B129,$G$2:$G$1534,G129,$E$2:$E$1534,"&gt;="&amp;(E129-Assumptions!$B$5),$E$2:$E$1534,"&lt;="&amp;(E129+Assumptions!$B$5))&gt;1),1,0)</f>
        <v>0</v>
      </c>
      <c r="N129" s="13">
        <f>IF(AND(G129&gt;=Assumptions!$B$4*(1-Assumptions!$B$6),G129&lt;Assumptions!$B$4),1,0)</f>
        <v>0</v>
      </c>
      <c r="O129" s="13">
        <f>IF(AND(G129&gt;=Assumptions!$B$7,MOD(G129,Assumptions!$B$7)=0),1,0)</f>
        <v>0</v>
      </c>
      <c r="P129" s="13">
        <f t="shared" si="7"/>
        <v>0</v>
      </c>
      <c r="Q129" s="13">
        <f t="shared" si="8"/>
        <v>0</v>
      </c>
      <c r="R129" s="13">
        <f>L129*Assumptions!$B$11+M129*Assumptions!$B$12+N129*Assumptions!$B$13+O129*Assumptions!$B$14+P129*Assumptions!$B$15+Q129*Assumptions!$B$16</f>
        <v>0</v>
      </c>
      <c r="S129" s="13" t="str">
        <f>IF(R129&gt;=Assumptions!$B$20,"High",IF(R129&gt;=Assumptions!$B$21,"Medium",IF(R129&gt;=1,"Low","Clear")))</f>
        <v>Clear</v>
      </c>
      <c r="T129" s="13" t="str">
        <f t="shared" si="9"/>
        <v/>
      </c>
    </row>
    <row r="130" spans="1:20" x14ac:dyDescent="0.35">
      <c r="A130" s="13" t="s">
        <v>669</v>
      </c>
      <c r="B130" s="13" t="s">
        <v>670</v>
      </c>
      <c r="C130" s="13" t="s">
        <v>671</v>
      </c>
      <c r="D130" s="13" t="s">
        <v>672</v>
      </c>
      <c r="E130" s="14">
        <v>45794</v>
      </c>
      <c r="F130" s="14">
        <v>45817</v>
      </c>
      <c r="G130" s="15">
        <v>131425.65</v>
      </c>
      <c r="H130" s="13" t="s">
        <v>673</v>
      </c>
      <c r="I130" s="13" t="s">
        <v>674</v>
      </c>
      <c r="J130" s="13" t="s">
        <v>111</v>
      </c>
      <c r="K130" s="13">
        <f t="shared" ref="K130:K193" si="10">VALUE(LEFT(TEXT(G130,"0"),1))</f>
        <v>1</v>
      </c>
      <c r="L130" s="13">
        <f t="shared" ref="L130:L193" si="11">IF(COUNTIFS($B$2:$B$1534,B130,$D$2:$D$1534,D130)&gt;1,1,0)</f>
        <v>0</v>
      </c>
      <c r="M130" s="13">
        <f>IF(AND(L130=0,COUNTIFS($B$2:$B$1534,B130,$G$2:$G$1534,G130,$E$2:$E$1534,"&gt;="&amp;(E130-Assumptions!$B$5),$E$2:$E$1534,"&lt;="&amp;(E130+Assumptions!$B$5))&gt;1),1,0)</f>
        <v>0</v>
      </c>
      <c r="N130" s="13">
        <f>IF(AND(G130&gt;=Assumptions!$B$4*(1-Assumptions!$B$6),G130&lt;Assumptions!$B$4),1,0)</f>
        <v>0</v>
      </c>
      <c r="O130" s="13">
        <f>IF(AND(G130&gt;=Assumptions!$B$7,MOD(G130,Assumptions!$B$7)=0),1,0)</f>
        <v>0</v>
      </c>
      <c r="P130" s="13">
        <f t="shared" ref="P130:P193" si="12">IF(OR(H130="",I130=""),1,0)</f>
        <v>0</v>
      </c>
      <c r="Q130" s="13">
        <f t="shared" ref="Q130:Q193" si="13">IF(WEEKDAY(F130,2)&gt;5,1,0)</f>
        <v>0</v>
      </c>
      <c r="R130" s="13">
        <f>L130*Assumptions!$B$11+M130*Assumptions!$B$12+N130*Assumptions!$B$13+O130*Assumptions!$B$14+P130*Assumptions!$B$15+Q130*Assumptions!$B$16</f>
        <v>0</v>
      </c>
      <c r="S130" s="13" t="str">
        <f>IF(R130&gt;=Assumptions!$B$20,"High",IF(R130&gt;=Assumptions!$B$21,"Medium",IF(R130&gt;=1,"Low","Clear")))</f>
        <v>Clear</v>
      </c>
      <c r="T130" s="13" t="str">
        <f t="shared" ref="T130:T193" si="14">IF(R130=0,"",IF(L130=1,"Duplicate invoice; ","")&amp;IF(M130=1,"Near-duplicate; ","")&amp;IF(N130=1,"Just below limit; ","")&amp;IF(O130=1,"Round amount; ","")&amp;IF(P130=1,"No PO/GRN; ","")&amp;IF(Q130=1,"Weekend payment; ",""))</f>
        <v/>
      </c>
    </row>
    <row r="131" spans="1:20" x14ac:dyDescent="0.35">
      <c r="A131" s="13" t="s">
        <v>675</v>
      </c>
      <c r="B131" s="13" t="s">
        <v>86</v>
      </c>
      <c r="C131" s="13" t="s">
        <v>87</v>
      </c>
      <c r="D131" s="13" t="s">
        <v>676</v>
      </c>
      <c r="E131" s="14">
        <v>45778</v>
      </c>
      <c r="F131" s="14">
        <v>45817</v>
      </c>
      <c r="G131" s="15">
        <v>764486.82</v>
      </c>
      <c r="H131" s="13" t="s">
        <v>677</v>
      </c>
      <c r="I131" s="13" t="s">
        <v>678</v>
      </c>
      <c r="J131" s="13" t="s">
        <v>136</v>
      </c>
      <c r="K131" s="13">
        <f t="shared" si="10"/>
        <v>7</v>
      </c>
      <c r="L131" s="13">
        <f t="shared" si="11"/>
        <v>0</v>
      </c>
      <c r="M131" s="13">
        <f>IF(AND(L131=0,COUNTIFS($B$2:$B$1534,B131,$G$2:$G$1534,G131,$E$2:$E$1534,"&gt;="&amp;(E131-Assumptions!$B$5),$E$2:$E$1534,"&lt;="&amp;(E131+Assumptions!$B$5))&gt;1),1,0)</f>
        <v>0</v>
      </c>
      <c r="N131" s="13">
        <f>IF(AND(G131&gt;=Assumptions!$B$4*(1-Assumptions!$B$6),G131&lt;Assumptions!$B$4),1,0)</f>
        <v>0</v>
      </c>
      <c r="O131" s="13">
        <f>IF(AND(G131&gt;=Assumptions!$B$7,MOD(G131,Assumptions!$B$7)=0),1,0)</f>
        <v>0</v>
      </c>
      <c r="P131" s="13">
        <f t="shared" si="12"/>
        <v>0</v>
      </c>
      <c r="Q131" s="13">
        <f t="shared" si="13"/>
        <v>0</v>
      </c>
      <c r="R131" s="13">
        <f>L131*Assumptions!$B$11+M131*Assumptions!$B$12+N131*Assumptions!$B$13+O131*Assumptions!$B$14+P131*Assumptions!$B$15+Q131*Assumptions!$B$16</f>
        <v>0</v>
      </c>
      <c r="S131" s="13" t="str">
        <f>IF(R131&gt;=Assumptions!$B$20,"High",IF(R131&gt;=Assumptions!$B$21,"Medium",IF(R131&gt;=1,"Low","Clear")))</f>
        <v>Clear</v>
      </c>
      <c r="T131" s="13" t="str">
        <f t="shared" si="14"/>
        <v/>
      </c>
    </row>
    <row r="132" spans="1:20" x14ac:dyDescent="0.35">
      <c r="A132" s="13" t="s">
        <v>679</v>
      </c>
      <c r="B132" s="13" t="s">
        <v>680</v>
      </c>
      <c r="C132" s="13" t="s">
        <v>681</v>
      </c>
      <c r="D132" s="13" t="s">
        <v>682</v>
      </c>
      <c r="E132" s="14">
        <v>45792</v>
      </c>
      <c r="F132" s="14">
        <v>45817</v>
      </c>
      <c r="G132" s="15">
        <v>2630.51</v>
      </c>
      <c r="H132" s="13" t="s">
        <v>683</v>
      </c>
      <c r="I132" s="13" t="s">
        <v>684</v>
      </c>
      <c r="J132" s="13" t="s">
        <v>136</v>
      </c>
      <c r="K132" s="13">
        <f t="shared" si="10"/>
        <v>2</v>
      </c>
      <c r="L132" s="13">
        <f t="shared" si="11"/>
        <v>0</v>
      </c>
      <c r="M132" s="13">
        <f>IF(AND(L132=0,COUNTIFS($B$2:$B$1534,B132,$G$2:$G$1534,G132,$E$2:$E$1534,"&gt;="&amp;(E132-Assumptions!$B$5),$E$2:$E$1534,"&lt;="&amp;(E132+Assumptions!$B$5))&gt;1),1,0)</f>
        <v>0</v>
      </c>
      <c r="N132" s="13">
        <f>IF(AND(G132&gt;=Assumptions!$B$4*(1-Assumptions!$B$6),G132&lt;Assumptions!$B$4),1,0)</f>
        <v>0</v>
      </c>
      <c r="O132" s="13">
        <f>IF(AND(G132&gt;=Assumptions!$B$7,MOD(G132,Assumptions!$B$7)=0),1,0)</f>
        <v>0</v>
      </c>
      <c r="P132" s="13">
        <f t="shared" si="12"/>
        <v>0</v>
      </c>
      <c r="Q132" s="13">
        <f t="shared" si="13"/>
        <v>0</v>
      </c>
      <c r="R132" s="13">
        <f>L132*Assumptions!$B$11+M132*Assumptions!$B$12+N132*Assumptions!$B$13+O132*Assumptions!$B$14+P132*Assumptions!$B$15+Q132*Assumptions!$B$16</f>
        <v>0</v>
      </c>
      <c r="S132" s="13" t="str">
        <f>IF(R132&gt;=Assumptions!$B$20,"High",IF(R132&gt;=Assumptions!$B$21,"Medium",IF(R132&gt;=1,"Low","Clear")))</f>
        <v>Clear</v>
      </c>
      <c r="T132" s="13" t="str">
        <f t="shared" si="14"/>
        <v/>
      </c>
    </row>
    <row r="133" spans="1:20" x14ac:dyDescent="0.35">
      <c r="A133" s="13" t="s">
        <v>685</v>
      </c>
      <c r="B133" s="13" t="s">
        <v>234</v>
      </c>
      <c r="C133" s="13" t="s">
        <v>235</v>
      </c>
      <c r="D133" s="13" t="s">
        <v>686</v>
      </c>
      <c r="E133" s="14">
        <v>45794</v>
      </c>
      <c r="F133" s="14">
        <v>45817</v>
      </c>
      <c r="G133" s="15">
        <v>869677.71</v>
      </c>
      <c r="H133" s="13" t="s">
        <v>687</v>
      </c>
      <c r="I133" s="13" t="s">
        <v>688</v>
      </c>
      <c r="J133" s="13" t="s">
        <v>170</v>
      </c>
      <c r="K133" s="13">
        <f t="shared" si="10"/>
        <v>8</v>
      </c>
      <c r="L133" s="13">
        <f t="shared" si="11"/>
        <v>0</v>
      </c>
      <c r="M133" s="13">
        <f>IF(AND(L133=0,COUNTIFS($B$2:$B$1534,B133,$G$2:$G$1534,G133,$E$2:$E$1534,"&gt;="&amp;(E133-Assumptions!$B$5),$E$2:$E$1534,"&lt;="&amp;(E133+Assumptions!$B$5))&gt;1),1,0)</f>
        <v>0</v>
      </c>
      <c r="N133" s="13">
        <f>IF(AND(G133&gt;=Assumptions!$B$4*(1-Assumptions!$B$6),G133&lt;Assumptions!$B$4),1,0)</f>
        <v>0</v>
      </c>
      <c r="O133" s="13">
        <f>IF(AND(G133&gt;=Assumptions!$B$7,MOD(G133,Assumptions!$B$7)=0),1,0)</f>
        <v>0</v>
      </c>
      <c r="P133" s="13">
        <f t="shared" si="12"/>
        <v>0</v>
      </c>
      <c r="Q133" s="13">
        <f t="shared" si="13"/>
        <v>0</v>
      </c>
      <c r="R133" s="13">
        <f>L133*Assumptions!$B$11+M133*Assumptions!$B$12+N133*Assumptions!$B$13+O133*Assumptions!$B$14+P133*Assumptions!$B$15+Q133*Assumptions!$B$16</f>
        <v>0</v>
      </c>
      <c r="S133" s="13" t="str">
        <f>IF(R133&gt;=Assumptions!$B$20,"High",IF(R133&gt;=Assumptions!$B$21,"Medium",IF(R133&gt;=1,"Low","Clear")))</f>
        <v>Clear</v>
      </c>
      <c r="T133" s="13" t="str">
        <f t="shared" si="14"/>
        <v/>
      </c>
    </row>
    <row r="134" spans="1:20" x14ac:dyDescent="0.35">
      <c r="A134" s="13" t="s">
        <v>689</v>
      </c>
      <c r="B134" s="13" t="s">
        <v>131</v>
      </c>
      <c r="C134" s="13" t="s">
        <v>132</v>
      </c>
      <c r="D134" s="13" t="s">
        <v>690</v>
      </c>
      <c r="E134" s="14">
        <v>45795</v>
      </c>
      <c r="F134" s="14">
        <v>45817</v>
      </c>
      <c r="G134" s="15">
        <v>580528.05000000005</v>
      </c>
      <c r="H134" s="13" t="s">
        <v>691</v>
      </c>
      <c r="I134" s="13" t="s">
        <v>692</v>
      </c>
      <c r="J134" s="13" t="s">
        <v>136</v>
      </c>
      <c r="K134" s="13">
        <f t="shared" si="10"/>
        <v>5</v>
      </c>
      <c r="L134" s="13">
        <f t="shared" si="11"/>
        <v>0</v>
      </c>
      <c r="M134" s="13">
        <f>IF(AND(L134=0,COUNTIFS($B$2:$B$1534,B134,$G$2:$G$1534,G134,$E$2:$E$1534,"&gt;="&amp;(E134-Assumptions!$B$5),$E$2:$E$1534,"&lt;="&amp;(E134+Assumptions!$B$5))&gt;1),1,0)</f>
        <v>0</v>
      </c>
      <c r="N134" s="13">
        <f>IF(AND(G134&gt;=Assumptions!$B$4*(1-Assumptions!$B$6),G134&lt;Assumptions!$B$4),1,0)</f>
        <v>0</v>
      </c>
      <c r="O134" s="13">
        <f>IF(AND(G134&gt;=Assumptions!$B$7,MOD(G134,Assumptions!$B$7)=0),1,0)</f>
        <v>0</v>
      </c>
      <c r="P134" s="13">
        <f t="shared" si="12"/>
        <v>0</v>
      </c>
      <c r="Q134" s="13">
        <f t="shared" si="13"/>
        <v>0</v>
      </c>
      <c r="R134" s="13">
        <f>L134*Assumptions!$B$11+M134*Assumptions!$B$12+N134*Assumptions!$B$13+O134*Assumptions!$B$14+P134*Assumptions!$B$15+Q134*Assumptions!$B$16</f>
        <v>0</v>
      </c>
      <c r="S134" s="13" t="str">
        <f>IF(R134&gt;=Assumptions!$B$20,"High",IF(R134&gt;=Assumptions!$B$21,"Medium",IF(R134&gt;=1,"Low","Clear")))</f>
        <v>Clear</v>
      </c>
      <c r="T134" s="13" t="str">
        <f t="shared" si="14"/>
        <v/>
      </c>
    </row>
    <row r="135" spans="1:20" x14ac:dyDescent="0.35">
      <c r="A135" s="13" t="s">
        <v>693</v>
      </c>
      <c r="B135" s="13" t="s">
        <v>212</v>
      </c>
      <c r="C135" s="13" t="s">
        <v>213</v>
      </c>
      <c r="D135" s="13" t="s">
        <v>694</v>
      </c>
      <c r="E135" s="14">
        <v>45785</v>
      </c>
      <c r="F135" s="14">
        <v>45817</v>
      </c>
      <c r="G135" s="15">
        <v>129901.46</v>
      </c>
      <c r="H135" s="13" t="s">
        <v>695</v>
      </c>
      <c r="I135" s="13" t="s">
        <v>696</v>
      </c>
      <c r="J135" s="13" t="s">
        <v>91</v>
      </c>
      <c r="K135" s="13">
        <f t="shared" si="10"/>
        <v>1</v>
      </c>
      <c r="L135" s="13">
        <f t="shared" si="11"/>
        <v>0</v>
      </c>
      <c r="M135" s="13">
        <f>IF(AND(L135=0,COUNTIFS($B$2:$B$1534,B135,$G$2:$G$1534,G135,$E$2:$E$1534,"&gt;="&amp;(E135-Assumptions!$B$5),$E$2:$E$1534,"&lt;="&amp;(E135+Assumptions!$B$5))&gt;1),1,0)</f>
        <v>0</v>
      </c>
      <c r="N135" s="13">
        <f>IF(AND(G135&gt;=Assumptions!$B$4*(1-Assumptions!$B$6),G135&lt;Assumptions!$B$4),1,0)</f>
        <v>0</v>
      </c>
      <c r="O135" s="13">
        <f>IF(AND(G135&gt;=Assumptions!$B$7,MOD(G135,Assumptions!$B$7)=0),1,0)</f>
        <v>0</v>
      </c>
      <c r="P135" s="13">
        <f t="shared" si="12"/>
        <v>0</v>
      </c>
      <c r="Q135" s="13">
        <f t="shared" si="13"/>
        <v>0</v>
      </c>
      <c r="R135" s="13">
        <f>L135*Assumptions!$B$11+M135*Assumptions!$B$12+N135*Assumptions!$B$13+O135*Assumptions!$B$14+P135*Assumptions!$B$15+Q135*Assumptions!$B$16</f>
        <v>0</v>
      </c>
      <c r="S135" s="13" t="str">
        <f>IF(R135&gt;=Assumptions!$B$20,"High",IF(R135&gt;=Assumptions!$B$21,"Medium",IF(R135&gt;=1,"Low","Clear")))</f>
        <v>Clear</v>
      </c>
      <c r="T135" s="13" t="str">
        <f t="shared" si="14"/>
        <v/>
      </c>
    </row>
    <row r="136" spans="1:20" x14ac:dyDescent="0.35">
      <c r="A136" s="13" t="s">
        <v>697</v>
      </c>
      <c r="B136" s="13" t="s">
        <v>218</v>
      </c>
      <c r="C136" s="13" t="s">
        <v>219</v>
      </c>
      <c r="D136" s="13" t="s">
        <v>698</v>
      </c>
      <c r="E136" s="14">
        <v>45793</v>
      </c>
      <c r="F136" s="14">
        <v>45817</v>
      </c>
      <c r="G136" s="15">
        <v>2039.88</v>
      </c>
      <c r="H136" s="13" t="s">
        <v>699</v>
      </c>
      <c r="I136" s="13" t="s">
        <v>700</v>
      </c>
      <c r="J136" s="13" t="s">
        <v>143</v>
      </c>
      <c r="K136" s="13">
        <f t="shared" si="10"/>
        <v>2</v>
      </c>
      <c r="L136" s="13">
        <f t="shared" si="11"/>
        <v>0</v>
      </c>
      <c r="M136" s="13">
        <f>IF(AND(L136=0,COUNTIFS($B$2:$B$1534,B136,$G$2:$G$1534,G136,$E$2:$E$1534,"&gt;="&amp;(E136-Assumptions!$B$5),$E$2:$E$1534,"&lt;="&amp;(E136+Assumptions!$B$5))&gt;1),1,0)</f>
        <v>0</v>
      </c>
      <c r="N136" s="13">
        <f>IF(AND(G136&gt;=Assumptions!$B$4*(1-Assumptions!$B$6),G136&lt;Assumptions!$B$4),1,0)</f>
        <v>0</v>
      </c>
      <c r="O136" s="13">
        <f>IF(AND(G136&gt;=Assumptions!$B$7,MOD(G136,Assumptions!$B$7)=0),1,0)</f>
        <v>0</v>
      </c>
      <c r="P136" s="13">
        <f t="shared" si="12"/>
        <v>0</v>
      </c>
      <c r="Q136" s="13">
        <f t="shared" si="13"/>
        <v>0</v>
      </c>
      <c r="R136" s="13">
        <f>L136*Assumptions!$B$11+M136*Assumptions!$B$12+N136*Assumptions!$B$13+O136*Assumptions!$B$14+P136*Assumptions!$B$15+Q136*Assumptions!$B$16</f>
        <v>0</v>
      </c>
      <c r="S136" s="13" t="str">
        <f>IF(R136&gt;=Assumptions!$B$20,"High",IF(R136&gt;=Assumptions!$B$21,"Medium",IF(R136&gt;=1,"Low","Clear")))</f>
        <v>Clear</v>
      </c>
      <c r="T136" s="13" t="str">
        <f t="shared" si="14"/>
        <v/>
      </c>
    </row>
    <row r="137" spans="1:20" x14ac:dyDescent="0.35">
      <c r="A137" s="13" t="s">
        <v>701</v>
      </c>
      <c r="B137" s="13" t="s">
        <v>218</v>
      </c>
      <c r="C137" s="13" t="s">
        <v>219</v>
      </c>
      <c r="D137" s="13" t="s">
        <v>702</v>
      </c>
      <c r="E137" s="14">
        <v>45782</v>
      </c>
      <c r="F137" s="14">
        <v>45817</v>
      </c>
      <c r="G137" s="15">
        <v>338788.68</v>
      </c>
      <c r="H137" s="13" t="s">
        <v>703</v>
      </c>
      <c r="I137" s="13" t="s">
        <v>704</v>
      </c>
      <c r="J137" s="13" t="s">
        <v>98</v>
      </c>
      <c r="K137" s="13">
        <f t="shared" si="10"/>
        <v>3</v>
      </c>
      <c r="L137" s="13">
        <f t="shared" si="11"/>
        <v>0</v>
      </c>
      <c r="M137" s="13">
        <f>IF(AND(L137=0,COUNTIFS($B$2:$B$1534,B137,$G$2:$G$1534,G137,$E$2:$E$1534,"&gt;="&amp;(E137-Assumptions!$B$5),$E$2:$E$1534,"&lt;="&amp;(E137+Assumptions!$B$5))&gt;1),1,0)</f>
        <v>0</v>
      </c>
      <c r="N137" s="13">
        <f>IF(AND(G137&gt;=Assumptions!$B$4*(1-Assumptions!$B$6),G137&lt;Assumptions!$B$4),1,0)</f>
        <v>0</v>
      </c>
      <c r="O137" s="13">
        <f>IF(AND(G137&gt;=Assumptions!$B$7,MOD(G137,Assumptions!$B$7)=0),1,0)</f>
        <v>0</v>
      </c>
      <c r="P137" s="13">
        <f t="shared" si="12"/>
        <v>0</v>
      </c>
      <c r="Q137" s="13">
        <f t="shared" si="13"/>
        <v>0</v>
      </c>
      <c r="R137" s="13">
        <f>L137*Assumptions!$B$11+M137*Assumptions!$B$12+N137*Assumptions!$B$13+O137*Assumptions!$B$14+P137*Assumptions!$B$15+Q137*Assumptions!$B$16</f>
        <v>0</v>
      </c>
      <c r="S137" s="13" t="str">
        <f>IF(R137&gt;=Assumptions!$B$20,"High",IF(R137&gt;=Assumptions!$B$21,"Medium",IF(R137&gt;=1,"Low","Clear")))</f>
        <v>Clear</v>
      </c>
      <c r="T137" s="13" t="str">
        <f t="shared" si="14"/>
        <v/>
      </c>
    </row>
    <row r="138" spans="1:20" x14ac:dyDescent="0.35">
      <c r="A138" s="13" t="s">
        <v>705</v>
      </c>
      <c r="B138" s="13" t="s">
        <v>106</v>
      </c>
      <c r="C138" s="13" t="s">
        <v>107</v>
      </c>
      <c r="D138" s="13" t="s">
        <v>706</v>
      </c>
      <c r="E138" s="14">
        <v>45778</v>
      </c>
      <c r="F138" s="14">
        <v>45817</v>
      </c>
      <c r="G138" s="15">
        <v>741094.98</v>
      </c>
      <c r="H138" s="13" t="s">
        <v>707</v>
      </c>
      <c r="I138" s="13" t="s">
        <v>708</v>
      </c>
      <c r="J138" s="13" t="s">
        <v>136</v>
      </c>
      <c r="K138" s="13">
        <f t="shared" si="10"/>
        <v>7</v>
      </c>
      <c r="L138" s="13">
        <f t="shared" si="11"/>
        <v>0</v>
      </c>
      <c r="M138" s="13">
        <f>IF(AND(L138=0,COUNTIFS($B$2:$B$1534,B138,$G$2:$G$1534,G138,$E$2:$E$1534,"&gt;="&amp;(E138-Assumptions!$B$5),$E$2:$E$1534,"&lt;="&amp;(E138+Assumptions!$B$5))&gt;1),1,0)</f>
        <v>0</v>
      </c>
      <c r="N138" s="13">
        <f>IF(AND(G138&gt;=Assumptions!$B$4*(1-Assumptions!$B$6),G138&lt;Assumptions!$B$4),1,0)</f>
        <v>0</v>
      </c>
      <c r="O138" s="13">
        <f>IF(AND(G138&gt;=Assumptions!$B$7,MOD(G138,Assumptions!$B$7)=0),1,0)</f>
        <v>0</v>
      </c>
      <c r="P138" s="13">
        <f t="shared" si="12"/>
        <v>0</v>
      </c>
      <c r="Q138" s="13">
        <f t="shared" si="13"/>
        <v>0</v>
      </c>
      <c r="R138" s="13">
        <f>L138*Assumptions!$B$11+M138*Assumptions!$B$12+N138*Assumptions!$B$13+O138*Assumptions!$B$14+P138*Assumptions!$B$15+Q138*Assumptions!$B$16</f>
        <v>0</v>
      </c>
      <c r="S138" s="13" t="str">
        <f>IF(R138&gt;=Assumptions!$B$20,"High",IF(R138&gt;=Assumptions!$B$21,"Medium",IF(R138&gt;=1,"Low","Clear")))</f>
        <v>Clear</v>
      </c>
      <c r="T138" s="13" t="str">
        <f t="shared" si="14"/>
        <v/>
      </c>
    </row>
    <row r="139" spans="1:20" x14ac:dyDescent="0.35">
      <c r="A139" s="13" t="s">
        <v>709</v>
      </c>
      <c r="B139" s="13" t="s">
        <v>357</v>
      </c>
      <c r="C139" s="13" t="s">
        <v>358</v>
      </c>
      <c r="D139" s="13" t="s">
        <v>710</v>
      </c>
      <c r="E139" s="14">
        <v>45778</v>
      </c>
      <c r="F139" s="14">
        <v>45817</v>
      </c>
      <c r="G139" s="15">
        <v>759147.79</v>
      </c>
      <c r="H139" s="13" t="s">
        <v>711</v>
      </c>
      <c r="I139" s="13" t="s">
        <v>712</v>
      </c>
      <c r="J139" s="13" t="s">
        <v>136</v>
      </c>
      <c r="K139" s="13">
        <f t="shared" si="10"/>
        <v>7</v>
      </c>
      <c r="L139" s="13">
        <f t="shared" si="11"/>
        <v>0</v>
      </c>
      <c r="M139" s="13">
        <f>IF(AND(L139=0,COUNTIFS($B$2:$B$1534,B139,$G$2:$G$1534,G139,$E$2:$E$1534,"&gt;="&amp;(E139-Assumptions!$B$5),$E$2:$E$1534,"&lt;="&amp;(E139+Assumptions!$B$5))&gt;1),1,0)</f>
        <v>0</v>
      </c>
      <c r="N139" s="13">
        <f>IF(AND(G139&gt;=Assumptions!$B$4*(1-Assumptions!$B$6),G139&lt;Assumptions!$B$4),1,0)</f>
        <v>0</v>
      </c>
      <c r="O139" s="13">
        <f>IF(AND(G139&gt;=Assumptions!$B$7,MOD(G139,Assumptions!$B$7)=0),1,0)</f>
        <v>0</v>
      </c>
      <c r="P139" s="13">
        <f t="shared" si="12"/>
        <v>0</v>
      </c>
      <c r="Q139" s="13">
        <f t="shared" si="13"/>
        <v>0</v>
      </c>
      <c r="R139" s="13">
        <f>L139*Assumptions!$B$11+M139*Assumptions!$B$12+N139*Assumptions!$B$13+O139*Assumptions!$B$14+P139*Assumptions!$B$15+Q139*Assumptions!$B$16</f>
        <v>0</v>
      </c>
      <c r="S139" s="13" t="str">
        <f>IF(R139&gt;=Assumptions!$B$20,"High",IF(R139&gt;=Assumptions!$B$21,"Medium",IF(R139&gt;=1,"Low","Clear")))</f>
        <v>Clear</v>
      </c>
      <c r="T139" s="13" t="str">
        <f t="shared" si="14"/>
        <v/>
      </c>
    </row>
    <row r="140" spans="1:20" x14ac:dyDescent="0.35">
      <c r="A140" s="13" t="s">
        <v>713</v>
      </c>
      <c r="B140" s="13" t="s">
        <v>188</v>
      </c>
      <c r="C140" s="13" t="s">
        <v>189</v>
      </c>
      <c r="D140" s="13" t="s">
        <v>714</v>
      </c>
      <c r="E140" s="14">
        <v>45783</v>
      </c>
      <c r="F140" s="14">
        <v>45818</v>
      </c>
      <c r="G140" s="15">
        <v>1245.0999999999999</v>
      </c>
      <c r="H140" s="13"/>
      <c r="I140" s="13"/>
      <c r="J140" s="13" t="s">
        <v>143</v>
      </c>
      <c r="K140" s="13">
        <f t="shared" si="10"/>
        <v>1</v>
      </c>
      <c r="L140" s="13">
        <f t="shared" si="11"/>
        <v>0</v>
      </c>
      <c r="M140" s="13">
        <f>IF(AND(L140=0,COUNTIFS($B$2:$B$1534,B140,$G$2:$G$1534,G140,$E$2:$E$1534,"&gt;="&amp;(E140-Assumptions!$B$5),$E$2:$E$1534,"&lt;="&amp;(E140+Assumptions!$B$5))&gt;1),1,0)</f>
        <v>0</v>
      </c>
      <c r="N140" s="13">
        <f>IF(AND(G140&gt;=Assumptions!$B$4*(1-Assumptions!$B$6),G140&lt;Assumptions!$B$4),1,0)</f>
        <v>0</v>
      </c>
      <c r="O140" s="13">
        <f>IF(AND(G140&gt;=Assumptions!$B$7,MOD(G140,Assumptions!$B$7)=0),1,0)</f>
        <v>0</v>
      </c>
      <c r="P140" s="13">
        <f t="shared" si="12"/>
        <v>1</v>
      </c>
      <c r="Q140" s="13">
        <f t="shared" si="13"/>
        <v>0</v>
      </c>
      <c r="R140" s="13">
        <f>L140*Assumptions!$B$11+M140*Assumptions!$B$12+N140*Assumptions!$B$13+O140*Assumptions!$B$14+P140*Assumptions!$B$15+Q140*Assumptions!$B$16</f>
        <v>4</v>
      </c>
      <c r="S140" s="13" t="str">
        <f>IF(R140&gt;=Assumptions!$B$20,"High",IF(R140&gt;=Assumptions!$B$21,"Medium",IF(R140&gt;=1,"Low","Clear")))</f>
        <v>Medium</v>
      </c>
      <c r="T140" s="13" t="str">
        <f t="shared" si="14"/>
        <v xml:space="preserve">No PO/GRN; </v>
      </c>
    </row>
    <row r="141" spans="1:20" x14ac:dyDescent="0.35">
      <c r="A141" s="13" t="s">
        <v>715</v>
      </c>
      <c r="B141" s="13" t="s">
        <v>234</v>
      </c>
      <c r="C141" s="13" t="s">
        <v>235</v>
      </c>
      <c r="D141" s="13" t="s">
        <v>716</v>
      </c>
      <c r="E141" s="14">
        <v>45799</v>
      </c>
      <c r="F141" s="14">
        <v>45819</v>
      </c>
      <c r="G141" s="15">
        <v>312131.21999999997</v>
      </c>
      <c r="H141" s="13" t="s">
        <v>717</v>
      </c>
      <c r="I141" s="13" t="s">
        <v>718</v>
      </c>
      <c r="J141" s="13" t="s">
        <v>136</v>
      </c>
      <c r="K141" s="13">
        <f t="shared" si="10"/>
        <v>3</v>
      </c>
      <c r="L141" s="13">
        <f t="shared" si="11"/>
        <v>0</v>
      </c>
      <c r="M141" s="13">
        <f>IF(AND(L141=0,COUNTIFS($B$2:$B$1534,B141,$G$2:$G$1534,G141,$E$2:$E$1534,"&gt;="&amp;(E141-Assumptions!$B$5),$E$2:$E$1534,"&lt;="&amp;(E141+Assumptions!$B$5))&gt;1),1,0)</f>
        <v>0</v>
      </c>
      <c r="N141" s="13">
        <f>IF(AND(G141&gt;=Assumptions!$B$4*(1-Assumptions!$B$6),G141&lt;Assumptions!$B$4),1,0)</f>
        <v>0</v>
      </c>
      <c r="O141" s="13">
        <f>IF(AND(G141&gt;=Assumptions!$B$7,MOD(G141,Assumptions!$B$7)=0),1,0)</f>
        <v>0</v>
      </c>
      <c r="P141" s="13">
        <f t="shared" si="12"/>
        <v>0</v>
      </c>
      <c r="Q141" s="13">
        <f t="shared" si="13"/>
        <v>0</v>
      </c>
      <c r="R141" s="13">
        <f>L141*Assumptions!$B$11+M141*Assumptions!$B$12+N141*Assumptions!$B$13+O141*Assumptions!$B$14+P141*Assumptions!$B$15+Q141*Assumptions!$B$16</f>
        <v>0</v>
      </c>
      <c r="S141" s="13" t="str">
        <f>IF(R141&gt;=Assumptions!$B$20,"High",IF(R141&gt;=Assumptions!$B$21,"Medium",IF(R141&gt;=1,"Low","Clear")))</f>
        <v>Clear</v>
      </c>
      <c r="T141" s="13" t="str">
        <f t="shared" si="14"/>
        <v/>
      </c>
    </row>
    <row r="142" spans="1:20" x14ac:dyDescent="0.35">
      <c r="A142" s="13" t="s">
        <v>719</v>
      </c>
      <c r="B142" s="13" t="s">
        <v>119</v>
      </c>
      <c r="C142" s="13" t="s">
        <v>120</v>
      </c>
      <c r="D142" s="13" t="s">
        <v>720</v>
      </c>
      <c r="E142" s="14">
        <v>45790</v>
      </c>
      <c r="F142" s="14">
        <v>45819</v>
      </c>
      <c r="G142" s="15">
        <v>337139.91</v>
      </c>
      <c r="H142" s="13" t="s">
        <v>721</v>
      </c>
      <c r="I142" s="13" t="s">
        <v>722</v>
      </c>
      <c r="J142" s="13" t="s">
        <v>136</v>
      </c>
      <c r="K142" s="13">
        <f t="shared" si="10"/>
        <v>3</v>
      </c>
      <c r="L142" s="13">
        <f t="shared" si="11"/>
        <v>0</v>
      </c>
      <c r="M142" s="13">
        <f>IF(AND(L142=0,COUNTIFS($B$2:$B$1534,B142,$G$2:$G$1534,G142,$E$2:$E$1534,"&gt;="&amp;(E142-Assumptions!$B$5),$E$2:$E$1534,"&lt;="&amp;(E142+Assumptions!$B$5))&gt;1),1,0)</f>
        <v>0</v>
      </c>
      <c r="N142" s="13">
        <f>IF(AND(G142&gt;=Assumptions!$B$4*(1-Assumptions!$B$6),G142&lt;Assumptions!$B$4),1,0)</f>
        <v>0</v>
      </c>
      <c r="O142" s="13">
        <f>IF(AND(G142&gt;=Assumptions!$B$7,MOD(G142,Assumptions!$B$7)=0),1,0)</f>
        <v>0</v>
      </c>
      <c r="P142" s="13">
        <f t="shared" si="12"/>
        <v>0</v>
      </c>
      <c r="Q142" s="13">
        <f t="shared" si="13"/>
        <v>0</v>
      </c>
      <c r="R142" s="13">
        <f>L142*Assumptions!$B$11+M142*Assumptions!$B$12+N142*Assumptions!$B$13+O142*Assumptions!$B$14+P142*Assumptions!$B$15+Q142*Assumptions!$B$16</f>
        <v>0</v>
      </c>
      <c r="S142" s="13" t="str">
        <f>IF(R142&gt;=Assumptions!$B$20,"High",IF(R142&gt;=Assumptions!$B$21,"Medium",IF(R142&gt;=1,"Low","Clear")))</f>
        <v>Clear</v>
      </c>
      <c r="T142" s="13" t="str">
        <f t="shared" si="14"/>
        <v/>
      </c>
    </row>
    <row r="143" spans="1:20" x14ac:dyDescent="0.35">
      <c r="A143" s="13" t="s">
        <v>723</v>
      </c>
      <c r="B143" s="13" t="s">
        <v>476</v>
      </c>
      <c r="C143" s="13" t="s">
        <v>477</v>
      </c>
      <c r="D143" s="13" t="s">
        <v>724</v>
      </c>
      <c r="E143" s="14">
        <v>45786</v>
      </c>
      <c r="F143" s="14">
        <v>45819</v>
      </c>
      <c r="G143" s="15">
        <v>2570.21</v>
      </c>
      <c r="H143" s="13" t="s">
        <v>659</v>
      </c>
      <c r="I143" s="13" t="s">
        <v>660</v>
      </c>
      <c r="J143" s="13" t="s">
        <v>143</v>
      </c>
      <c r="K143" s="13">
        <f t="shared" si="10"/>
        <v>2</v>
      </c>
      <c r="L143" s="13">
        <f t="shared" si="11"/>
        <v>0</v>
      </c>
      <c r="M143" s="13">
        <f>IF(AND(L143=0,COUNTIFS($B$2:$B$1534,B143,$G$2:$G$1534,G143,$E$2:$E$1534,"&gt;="&amp;(E143-Assumptions!$B$5),$E$2:$E$1534,"&lt;="&amp;(E143+Assumptions!$B$5))&gt;1),1,0)</f>
        <v>1</v>
      </c>
      <c r="N143" s="13">
        <f>IF(AND(G143&gt;=Assumptions!$B$4*(1-Assumptions!$B$6),G143&lt;Assumptions!$B$4),1,0)</f>
        <v>0</v>
      </c>
      <c r="O143" s="13">
        <f>IF(AND(G143&gt;=Assumptions!$B$7,MOD(G143,Assumptions!$B$7)=0),1,0)</f>
        <v>0</v>
      </c>
      <c r="P143" s="13">
        <f t="shared" si="12"/>
        <v>0</v>
      </c>
      <c r="Q143" s="13">
        <f t="shared" si="13"/>
        <v>0</v>
      </c>
      <c r="R143" s="13">
        <f>L143*Assumptions!$B$11+M143*Assumptions!$B$12+N143*Assumptions!$B$13+O143*Assumptions!$B$14+P143*Assumptions!$B$15+Q143*Assumptions!$B$16</f>
        <v>3</v>
      </c>
      <c r="S143" s="13" t="str">
        <f>IF(R143&gt;=Assumptions!$B$20,"High",IF(R143&gt;=Assumptions!$B$21,"Medium",IF(R143&gt;=1,"Low","Clear")))</f>
        <v>Medium</v>
      </c>
      <c r="T143" s="13" t="str">
        <f t="shared" si="14"/>
        <v xml:space="preserve">Near-duplicate; </v>
      </c>
    </row>
    <row r="144" spans="1:20" x14ac:dyDescent="0.35">
      <c r="A144" s="13" t="s">
        <v>725</v>
      </c>
      <c r="B144" s="13" t="s">
        <v>188</v>
      </c>
      <c r="C144" s="13" t="s">
        <v>189</v>
      </c>
      <c r="D144" s="13" t="s">
        <v>726</v>
      </c>
      <c r="E144" s="14">
        <v>45790</v>
      </c>
      <c r="F144" s="14">
        <v>45820</v>
      </c>
      <c r="G144" s="15">
        <v>63796.85</v>
      </c>
      <c r="H144" s="13" t="s">
        <v>727</v>
      </c>
      <c r="I144" s="13" t="s">
        <v>728</v>
      </c>
      <c r="J144" s="13" t="s">
        <v>170</v>
      </c>
      <c r="K144" s="13">
        <f t="shared" si="10"/>
        <v>6</v>
      </c>
      <c r="L144" s="13">
        <f t="shared" si="11"/>
        <v>0</v>
      </c>
      <c r="M144" s="13">
        <f>IF(AND(L144=0,COUNTIFS($B$2:$B$1534,B144,$G$2:$G$1534,G144,$E$2:$E$1534,"&gt;="&amp;(E144-Assumptions!$B$5),$E$2:$E$1534,"&lt;="&amp;(E144+Assumptions!$B$5))&gt;1),1,0)</f>
        <v>0</v>
      </c>
      <c r="N144" s="13">
        <f>IF(AND(G144&gt;=Assumptions!$B$4*(1-Assumptions!$B$6),G144&lt;Assumptions!$B$4),1,0)</f>
        <v>0</v>
      </c>
      <c r="O144" s="13">
        <f>IF(AND(G144&gt;=Assumptions!$B$7,MOD(G144,Assumptions!$B$7)=0),1,0)</f>
        <v>0</v>
      </c>
      <c r="P144" s="13">
        <f t="shared" si="12"/>
        <v>0</v>
      </c>
      <c r="Q144" s="13">
        <f t="shared" si="13"/>
        <v>0</v>
      </c>
      <c r="R144" s="13">
        <f>L144*Assumptions!$B$11+M144*Assumptions!$B$12+N144*Assumptions!$B$13+O144*Assumptions!$B$14+P144*Assumptions!$B$15+Q144*Assumptions!$B$16</f>
        <v>0</v>
      </c>
      <c r="S144" s="13" t="str">
        <f>IF(R144&gt;=Assumptions!$B$20,"High",IF(R144&gt;=Assumptions!$B$21,"Medium",IF(R144&gt;=1,"Low","Clear")))</f>
        <v>Clear</v>
      </c>
      <c r="T144" s="13" t="str">
        <f t="shared" si="14"/>
        <v/>
      </c>
    </row>
    <row r="145" spans="1:20" x14ac:dyDescent="0.35">
      <c r="A145" s="13" t="s">
        <v>729</v>
      </c>
      <c r="B145" s="13" t="s">
        <v>100</v>
      </c>
      <c r="C145" s="13" t="s">
        <v>101</v>
      </c>
      <c r="D145" s="13" t="s">
        <v>730</v>
      </c>
      <c r="E145" s="14">
        <v>45783</v>
      </c>
      <c r="F145" s="14">
        <v>45820</v>
      </c>
      <c r="G145" s="15">
        <v>198382.47</v>
      </c>
      <c r="H145" s="13" t="s">
        <v>731</v>
      </c>
      <c r="I145" s="13" t="s">
        <v>732</v>
      </c>
      <c r="J145" s="13" t="s">
        <v>98</v>
      </c>
      <c r="K145" s="13">
        <f t="shared" si="10"/>
        <v>1</v>
      </c>
      <c r="L145" s="13">
        <f t="shared" si="11"/>
        <v>0</v>
      </c>
      <c r="M145" s="13">
        <f>IF(AND(L145=0,COUNTIFS($B$2:$B$1534,B145,$G$2:$G$1534,G145,$E$2:$E$1534,"&gt;="&amp;(E145-Assumptions!$B$5),$E$2:$E$1534,"&lt;="&amp;(E145+Assumptions!$B$5))&gt;1),1,0)</f>
        <v>0</v>
      </c>
      <c r="N145" s="13">
        <f>IF(AND(G145&gt;=Assumptions!$B$4*(1-Assumptions!$B$6),G145&lt;Assumptions!$B$4),1,0)</f>
        <v>0</v>
      </c>
      <c r="O145" s="13">
        <f>IF(AND(G145&gt;=Assumptions!$B$7,MOD(G145,Assumptions!$B$7)=0),1,0)</f>
        <v>0</v>
      </c>
      <c r="P145" s="13">
        <f t="shared" si="12"/>
        <v>0</v>
      </c>
      <c r="Q145" s="13">
        <f t="shared" si="13"/>
        <v>0</v>
      </c>
      <c r="R145" s="13">
        <f>L145*Assumptions!$B$11+M145*Assumptions!$B$12+N145*Assumptions!$B$13+O145*Assumptions!$B$14+P145*Assumptions!$B$15+Q145*Assumptions!$B$16</f>
        <v>0</v>
      </c>
      <c r="S145" s="13" t="str">
        <f>IF(R145&gt;=Assumptions!$B$20,"High",IF(R145&gt;=Assumptions!$B$21,"Medium",IF(R145&gt;=1,"Low","Clear")))</f>
        <v>Clear</v>
      </c>
      <c r="T145" s="13" t="str">
        <f t="shared" si="14"/>
        <v/>
      </c>
    </row>
    <row r="146" spans="1:20" x14ac:dyDescent="0.35">
      <c r="A146" s="13" t="s">
        <v>733</v>
      </c>
      <c r="B146" s="13" t="s">
        <v>100</v>
      </c>
      <c r="C146" s="13" t="s">
        <v>101</v>
      </c>
      <c r="D146" s="13" t="s">
        <v>734</v>
      </c>
      <c r="E146" s="14">
        <v>45800</v>
      </c>
      <c r="F146" s="14">
        <v>45820</v>
      </c>
      <c r="G146" s="15">
        <v>52746.38</v>
      </c>
      <c r="H146" s="13" t="s">
        <v>735</v>
      </c>
      <c r="I146" s="13" t="s">
        <v>736</v>
      </c>
      <c r="J146" s="13" t="s">
        <v>98</v>
      </c>
      <c r="K146" s="13">
        <f t="shared" si="10"/>
        <v>5</v>
      </c>
      <c r="L146" s="13">
        <f t="shared" si="11"/>
        <v>0</v>
      </c>
      <c r="M146" s="13">
        <f>IF(AND(L146=0,COUNTIFS($B$2:$B$1534,B146,$G$2:$G$1534,G146,$E$2:$E$1534,"&gt;="&amp;(E146-Assumptions!$B$5),$E$2:$E$1534,"&lt;="&amp;(E146+Assumptions!$B$5))&gt;1),1,0)</f>
        <v>0</v>
      </c>
      <c r="N146" s="13">
        <f>IF(AND(G146&gt;=Assumptions!$B$4*(1-Assumptions!$B$6),G146&lt;Assumptions!$B$4),1,0)</f>
        <v>0</v>
      </c>
      <c r="O146" s="13">
        <f>IF(AND(G146&gt;=Assumptions!$B$7,MOD(G146,Assumptions!$B$7)=0),1,0)</f>
        <v>0</v>
      </c>
      <c r="P146" s="13">
        <f t="shared" si="12"/>
        <v>0</v>
      </c>
      <c r="Q146" s="13">
        <f t="shared" si="13"/>
        <v>0</v>
      </c>
      <c r="R146" s="13">
        <f>L146*Assumptions!$B$11+M146*Assumptions!$B$12+N146*Assumptions!$B$13+O146*Assumptions!$B$14+P146*Assumptions!$B$15+Q146*Assumptions!$B$16</f>
        <v>0</v>
      </c>
      <c r="S146" s="13" t="str">
        <f>IF(R146&gt;=Assumptions!$B$20,"High",IF(R146&gt;=Assumptions!$B$21,"Medium",IF(R146&gt;=1,"Low","Clear")))</f>
        <v>Clear</v>
      </c>
      <c r="T146" s="13" t="str">
        <f t="shared" si="14"/>
        <v/>
      </c>
    </row>
    <row r="147" spans="1:20" x14ac:dyDescent="0.35">
      <c r="A147" s="13" t="s">
        <v>737</v>
      </c>
      <c r="B147" s="13" t="s">
        <v>106</v>
      </c>
      <c r="C147" s="13" t="s">
        <v>107</v>
      </c>
      <c r="D147" s="13" t="s">
        <v>738</v>
      </c>
      <c r="E147" s="14">
        <v>45791</v>
      </c>
      <c r="F147" s="14">
        <v>45820</v>
      </c>
      <c r="G147" s="15">
        <v>4267.3500000000004</v>
      </c>
      <c r="H147" s="13" t="s">
        <v>739</v>
      </c>
      <c r="I147" s="13" t="s">
        <v>740</v>
      </c>
      <c r="J147" s="13" t="s">
        <v>143</v>
      </c>
      <c r="K147" s="13">
        <f t="shared" si="10"/>
        <v>4</v>
      </c>
      <c r="L147" s="13">
        <f t="shared" si="11"/>
        <v>0</v>
      </c>
      <c r="M147" s="13">
        <f>IF(AND(L147=0,COUNTIFS($B$2:$B$1534,B147,$G$2:$G$1534,G147,$E$2:$E$1534,"&gt;="&amp;(E147-Assumptions!$B$5),$E$2:$E$1534,"&lt;="&amp;(E147+Assumptions!$B$5))&gt;1),1,0)</f>
        <v>0</v>
      </c>
      <c r="N147" s="13">
        <f>IF(AND(G147&gt;=Assumptions!$B$4*(1-Assumptions!$B$6),G147&lt;Assumptions!$B$4),1,0)</f>
        <v>0</v>
      </c>
      <c r="O147" s="13">
        <f>IF(AND(G147&gt;=Assumptions!$B$7,MOD(G147,Assumptions!$B$7)=0),1,0)</f>
        <v>0</v>
      </c>
      <c r="P147" s="13">
        <f t="shared" si="12"/>
        <v>0</v>
      </c>
      <c r="Q147" s="13">
        <f t="shared" si="13"/>
        <v>0</v>
      </c>
      <c r="R147" s="13">
        <f>L147*Assumptions!$B$11+M147*Assumptions!$B$12+N147*Assumptions!$B$13+O147*Assumptions!$B$14+P147*Assumptions!$B$15+Q147*Assumptions!$B$16</f>
        <v>0</v>
      </c>
      <c r="S147" s="13" t="str">
        <f>IF(R147&gt;=Assumptions!$B$20,"High",IF(R147&gt;=Assumptions!$B$21,"Medium",IF(R147&gt;=1,"Low","Clear")))</f>
        <v>Clear</v>
      </c>
      <c r="T147" s="13" t="str">
        <f t="shared" si="14"/>
        <v/>
      </c>
    </row>
    <row r="148" spans="1:20" x14ac:dyDescent="0.35">
      <c r="A148" s="13" t="s">
        <v>741</v>
      </c>
      <c r="B148" s="13" t="s">
        <v>188</v>
      </c>
      <c r="C148" s="13" t="s">
        <v>189</v>
      </c>
      <c r="D148" s="13" t="s">
        <v>742</v>
      </c>
      <c r="E148" s="14">
        <v>45784</v>
      </c>
      <c r="F148" s="14">
        <v>45821</v>
      </c>
      <c r="G148" s="15">
        <v>717299.56</v>
      </c>
      <c r="H148" s="13" t="s">
        <v>743</v>
      </c>
      <c r="I148" s="13" t="s">
        <v>744</v>
      </c>
      <c r="J148" s="13" t="s">
        <v>98</v>
      </c>
      <c r="K148" s="13">
        <f t="shared" si="10"/>
        <v>7</v>
      </c>
      <c r="L148" s="13">
        <f t="shared" si="11"/>
        <v>0</v>
      </c>
      <c r="M148" s="13">
        <f>IF(AND(L148=0,COUNTIFS($B$2:$B$1534,B148,$G$2:$G$1534,G148,$E$2:$E$1534,"&gt;="&amp;(E148-Assumptions!$B$5),$E$2:$E$1534,"&lt;="&amp;(E148+Assumptions!$B$5))&gt;1),1,0)</f>
        <v>0</v>
      </c>
      <c r="N148" s="13">
        <f>IF(AND(G148&gt;=Assumptions!$B$4*(1-Assumptions!$B$6),G148&lt;Assumptions!$B$4),1,0)</f>
        <v>0</v>
      </c>
      <c r="O148" s="13">
        <f>IF(AND(G148&gt;=Assumptions!$B$7,MOD(G148,Assumptions!$B$7)=0),1,0)</f>
        <v>0</v>
      </c>
      <c r="P148" s="13">
        <f t="shared" si="12"/>
        <v>0</v>
      </c>
      <c r="Q148" s="13">
        <f t="shared" si="13"/>
        <v>0</v>
      </c>
      <c r="R148" s="13">
        <f>L148*Assumptions!$B$11+M148*Assumptions!$B$12+N148*Assumptions!$B$13+O148*Assumptions!$B$14+P148*Assumptions!$B$15+Q148*Assumptions!$B$16</f>
        <v>0</v>
      </c>
      <c r="S148" s="13" t="str">
        <f>IF(R148&gt;=Assumptions!$B$20,"High",IF(R148&gt;=Assumptions!$B$21,"Medium",IF(R148&gt;=1,"Low","Clear")))</f>
        <v>Clear</v>
      </c>
      <c r="T148" s="13" t="str">
        <f t="shared" si="14"/>
        <v/>
      </c>
    </row>
    <row r="149" spans="1:20" x14ac:dyDescent="0.35">
      <c r="A149" s="13" t="s">
        <v>745</v>
      </c>
      <c r="B149" s="13" t="s">
        <v>498</v>
      </c>
      <c r="C149" s="13" t="s">
        <v>499</v>
      </c>
      <c r="D149" s="13" t="s">
        <v>746</v>
      </c>
      <c r="E149" s="14">
        <v>45788</v>
      </c>
      <c r="F149" s="14">
        <v>45821</v>
      </c>
      <c r="G149" s="15">
        <v>118155.63</v>
      </c>
      <c r="H149" s="13" t="s">
        <v>747</v>
      </c>
      <c r="I149" s="13" t="s">
        <v>748</v>
      </c>
      <c r="J149" s="13" t="s">
        <v>111</v>
      </c>
      <c r="K149" s="13">
        <f t="shared" si="10"/>
        <v>1</v>
      </c>
      <c r="L149" s="13">
        <f t="shared" si="11"/>
        <v>0</v>
      </c>
      <c r="M149" s="13">
        <f>IF(AND(L149=0,COUNTIFS($B$2:$B$1534,B149,$G$2:$G$1534,G149,$E$2:$E$1534,"&gt;="&amp;(E149-Assumptions!$B$5),$E$2:$E$1534,"&lt;="&amp;(E149+Assumptions!$B$5))&gt;1),1,0)</f>
        <v>0</v>
      </c>
      <c r="N149" s="13">
        <f>IF(AND(G149&gt;=Assumptions!$B$4*(1-Assumptions!$B$6),G149&lt;Assumptions!$B$4),1,0)</f>
        <v>0</v>
      </c>
      <c r="O149" s="13">
        <f>IF(AND(G149&gt;=Assumptions!$B$7,MOD(G149,Assumptions!$B$7)=0),1,0)</f>
        <v>0</v>
      </c>
      <c r="P149" s="13">
        <f t="shared" si="12"/>
        <v>0</v>
      </c>
      <c r="Q149" s="13">
        <f t="shared" si="13"/>
        <v>0</v>
      </c>
      <c r="R149" s="13">
        <f>L149*Assumptions!$B$11+M149*Assumptions!$B$12+N149*Assumptions!$B$13+O149*Assumptions!$B$14+P149*Assumptions!$B$15+Q149*Assumptions!$B$16</f>
        <v>0</v>
      </c>
      <c r="S149" s="13" t="str">
        <f>IF(R149&gt;=Assumptions!$B$20,"High",IF(R149&gt;=Assumptions!$B$21,"Medium",IF(R149&gt;=1,"Low","Clear")))</f>
        <v>Clear</v>
      </c>
      <c r="T149" s="13" t="str">
        <f t="shared" si="14"/>
        <v/>
      </c>
    </row>
    <row r="150" spans="1:20" x14ac:dyDescent="0.35">
      <c r="A150" s="13" t="s">
        <v>749</v>
      </c>
      <c r="B150" s="13" t="s">
        <v>317</v>
      </c>
      <c r="C150" s="13" t="s">
        <v>318</v>
      </c>
      <c r="D150" s="13" t="s">
        <v>750</v>
      </c>
      <c r="E150" s="14">
        <v>45783</v>
      </c>
      <c r="F150" s="14">
        <v>45822</v>
      </c>
      <c r="G150" s="15">
        <v>4759.2700000000004</v>
      </c>
      <c r="H150" s="13" t="s">
        <v>751</v>
      </c>
      <c r="I150" s="13" t="s">
        <v>752</v>
      </c>
      <c r="J150" s="13" t="s">
        <v>111</v>
      </c>
      <c r="K150" s="13">
        <f t="shared" si="10"/>
        <v>4</v>
      </c>
      <c r="L150" s="13">
        <f t="shared" si="11"/>
        <v>0</v>
      </c>
      <c r="M150" s="13">
        <f>IF(AND(L150=0,COUNTIFS($B$2:$B$1534,B150,$G$2:$G$1534,G150,$E$2:$E$1534,"&gt;="&amp;(E150-Assumptions!$B$5),$E$2:$E$1534,"&lt;="&amp;(E150+Assumptions!$B$5))&gt;1),1,0)</f>
        <v>0</v>
      </c>
      <c r="N150" s="13">
        <f>IF(AND(G150&gt;=Assumptions!$B$4*(1-Assumptions!$B$6),G150&lt;Assumptions!$B$4),1,0)</f>
        <v>0</v>
      </c>
      <c r="O150" s="13">
        <f>IF(AND(G150&gt;=Assumptions!$B$7,MOD(G150,Assumptions!$B$7)=0),1,0)</f>
        <v>0</v>
      </c>
      <c r="P150" s="13">
        <f t="shared" si="12"/>
        <v>0</v>
      </c>
      <c r="Q150" s="13">
        <f t="shared" si="13"/>
        <v>1</v>
      </c>
      <c r="R150" s="13">
        <f>L150*Assumptions!$B$11+M150*Assumptions!$B$12+N150*Assumptions!$B$13+O150*Assumptions!$B$14+P150*Assumptions!$B$15+Q150*Assumptions!$B$16</f>
        <v>1</v>
      </c>
      <c r="S150" s="13" t="str">
        <f>IF(R150&gt;=Assumptions!$B$20,"High",IF(R150&gt;=Assumptions!$B$21,"Medium",IF(R150&gt;=1,"Low","Clear")))</f>
        <v>Low</v>
      </c>
      <c r="T150" s="13" t="str">
        <f t="shared" si="14"/>
        <v xml:space="preserve">Weekend payment; </v>
      </c>
    </row>
    <row r="151" spans="1:20" x14ac:dyDescent="0.35">
      <c r="A151" s="13" t="s">
        <v>753</v>
      </c>
      <c r="B151" s="13" t="s">
        <v>293</v>
      </c>
      <c r="C151" s="13" t="s">
        <v>294</v>
      </c>
      <c r="D151" s="13" t="s">
        <v>754</v>
      </c>
      <c r="E151" s="14">
        <v>45801</v>
      </c>
      <c r="F151" s="14">
        <v>45824</v>
      </c>
      <c r="G151" s="15">
        <v>595091.9</v>
      </c>
      <c r="H151" s="13" t="s">
        <v>755</v>
      </c>
      <c r="I151" s="13" t="s">
        <v>756</v>
      </c>
      <c r="J151" s="13" t="s">
        <v>111</v>
      </c>
      <c r="K151" s="13">
        <f t="shared" si="10"/>
        <v>5</v>
      </c>
      <c r="L151" s="13">
        <f t="shared" si="11"/>
        <v>0</v>
      </c>
      <c r="M151" s="13">
        <f>IF(AND(L151=0,COUNTIFS($B$2:$B$1534,B151,$G$2:$G$1534,G151,$E$2:$E$1534,"&gt;="&amp;(E151-Assumptions!$B$5),$E$2:$E$1534,"&lt;="&amp;(E151+Assumptions!$B$5))&gt;1),1,0)</f>
        <v>0</v>
      </c>
      <c r="N151" s="13">
        <f>IF(AND(G151&gt;=Assumptions!$B$4*(1-Assumptions!$B$6),G151&lt;Assumptions!$B$4),1,0)</f>
        <v>0</v>
      </c>
      <c r="O151" s="13">
        <f>IF(AND(G151&gt;=Assumptions!$B$7,MOD(G151,Assumptions!$B$7)=0),1,0)</f>
        <v>0</v>
      </c>
      <c r="P151" s="13">
        <f t="shared" si="12"/>
        <v>0</v>
      </c>
      <c r="Q151" s="13">
        <f t="shared" si="13"/>
        <v>0</v>
      </c>
      <c r="R151" s="13">
        <f>L151*Assumptions!$B$11+M151*Assumptions!$B$12+N151*Assumptions!$B$13+O151*Assumptions!$B$14+P151*Assumptions!$B$15+Q151*Assumptions!$B$16</f>
        <v>0</v>
      </c>
      <c r="S151" s="13" t="str">
        <f>IF(R151&gt;=Assumptions!$B$20,"High",IF(R151&gt;=Assumptions!$B$21,"Medium",IF(R151&gt;=1,"Low","Clear")))</f>
        <v>Clear</v>
      </c>
      <c r="T151" s="13" t="str">
        <f t="shared" si="14"/>
        <v/>
      </c>
    </row>
    <row r="152" spans="1:20" x14ac:dyDescent="0.35">
      <c r="A152" s="13" t="s">
        <v>757</v>
      </c>
      <c r="B152" s="13" t="s">
        <v>188</v>
      </c>
      <c r="C152" s="13" t="s">
        <v>189</v>
      </c>
      <c r="D152" s="13" t="s">
        <v>758</v>
      </c>
      <c r="E152" s="14">
        <v>45799</v>
      </c>
      <c r="F152" s="14">
        <v>45824</v>
      </c>
      <c r="G152" s="15">
        <v>419200.07</v>
      </c>
      <c r="H152" s="13" t="s">
        <v>759</v>
      </c>
      <c r="I152" s="13" t="s">
        <v>760</v>
      </c>
      <c r="J152" s="13" t="s">
        <v>136</v>
      </c>
      <c r="K152" s="13">
        <f t="shared" si="10"/>
        <v>4</v>
      </c>
      <c r="L152" s="13">
        <f t="shared" si="11"/>
        <v>0</v>
      </c>
      <c r="M152" s="13">
        <f>IF(AND(L152=0,COUNTIFS($B$2:$B$1534,B152,$G$2:$G$1534,G152,$E$2:$E$1534,"&gt;="&amp;(E152-Assumptions!$B$5),$E$2:$E$1534,"&lt;="&amp;(E152+Assumptions!$B$5))&gt;1),1,0)</f>
        <v>0</v>
      </c>
      <c r="N152" s="13">
        <f>IF(AND(G152&gt;=Assumptions!$B$4*(1-Assumptions!$B$6),G152&lt;Assumptions!$B$4),1,0)</f>
        <v>0</v>
      </c>
      <c r="O152" s="13">
        <f>IF(AND(G152&gt;=Assumptions!$B$7,MOD(G152,Assumptions!$B$7)=0),1,0)</f>
        <v>0</v>
      </c>
      <c r="P152" s="13">
        <f t="shared" si="12"/>
        <v>0</v>
      </c>
      <c r="Q152" s="13">
        <f t="shared" si="13"/>
        <v>0</v>
      </c>
      <c r="R152" s="13">
        <f>L152*Assumptions!$B$11+M152*Assumptions!$B$12+N152*Assumptions!$B$13+O152*Assumptions!$B$14+P152*Assumptions!$B$15+Q152*Assumptions!$B$16</f>
        <v>0</v>
      </c>
      <c r="S152" s="13" t="str">
        <f>IF(R152&gt;=Assumptions!$B$20,"High",IF(R152&gt;=Assumptions!$B$21,"Medium",IF(R152&gt;=1,"Low","Clear")))</f>
        <v>Clear</v>
      </c>
      <c r="T152" s="13" t="str">
        <f t="shared" si="14"/>
        <v/>
      </c>
    </row>
    <row r="153" spans="1:20" x14ac:dyDescent="0.35">
      <c r="A153" s="13" t="s">
        <v>761</v>
      </c>
      <c r="B153" s="13" t="s">
        <v>228</v>
      </c>
      <c r="C153" s="13" t="s">
        <v>229</v>
      </c>
      <c r="D153" s="13" t="s">
        <v>762</v>
      </c>
      <c r="E153" s="14">
        <v>45789</v>
      </c>
      <c r="F153" s="14">
        <v>45824</v>
      </c>
      <c r="G153" s="15">
        <v>47798.28</v>
      </c>
      <c r="H153" s="13" t="s">
        <v>763</v>
      </c>
      <c r="I153" s="13" t="s">
        <v>764</v>
      </c>
      <c r="J153" s="13" t="s">
        <v>98</v>
      </c>
      <c r="K153" s="13">
        <f t="shared" si="10"/>
        <v>4</v>
      </c>
      <c r="L153" s="13">
        <f t="shared" si="11"/>
        <v>0</v>
      </c>
      <c r="M153" s="13">
        <f>IF(AND(L153=0,COUNTIFS($B$2:$B$1534,B153,$G$2:$G$1534,G153,$E$2:$E$1534,"&gt;="&amp;(E153-Assumptions!$B$5),$E$2:$E$1534,"&lt;="&amp;(E153+Assumptions!$B$5))&gt;1),1,0)</f>
        <v>0</v>
      </c>
      <c r="N153" s="13">
        <f>IF(AND(G153&gt;=Assumptions!$B$4*(1-Assumptions!$B$6),G153&lt;Assumptions!$B$4),1,0)</f>
        <v>1</v>
      </c>
      <c r="O153" s="13">
        <f>IF(AND(G153&gt;=Assumptions!$B$7,MOD(G153,Assumptions!$B$7)=0),1,0)</f>
        <v>0</v>
      </c>
      <c r="P153" s="13">
        <f t="shared" si="12"/>
        <v>0</v>
      </c>
      <c r="Q153" s="13">
        <f t="shared" si="13"/>
        <v>0</v>
      </c>
      <c r="R153" s="13">
        <f>L153*Assumptions!$B$11+M153*Assumptions!$B$12+N153*Assumptions!$B$13+O153*Assumptions!$B$14+P153*Assumptions!$B$15+Q153*Assumptions!$B$16</f>
        <v>3</v>
      </c>
      <c r="S153" s="13" t="str">
        <f>IF(R153&gt;=Assumptions!$B$20,"High",IF(R153&gt;=Assumptions!$B$21,"Medium",IF(R153&gt;=1,"Low","Clear")))</f>
        <v>Medium</v>
      </c>
      <c r="T153" s="13" t="str">
        <f t="shared" si="14"/>
        <v xml:space="preserve">Just below limit; </v>
      </c>
    </row>
    <row r="154" spans="1:20" x14ac:dyDescent="0.35">
      <c r="A154" s="13" t="s">
        <v>765</v>
      </c>
      <c r="B154" s="13" t="s">
        <v>670</v>
      </c>
      <c r="C154" s="13" t="s">
        <v>671</v>
      </c>
      <c r="D154" s="13" t="s">
        <v>766</v>
      </c>
      <c r="E154" s="14">
        <v>45797</v>
      </c>
      <c r="F154" s="14">
        <v>45824</v>
      </c>
      <c r="G154" s="15">
        <v>458963.26</v>
      </c>
      <c r="H154" s="13" t="s">
        <v>767</v>
      </c>
      <c r="I154" s="13" t="s">
        <v>768</v>
      </c>
      <c r="J154" s="13" t="s">
        <v>98</v>
      </c>
      <c r="K154" s="13">
        <f t="shared" si="10"/>
        <v>4</v>
      </c>
      <c r="L154" s="13">
        <f t="shared" si="11"/>
        <v>0</v>
      </c>
      <c r="M154" s="13">
        <f>IF(AND(L154=0,COUNTIFS($B$2:$B$1534,B154,$G$2:$G$1534,G154,$E$2:$E$1534,"&gt;="&amp;(E154-Assumptions!$B$5),$E$2:$E$1534,"&lt;="&amp;(E154+Assumptions!$B$5))&gt;1),1,0)</f>
        <v>0</v>
      </c>
      <c r="N154" s="13">
        <f>IF(AND(G154&gt;=Assumptions!$B$4*(1-Assumptions!$B$6),G154&lt;Assumptions!$B$4),1,0)</f>
        <v>0</v>
      </c>
      <c r="O154" s="13">
        <f>IF(AND(G154&gt;=Assumptions!$B$7,MOD(G154,Assumptions!$B$7)=0),1,0)</f>
        <v>0</v>
      </c>
      <c r="P154" s="13">
        <f t="shared" si="12"/>
        <v>0</v>
      </c>
      <c r="Q154" s="13">
        <f t="shared" si="13"/>
        <v>0</v>
      </c>
      <c r="R154" s="13">
        <f>L154*Assumptions!$B$11+M154*Assumptions!$B$12+N154*Assumptions!$B$13+O154*Assumptions!$B$14+P154*Assumptions!$B$15+Q154*Assumptions!$B$16</f>
        <v>0</v>
      </c>
      <c r="S154" s="13" t="str">
        <f>IF(R154&gt;=Assumptions!$B$20,"High",IF(R154&gt;=Assumptions!$B$21,"Medium",IF(R154&gt;=1,"Low","Clear")))</f>
        <v>Clear</v>
      </c>
      <c r="T154" s="13" t="str">
        <f t="shared" si="14"/>
        <v/>
      </c>
    </row>
    <row r="155" spans="1:20" x14ac:dyDescent="0.35">
      <c r="A155" s="13" t="s">
        <v>769</v>
      </c>
      <c r="B155" s="13" t="s">
        <v>200</v>
      </c>
      <c r="C155" s="13" t="s">
        <v>201</v>
      </c>
      <c r="D155" s="13" t="s">
        <v>770</v>
      </c>
      <c r="E155" s="14">
        <v>45789</v>
      </c>
      <c r="F155" s="14">
        <v>45824</v>
      </c>
      <c r="G155" s="15">
        <v>9951.5</v>
      </c>
      <c r="H155" s="13" t="s">
        <v>771</v>
      </c>
      <c r="I155" s="13" t="s">
        <v>772</v>
      </c>
      <c r="J155" s="13" t="s">
        <v>136</v>
      </c>
      <c r="K155" s="13">
        <f t="shared" si="10"/>
        <v>9</v>
      </c>
      <c r="L155" s="13">
        <f t="shared" si="11"/>
        <v>0</v>
      </c>
      <c r="M155" s="13">
        <f>IF(AND(L155=0,COUNTIFS($B$2:$B$1534,B155,$G$2:$G$1534,G155,$E$2:$E$1534,"&gt;="&amp;(E155-Assumptions!$B$5),$E$2:$E$1534,"&lt;="&amp;(E155+Assumptions!$B$5))&gt;1),1,0)</f>
        <v>0</v>
      </c>
      <c r="N155" s="13">
        <f>IF(AND(G155&gt;=Assumptions!$B$4*(1-Assumptions!$B$6),G155&lt;Assumptions!$B$4),1,0)</f>
        <v>0</v>
      </c>
      <c r="O155" s="13">
        <f>IF(AND(G155&gt;=Assumptions!$B$7,MOD(G155,Assumptions!$B$7)=0),1,0)</f>
        <v>0</v>
      </c>
      <c r="P155" s="13">
        <f t="shared" si="12"/>
        <v>0</v>
      </c>
      <c r="Q155" s="13">
        <f t="shared" si="13"/>
        <v>0</v>
      </c>
      <c r="R155" s="13">
        <f>L155*Assumptions!$B$11+M155*Assumptions!$B$12+N155*Assumptions!$B$13+O155*Assumptions!$B$14+P155*Assumptions!$B$15+Q155*Assumptions!$B$16</f>
        <v>0</v>
      </c>
      <c r="S155" s="13" t="str">
        <f>IF(R155&gt;=Assumptions!$B$20,"High",IF(R155&gt;=Assumptions!$B$21,"Medium",IF(R155&gt;=1,"Low","Clear")))</f>
        <v>Clear</v>
      </c>
      <c r="T155" s="13" t="str">
        <f t="shared" si="14"/>
        <v/>
      </c>
    </row>
    <row r="156" spans="1:20" x14ac:dyDescent="0.35">
      <c r="A156" s="13" t="s">
        <v>773</v>
      </c>
      <c r="B156" s="13" t="s">
        <v>774</v>
      </c>
      <c r="C156" s="13" t="s">
        <v>775</v>
      </c>
      <c r="D156" s="13" t="s">
        <v>776</v>
      </c>
      <c r="E156" s="14">
        <v>45788</v>
      </c>
      <c r="F156" s="14">
        <v>45824</v>
      </c>
      <c r="G156" s="15">
        <v>21506.35</v>
      </c>
      <c r="H156" s="13" t="s">
        <v>777</v>
      </c>
      <c r="I156" s="13" t="s">
        <v>778</v>
      </c>
      <c r="J156" s="13" t="s">
        <v>111</v>
      </c>
      <c r="K156" s="13">
        <f t="shared" si="10"/>
        <v>2</v>
      </c>
      <c r="L156" s="13">
        <f t="shared" si="11"/>
        <v>0</v>
      </c>
      <c r="M156" s="13">
        <f>IF(AND(L156=0,COUNTIFS($B$2:$B$1534,B156,$G$2:$G$1534,G156,$E$2:$E$1534,"&gt;="&amp;(E156-Assumptions!$B$5),$E$2:$E$1534,"&lt;="&amp;(E156+Assumptions!$B$5))&gt;1),1,0)</f>
        <v>0</v>
      </c>
      <c r="N156" s="13">
        <f>IF(AND(G156&gt;=Assumptions!$B$4*(1-Assumptions!$B$6),G156&lt;Assumptions!$B$4),1,0)</f>
        <v>0</v>
      </c>
      <c r="O156" s="13">
        <f>IF(AND(G156&gt;=Assumptions!$B$7,MOD(G156,Assumptions!$B$7)=0),1,0)</f>
        <v>0</v>
      </c>
      <c r="P156" s="13">
        <f t="shared" si="12"/>
        <v>0</v>
      </c>
      <c r="Q156" s="13">
        <f t="shared" si="13"/>
        <v>0</v>
      </c>
      <c r="R156" s="13">
        <f>L156*Assumptions!$B$11+M156*Assumptions!$B$12+N156*Assumptions!$B$13+O156*Assumptions!$B$14+P156*Assumptions!$B$15+Q156*Assumptions!$B$16</f>
        <v>0</v>
      </c>
      <c r="S156" s="13" t="str">
        <f>IF(R156&gt;=Assumptions!$B$20,"High",IF(R156&gt;=Assumptions!$B$21,"Medium",IF(R156&gt;=1,"Low","Clear")))</f>
        <v>Clear</v>
      </c>
      <c r="T156" s="13" t="str">
        <f t="shared" si="14"/>
        <v/>
      </c>
    </row>
    <row r="157" spans="1:20" x14ac:dyDescent="0.35">
      <c r="A157" s="13" t="s">
        <v>779</v>
      </c>
      <c r="B157" s="13" t="s">
        <v>234</v>
      </c>
      <c r="C157" s="13" t="s">
        <v>235</v>
      </c>
      <c r="D157" s="13" t="s">
        <v>780</v>
      </c>
      <c r="E157" s="14">
        <v>45803</v>
      </c>
      <c r="F157" s="14">
        <v>45824</v>
      </c>
      <c r="G157" s="15">
        <v>1394.58</v>
      </c>
      <c r="H157" s="13" t="s">
        <v>781</v>
      </c>
      <c r="I157" s="13" t="s">
        <v>782</v>
      </c>
      <c r="J157" s="13" t="s">
        <v>143</v>
      </c>
      <c r="K157" s="13">
        <f t="shared" si="10"/>
        <v>1</v>
      </c>
      <c r="L157" s="13">
        <f t="shared" si="11"/>
        <v>0</v>
      </c>
      <c r="M157" s="13">
        <f>IF(AND(L157=0,COUNTIFS($B$2:$B$1534,B157,$G$2:$G$1534,G157,$E$2:$E$1534,"&gt;="&amp;(E157-Assumptions!$B$5),$E$2:$E$1534,"&lt;="&amp;(E157+Assumptions!$B$5))&gt;1),1,0)</f>
        <v>0</v>
      </c>
      <c r="N157" s="13">
        <f>IF(AND(G157&gt;=Assumptions!$B$4*(1-Assumptions!$B$6),G157&lt;Assumptions!$B$4),1,0)</f>
        <v>0</v>
      </c>
      <c r="O157" s="13">
        <f>IF(AND(G157&gt;=Assumptions!$B$7,MOD(G157,Assumptions!$B$7)=0),1,0)</f>
        <v>0</v>
      </c>
      <c r="P157" s="13">
        <f t="shared" si="12"/>
        <v>0</v>
      </c>
      <c r="Q157" s="13">
        <f t="shared" si="13"/>
        <v>0</v>
      </c>
      <c r="R157" s="13">
        <f>L157*Assumptions!$B$11+M157*Assumptions!$B$12+N157*Assumptions!$B$13+O157*Assumptions!$B$14+P157*Assumptions!$B$15+Q157*Assumptions!$B$16</f>
        <v>0</v>
      </c>
      <c r="S157" s="13" t="str">
        <f>IF(R157&gt;=Assumptions!$B$20,"High",IF(R157&gt;=Assumptions!$B$21,"Medium",IF(R157&gt;=1,"Low","Clear")))</f>
        <v>Clear</v>
      </c>
      <c r="T157" s="13" t="str">
        <f t="shared" si="14"/>
        <v/>
      </c>
    </row>
    <row r="158" spans="1:20" x14ac:dyDescent="0.35">
      <c r="A158" s="13" t="s">
        <v>783</v>
      </c>
      <c r="B158" s="13" t="s">
        <v>206</v>
      </c>
      <c r="C158" s="13" t="s">
        <v>207</v>
      </c>
      <c r="D158" s="13" t="s">
        <v>784</v>
      </c>
      <c r="E158" s="14">
        <v>45800</v>
      </c>
      <c r="F158" s="14">
        <v>45824</v>
      </c>
      <c r="G158" s="15">
        <v>9632.9599999999991</v>
      </c>
      <c r="H158" s="13" t="s">
        <v>785</v>
      </c>
      <c r="I158" s="13" t="s">
        <v>786</v>
      </c>
      <c r="J158" s="13" t="s">
        <v>98</v>
      </c>
      <c r="K158" s="13">
        <f t="shared" si="10"/>
        <v>9</v>
      </c>
      <c r="L158" s="13">
        <f t="shared" si="11"/>
        <v>0</v>
      </c>
      <c r="M158" s="13">
        <f>IF(AND(L158=0,COUNTIFS($B$2:$B$1534,B158,$G$2:$G$1534,G158,$E$2:$E$1534,"&gt;="&amp;(E158-Assumptions!$B$5),$E$2:$E$1534,"&lt;="&amp;(E158+Assumptions!$B$5))&gt;1),1,0)</f>
        <v>0</v>
      </c>
      <c r="N158" s="13">
        <f>IF(AND(G158&gt;=Assumptions!$B$4*(1-Assumptions!$B$6),G158&lt;Assumptions!$B$4),1,0)</f>
        <v>0</v>
      </c>
      <c r="O158" s="13">
        <f>IF(AND(G158&gt;=Assumptions!$B$7,MOD(G158,Assumptions!$B$7)=0),1,0)</f>
        <v>0</v>
      </c>
      <c r="P158" s="13">
        <f t="shared" si="12"/>
        <v>0</v>
      </c>
      <c r="Q158" s="13">
        <f t="shared" si="13"/>
        <v>0</v>
      </c>
      <c r="R158" s="13">
        <f>L158*Assumptions!$B$11+M158*Assumptions!$B$12+N158*Assumptions!$B$13+O158*Assumptions!$B$14+P158*Assumptions!$B$15+Q158*Assumptions!$B$16</f>
        <v>0</v>
      </c>
      <c r="S158" s="13" t="str">
        <f>IF(R158&gt;=Assumptions!$B$20,"High",IF(R158&gt;=Assumptions!$B$21,"Medium",IF(R158&gt;=1,"Low","Clear")))</f>
        <v>Clear</v>
      </c>
      <c r="T158" s="13" t="str">
        <f t="shared" si="14"/>
        <v/>
      </c>
    </row>
    <row r="159" spans="1:20" x14ac:dyDescent="0.35">
      <c r="A159" s="13" t="s">
        <v>787</v>
      </c>
      <c r="B159" s="13" t="s">
        <v>206</v>
      </c>
      <c r="C159" s="13" t="s">
        <v>207</v>
      </c>
      <c r="D159" s="13" t="s">
        <v>788</v>
      </c>
      <c r="E159" s="14">
        <v>45792</v>
      </c>
      <c r="F159" s="14">
        <v>45824</v>
      </c>
      <c r="G159" s="15">
        <v>101804.64</v>
      </c>
      <c r="H159" s="13" t="s">
        <v>789</v>
      </c>
      <c r="I159" s="13" t="s">
        <v>790</v>
      </c>
      <c r="J159" s="13" t="s">
        <v>98</v>
      </c>
      <c r="K159" s="13">
        <f t="shared" si="10"/>
        <v>1</v>
      </c>
      <c r="L159" s="13">
        <f t="shared" si="11"/>
        <v>0</v>
      </c>
      <c r="M159" s="13">
        <f>IF(AND(L159=0,COUNTIFS($B$2:$B$1534,B159,$G$2:$G$1534,G159,$E$2:$E$1534,"&gt;="&amp;(E159-Assumptions!$B$5),$E$2:$E$1534,"&lt;="&amp;(E159+Assumptions!$B$5))&gt;1),1,0)</f>
        <v>0</v>
      </c>
      <c r="N159" s="13">
        <f>IF(AND(G159&gt;=Assumptions!$B$4*(1-Assumptions!$B$6),G159&lt;Assumptions!$B$4),1,0)</f>
        <v>0</v>
      </c>
      <c r="O159" s="13">
        <f>IF(AND(G159&gt;=Assumptions!$B$7,MOD(G159,Assumptions!$B$7)=0),1,0)</f>
        <v>0</v>
      </c>
      <c r="P159" s="13">
        <f t="shared" si="12"/>
        <v>0</v>
      </c>
      <c r="Q159" s="13">
        <f t="shared" si="13"/>
        <v>0</v>
      </c>
      <c r="R159" s="13">
        <f>L159*Assumptions!$B$11+M159*Assumptions!$B$12+N159*Assumptions!$B$13+O159*Assumptions!$B$14+P159*Assumptions!$B$15+Q159*Assumptions!$B$16</f>
        <v>0</v>
      </c>
      <c r="S159" s="13" t="str">
        <f>IF(R159&gt;=Assumptions!$B$20,"High",IF(R159&gt;=Assumptions!$B$21,"Medium",IF(R159&gt;=1,"Low","Clear")))</f>
        <v>Clear</v>
      </c>
      <c r="T159" s="13" t="str">
        <f t="shared" si="14"/>
        <v/>
      </c>
    </row>
    <row r="160" spans="1:20" x14ac:dyDescent="0.35">
      <c r="A160" s="13" t="s">
        <v>791</v>
      </c>
      <c r="B160" s="13" t="s">
        <v>317</v>
      </c>
      <c r="C160" s="13" t="s">
        <v>318</v>
      </c>
      <c r="D160" s="13" t="s">
        <v>792</v>
      </c>
      <c r="E160" s="14">
        <v>45786</v>
      </c>
      <c r="F160" s="14">
        <v>45824</v>
      </c>
      <c r="G160" s="15">
        <v>50519.87</v>
      </c>
      <c r="H160" s="13" t="s">
        <v>793</v>
      </c>
      <c r="I160" s="13" t="s">
        <v>794</v>
      </c>
      <c r="J160" s="13" t="s">
        <v>143</v>
      </c>
      <c r="K160" s="13">
        <f t="shared" si="10"/>
        <v>5</v>
      </c>
      <c r="L160" s="13">
        <f t="shared" si="11"/>
        <v>0</v>
      </c>
      <c r="M160" s="13">
        <f>IF(AND(L160=0,COUNTIFS($B$2:$B$1534,B160,$G$2:$G$1534,G160,$E$2:$E$1534,"&gt;="&amp;(E160-Assumptions!$B$5),$E$2:$E$1534,"&lt;="&amp;(E160+Assumptions!$B$5))&gt;1),1,0)</f>
        <v>0</v>
      </c>
      <c r="N160" s="13">
        <f>IF(AND(G160&gt;=Assumptions!$B$4*(1-Assumptions!$B$6),G160&lt;Assumptions!$B$4),1,0)</f>
        <v>0</v>
      </c>
      <c r="O160" s="13">
        <f>IF(AND(G160&gt;=Assumptions!$B$7,MOD(G160,Assumptions!$B$7)=0),1,0)</f>
        <v>0</v>
      </c>
      <c r="P160" s="13">
        <f t="shared" si="12"/>
        <v>0</v>
      </c>
      <c r="Q160" s="13">
        <f t="shared" si="13"/>
        <v>0</v>
      </c>
      <c r="R160" s="13">
        <f>L160*Assumptions!$B$11+M160*Assumptions!$B$12+N160*Assumptions!$B$13+O160*Assumptions!$B$14+P160*Assumptions!$B$15+Q160*Assumptions!$B$16</f>
        <v>0</v>
      </c>
      <c r="S160" s="13" t="str">
        <f>IF(R160&gt;=Assumptions!$B$20,"High",IF(R160&gt;=Assumptions!$B$21,"Medium",IF(R160&gt;=1,"Low","Clear")))</f>
        <v>Clear</v>
      </c>
      <c r="T160" s="13" t="str">
        <f t="shared" si="14"/>
        <v/>
      </c>
    </row>
    <row r="161" spans="1:20" x14ac:dyDescent="0.35">
      <c r="A161" s="13" t="s">
        <v>795</v>
      </c>
      <c r="B161" s="13" t="s">
        <v>317</v>
      </c>
      <c r="C161" s="13" t="s">
        <v>318</v>
      </c>
      <c r="D161" s="13" t="s">
        <v>796</v>
      </c>
      <c r="E161" s="14">
        <v>45783</v>
      </c>
      <c r="F161" s="14">
        <v>45824</v>
      </c>
      <c r="G161" s="15">
        <v>2119.5</v>
      </c>
      <c r="H161" s="13" t="s">
        <v>797</v>
      </c>
      <c r="I161" s="13" t="s">
        <v>798</v>
      </c>
      <c r="J161" s="13" t="s">
        <v>170</v>
      </c>
      <c r="K161" s="13">
        <f t="shared" si="10"/>
        <v>2</v>
      </c>
      <c r="L161" s="13">
        <f t="shared" si="11"/>
        <v>0</v>
      </c>
      <c r="M161" s="13">
        <f>IF(AND(L161=0,COUNTIFS($B$2:$B$1534,B161,$G$2:$G$1534,G161,$E$2:$E$1534,"&gt;="&amp;(E161-Assumptions!$B$5),$E$2:$E$1534,"&lt;="&amp;(E161+Assumptions!$B$5))&gt;1),1,0)</f>
        <v>0</v>
      </c>
      <c r="N161" s="13">
        <f>IF(AND(G161&gt;=Assumptions!$B$4*(1-Assumptions!$B$6),G161&lt;Assumptions!$B$4),1,0)</f>
        <v>0</v>
      </c>
      <c r="O161" s="13">
        <f>IF(AND(G161&gt;=Assumptions!$B$7,MOD(G161,Assumptions!$B$7)=0),1,0)</f>
        <v>0</v>
      </c>
      <c r="P161" s="13">
        <f t="shared" si="12"/>
        <v>0</v>
      </c>
      <c r="Q161" s="13">
        <f t="shared" si="13"/>
        <v>0</v>
      </c>
      <c r="R161" s="13">
        <f>L161*Assumptions!$B$11+M161*Assumptions!$B$12+N161*Assumptions!$B$13+O161*Assumptions!$B$14+P161*Assumptions!$B$15+Q161*Assumptions!$B$16</f>
        <v>0</v>
      </c>
      <c r="S161" s="13" t="str">
        <f>IF(R161&gt;=Assumptions!$B$20,"High",IF(R161&gt;=Assumptions!$B$21,"Medium",IF(R161&gt;=1,"Low","Clear")))</f>
        <v>Clear</v>
      </c>
      <c r="T161" s="13" t="str">
        <f t="shared" si="14"/>
        <v/>
      </c>
    </row>
    <row r="162" spans="1:20" x14ac:dyDescent="0.35">
      <c r="A162" s="13" t="s">
        <v>799</v>
      </c>
      <c r="B162" s="13" t="s">
        <v>329</v>
      </c>
      <c r="C162" s="13" t="s">
        <v>330</v>
      </c>
      <c r="D162" s="13" t="s">
        <v>800</v>
      </c>
      <c r="E162" s="14">
        <v>45799</v>
      </c>
      <c r="F162" s="14">
        <v>45824</v>
      </c>
      <c r="G162" s="15">
        <v>124579.49</v>
      </c>
      <c r="H162" s="13" t="s">
        <v>801</v>
      </c>
      <c r="I162" s="13" t="s">
        <v>802</v>
      </c>
      <c r="J162" s="13" t="s">
        <v>170</v>
      </c>
      <c r="K162" s="13">
        <f t="shared" si="10"/>
        <v>1</v>
      </c>
      <c r="L162" s="13">
        <f t="shared" si="11"/>
        <v>0</v>
      </c>
      <c r="M162" s="13">
        <f>IF(AND(L162=0,COUNTIFS($B$2:$B$1534,B162,$G$2:$G$1534,G162,$E$2:$E$1534,"&gt;="&amp;(E162-Assumptions!$B$5),$E$2:$E$1534,"&lt;="&amp;(E162+Assumptions!$B$5))&gt;1),1,0)</f>
        <v>0</v>
      </c>
      <c r="N162" s="13">
        <f>IF(AND(G162&gt;=Assumptions!$B$4*(1-Assumptions!$B$6),G162&lt;Assumptions!$B$4),1,0)</f>
        <v>0</v>
      </c>
      <c r="O162" s="13">
        <f>IF(AND(G162&gt;=Assumptions!$B$7,MOD(G162,Assumptions!$B$7)=0),1,0)</f>
        <v>0</v>
      </c>
      <c r="P162" s="13">
        <f t="shared" si="12"/>
        <v>0</v>
      </c>
      <c r="Q162" s="13">
        <f t="shared" si="13"/>
        <v>0</v>
      </c>
      <c r="R162" s="13">
        <f>L162*Assumptions!$B$11+M162*Assumptions!$B$12+N162*Assumptions!$B$13+O162*Assumptions!$B$14+P162*Assumptions!$B$15+Q162*Assumptions!$B$16</f>
        <v>0</v>
      </c>
      <c r="S162" s="13" t="str">
        <f>IF(R162&gt;=Assumptions!$B$20,"High",IF(R162&gt;=Assumptions!$B$21,"Medium",IF(R162&gt;=1,"Low","Clear")))</f>
        <v>Clear</v>
      </c>
      <c r="T162" s="13" t="str">
        <f t="shared" si="14"/>
        <v/>
      </c>
    </row>
    <row r="163" spans="1:20" x14ac:dyDescent="0.35">
      <c r="A163" s="13" t="s">
        <v>803</v>
      </c>
      <c r="B163" s="13" t="s">
        <v>155</v>
      </c>
      <c r="C163" s="13" t="s">
        <v>156</v>
      </c>
      <c r="D163" s="13" t="s">
        <v>804</v>
      </c>
      <c r="E163" s="14">
        <v>45792</v>
      </c>
      <c r="F163" s="14">
        <v>45824</v>
      </c>
      <c r="G163" s="15">
        <v>100813.66</v>
      </c>
      <c r="H163" s="13" t="s">
        <v>805</v>
      </c>
      <c r="I163" s="13" t="s">
        <v>806</v>
      </c>
      <c r="J163" s="13" t="s">
        <v>91</v>
      </c>
      <c r="K163" s="13">
        <f t="shared" si="10"/>
        <v>1</v>
      </c>
      <c r="L163" s="13">
        <f t="shared" si="11"/>
        <v>0</v>
      </c>
      <c r="M163" s="13">
        <f>IF(AND(L163=0,COUNTIFS($B$2:$B$1534,B163,$G$2:$G$1534,G163,$E$2:$E$1534,"&gt;="&amp;(E163-Assumptions!$B$5),$E$2:$E$1534,"&lt;="&amp;(E163+Assumptions!$B$5))&gt;1),1,0)</f>
        <v>0</v>
      </c>
      <c r="N163" s="13">
        <f>IF(AND(G163&gt;=Assumptions!$B$4*(1-Assumptions!$B$6),G163&lt;Assumptions!$B$4),1,0)</f>
        <v>0</v>
      </c>
      <c r="O163" s="13">
        <f>IF(AND(G163&gt;=Assumptions!$B$7,MOD(G163,Assumptions!$B$7)=0),1,0)</f>
        <v>0</v>
      </c>
      <c r="P163" s="13">
        <f t="shared" si="12"/>
        <v>0</v>
      </c>
      <c r="Q163" s="13">
        <f t="shared" si="13"/>
        <v>0</v>
      </c>
      <c r="R163" s="13">
        <f>L163*Assumptions!$B$11+M163*Assumptions!$B$12+N163*Assumptions!$B$13+O163*Assumptions!$B$14+P163*Assumptions!$B$15+Q163*Assumptions!$B$16</f>
        <v>0</v>
      </c>
      <c r="S163" s="13" t="str">
        <f>IF(R163&gt;=Assumptions!$B$20,"High",IF(R163&gt;=Assumptions!$B$21,"Medium",IF(R163&gt;=1,"Low","Clear")))</f>
        <v>Clear</v>
      </c>
      <c r="T163" s="13" t="str">
        <f t="shared" si="14"/>
        <v/>
      </c>
    </row>
    <row r="164" spans="1:20" x14ac:dyDescent="0.35">
      <c r="A164" s="13" t="s">
        <v>807</v>
      </c>
      <c r="B164" s="13" t="s">
        <v>339</v>
      </c>
      <c r="C164" s="13" t="s">
        <v>340</v>
      </c>
      <c r="D164" s="13" t="s">
        <v>808</v>
      </c>
      <c r="E164" s="14">
        <v>45788</v>
      </c>
      <c r="F164" s="14">
        <v>45824</v>
      </c>
      <c r="G164" s="15">
        <v>467462.13</v>
      </c>
      <c r="H164" s="13" t="s">
        <v>809</v>
      </c>
      <c r="I164" s="13" t="s">
        <v>810</v>
      </c>
      <c r="J164" s="13" t="s">
        <v>98</v>
      </c>
      <c r="K164" s="13">
        <f t="shared" si="10"/>
        <v>4</v>
      </c>
      <c r="L164" s="13">
        <f t="shared" si="11"/>
        <v>0</v>
      </c>
      <c r="M164" s="13">
        <f>IF(AND(L164=0,COUNTIFS($B$2:$B$1534,B164,$G$2:$G$1534,G164,$E$2:$E$1534,"&gt;="&amp;(E164-Assumptions!$B$5),$E$2:$E$1534,"&lt;="&amp;(E164+Assumptions!$B$5))&gt;1),1,0)</f>
        <v>0</v>
      </c>
      <c r="N164" s="13">
        <f>IF(AND(G164&gt;=Assumptions!$B$4*(1-Assumptions!$B$6),G164&lt;Assumptions!$B$4),1,0)</f>
        <v>0</v>
      </c>
      <c r="O164" s="13">
        <f>IF(AND(G164&gt;=Assumptions!$B$7,MOD(G164,Assumptions!$B$7)=0),1,0)</f>
        <v>0</v>
      </c>
      <c r="P164" s="13">
        <f t="shared" si="12"/>
        <v>0</v>
      </c>
      <c r="Q164" s="13">
        <f t="shared" si="13"/>
        <v>0</v>
      </c>
      <c r="R164" s="13">
        <f>L164*Assumptions!$B$11+M164*Assumptions!$B$12+N164*Assumptions!$B$13+O164*Assumptions!$B$14+P164*Assumptions!$B$15+Q164*Assumptions!$B$16</f>
        <v>0</v>
      </c>
      <c r="S164" s="13" t="str">
        <f>IF(R164&gt;=Assumptions!$B$20,"High",IF(R164&gt;=Assumptions!$B$21,"Medium",IF(R164&gt;=1,"Low","Clear")))</f>
        <v>Clear</v>
      </c>
      <c r="T164" s="13" t="str">
        <f t="shared" si="14"/>
        <v/>
      </c>
    </row>
    <row r="165" spans="1:20" x14ac:dyDescent="0.35">
      <c r="A165" s="13" t="s">
        <v>811</v>
      </c>
      <c r="B165" s="13" t="s">
        <v>252</v>
      </c>
      <c r="C165" s="13" t="s">
        <v>253</v>
      </c>
      <c r="D165" s="13" t="s">
        <v>812</v>
      </c>
      <c r="E165" s="14">
        <v>45802</v>
      </c>
      <c r="F165" s="14">
        <v>45825</v>
      </c>
      <c r="G165" s="15">
        <v>576188.24</v>
      </c>
      <c r="H165" s="13" t="s">
        <v>813</v>
      </c>
      <c r="I165" s="13" t="s">
        <v>814</v>
      </c>
      <c r="J165" s="13" t="s">
        <v>98</v>
      </c>
      <c r="K165" s="13">
        <f t="shared" si="10"/>
        <v>5</v>
      </c>
      <c r="L165" s="13">
        <f t="shared" si="11"/>
        <v>0</v>
      </c>
      <c r="M165" s="13">
        <f>IF(AND(L165=0,COUNTIFS($B$2:$B$1534,B165,$G$2:$G$1534,G165,$E$2:$E$1534,"&gt;="&amp;(E165-Assumptions!$B$5),$E$2:$E$1534,"&lt;="&amp;(E165+Assumptions!$B$5))&gt;1),1,0)</f>
        <v>0</v>
      </c>
      <c r="N165" s="13">
        <f>IF(AND(G165&gt;=Assumptions!$B$4*(1-Assumptions!$B$6),G165&lt;Assumptions!$B$4),1,0)</f>
        <v>0</v>
      </c>
      <c r="O165" s="13">
        <f>IF(AND(G165&gt;=Assumptions!$B$7,MOD(G165,Assumptions!$B$7)=0),1,0)</f>
        <v>0</v>
      </c>
      <c r="P165" s="13">
        <f t="shared" si="12"/>
        <v>0</v>
      </c>
      <c r="Q165" s="13">
        <f t="shared" si="13"/>
        <v>0</v>
      </c>
      <c r="R165" s="13">
        <f>L165*Assumptions!$B$11+M165*Assumptions!$B$12+N165*Assumptions!$B$13+O165*Assumptions!$B$14+P165*Assumptions!$B$15+Q165*Assumptions!$B$16</f>
        <v>0</v>
      </c>
      <c r="S165" s="13" t="str">
        <f>IF(R165&gt;=Assumptions!$B$20,"High",IF(R165&gt;=Assumptions!$B$21,"Medium",IF(R165&gt;=1,"Low","Clear")))</f>
        <v>Clear</v>
      </c>
      <c r="T165" s="13" t="str">
        <f t="shared" si="14"/>
        <v/>
      </c>
    </row>
    <row r="166" spans="1:20" x14ac:dyDescent="0.35">
      <c r="A166" s="13" t="s">
        <v>815</v>
      </c>
      <c r="B166" s="13" t="s">
        <v>113</v>
      </c>
      <c r="C166" s="13" t="s">
        <v>114</v>
      </c>
      <c r="D166" s="13" t="s">
        <v>816</v>
      </c>
      <c r="E166" s="14">
        <v>45793</v>
      </c>
      <c r="F166" s="14">
        <v>45825</v>
      </c>
      <c r="G166" s="15">
        <v>124534</v>
      </c>
      <c r="H166" s="13" t="s">
        <v>817</v>
      </c>
      <c r="I166" s="13" t="s">
        <v>818</v>
      </c>
      <c r="J166" s="13" t="s">
        <v>170</v>
      </c>
      <c r="K166" s="13">
        <f t="shared" si="10"/>
        <v>1</v>
      </c>
      <c r="L166" s="13">
        <f t="shared" si="11"/>
        <v>0</v>
      </c>
      <c r="M166" s="13">
        <f>IF(AND(L166=0,COUNTIFS($B$2:$B$1534,B166,$G$2:$G$1534,G166,$E$2:$E$1534,"&gt;="&amp;(E166-Assumptions!$B$5),$E$2:$E$1534,"&lt;="&amp;(E166+Assumptions!$B$5))&gt;1),1,0)</f>
        <v>0</v>
      </c>
      <c r="N166" s="13">
        <f>IF(AND(G166&gt;=Assumptions!$B$4*(1-Assumptions!$B$6),G166&lt;Assumptions!$B$4),1,0)</f>
        <v>0</v>
      </c>
      <c r="O166" s="13">
        <f>IF(AND(G166&gt;=Assumptions!$B$7,MOD(G166,Assumptions!$B$7)=0),1,0)</f>
        <v>0</v>
      </c>
      <c r="P166" s="13">
        <f t="shared" si="12"/>
        <v>0</v>
      </c>
      <c r="Q166" s="13">
        <f t="shared" si="13"/>
        <v>0</v>
      </c>
      <c r="R166" s="13">
        <f>L166*Assumptions!$B$11+M166*Assumptions!$B$12+N166*Assumptions!$B$13+O166*Assumptions!$B$14+P166*Assumptions!$B$15+Q166*Assumptions!$B$16</f>
        <v>0</v>
      </c>
      <c r="S166" s="13" t="str">
        <f>IF(R166&gt;=Assumptions!$B$20,"High",IF(R166&gt;=Assumptions!$B$21,"Medium",IF(R166&gt;=1,"Low","Clear")))</f>
        <v>Clear</v>
      </c>
      <c r="T166" s="13" t="str">
        <f t="shared" si="14"/>
        <v/>
      </c>
    </row>
    <row r="167" spans="1:20" x14ac:dyDescent="0.35">
      <c r="A167" s="13" t="s">
        <v>819</v>
      </c>
      <c r="B167" s="13" t="s">
        <v>556</v>
      </c>
      <c r="C167" s="13" t="s">
        <v>557</v>
      </c>
      <c r="D167" s="13" t="s">
        <v>820</v>
      </c>
      <c r="E167" s="14">
        <v>45789</v>
      </c>
      <c r="F167" s="14">
        <v>45825</v>
      </c>
      <c r="G167" s="15">
        <v>536843.18000000005</v>
      </c>
      <c r="H167" s="13" t="s">
        <v>821</v>
      </c>
      <c r="I167" s="13" t="s">
        <v>822</v>
      </c>
      <c r="J167" s="13" t="s">
        <v>98</v>
      </c>
      <c r="K167" s="13">
        <f t="shared" si="10"/>
        <v>5</v>
      </c>
      <c r="L167" s="13">
        <f t="shared" si="11"/>
        <v>0</v>
      </c>
      <c r="M167" s="13">
        <f>IF(AND(L167=0,COUNTIFS($B$2:$B$1534,B167,$G$2:$G$1534,G167,$E$2:$E$1534,"&gt;="&amp;(E167-Assumptions!$B$5),$E$2:$E$1534,"&lt;="&amp;(E167+Assumptions!$B$5))&gt;1),1,0)</f>
        <v>0</v>
      </c>
      <c r="N167" s="13">
        <f>IF(AND(G167&gt;=Assumptions!$B$4*(1-Assumptions!$B$6),G167&lt;Assumptions!$B$4),1,0)</f>
        <v>0</v>
      </c>
      <c r="O167" s="13">
        <f>IF(AND(G167&gt;=Assumptions!$B$7,MOD(G167,Assumptions!$B$7)=0),1,0)</f>
        <v>0</v>
      </c>
      <c r="P167" s="13">
        <f t="shared" si="12"/>
        <v>0</v>
      </c>
      <c r="Q167" s="13">
        <f t="shared" si="13"/>
        <v>0</v>
      </c>
      <c r="R167" s="13">
        <f>L167*Assumptions!$B$11+M167*Assumptions!$B$12+N167*Assumptions!$B$13+O167*Assumptions!$B$14+P167*Assumptions!$B$15+Q167*Assumptions!$B$16</f>
        <v>0</v>
      </c>
      <c r="S167" s="13" t="str">
        <f>IF(R167&gt;=Assumptions!$B$20,"High",IF(R167&gt;=Assumptions!$B$21,"Medium",IF(R167&gt;=1,"Low","Clear")))</f>
        <v>Clear</v>
      </c>
      <c r="T167" s="13" t="str">
        <f t="shared" si="14"/>
        <v/>
      </c>
    </row>
    <row r="168" spans="1:20" x14ac:dyDescent="0.35">
      <c r="A168" s="13" t="s">
        <v>823</v>
      </c>
      <c r="B168" s="13" t="s">
        <v>125</v>
      </c>
      <c r="C168" s="13" t="s">
        <v>126</v>
      </c>
      <c r="D168" s="13" t="s">
        <v>824</v>
      </c>
      <c r="E168" s="14">
        <v>45789</v>
      </c>
      <c r="F168" s="14">
        <v>45825</v>
      </c>
      <c r="G168" s="15">
        <v>21889.91</v>
      </c>
      <c r="H168" s="13" t="s">
        <v>825</v>
      </c>
      <c r="I168" s="13" t="s">
        <v>826</v>
      </c>
      <c r="J168" s="13" t="s">
        <v>111</v>
      </c>
      <c r="K168" s="13">
        <f t="shared" si="10"/>
        <v>2</v>
      </c>
      <c r="L168" s="13">
        <f t="shared" si="11"/>
        <v>0</v>
      </c>
      <c r="M168" s="13">
        <f>IF(AND(L168=0,COUNTIFS($B$2:$B$1534,B168,$G$2:$G$1534,G168,$E$2:$E$1534,"&gt;="&amp;(E168-Assumptions!$B$5),$E$2:$E$1534,"&lt;="&amp;(E168+Assumptions!$B$5))&gt;1),1,0)</f>
        <v>0</v>
      </c>
      <c r="N168" s="13">
        <f>IF(AND(G168&gt;=Assumptions!$B$4*(1-Assumptions!$B$6),G168&lt;Assumptions!$B$4),1,0)</f>
        <v>0</v>
      </c>
      <c r="O168" s="13">
        <f>IF(AND(G168&gt;=Assumptions!$B$7,MOD(G168,Assumptions!$B$7)=0),1,0)</f>
        <v>0</v>
      </c>
      <c r="P168" s="13">
        <f t="shared" si="12"/>
        <v>0</v>
      </c>
      <c r="Q168" s="13">
        <f t="shared" si="13"/>
        <v>0</v>
      </c>
      <c r="R168" s="13">
        <f>L168*Assumptions!$B$11+M168*Assumptions!$B$12+N168*Assumptions!$B$13+O168*Assumptions!$B$14+P168*Assumptions!$B$15+Q168*Assumptions!$B$16</f>
        <v>0</v>
      </c>
      <c r="S168" s="13" t="str">
        <f>IF(R168&gt;=Assumptions!$B$20,"High",IF(R168&gt;=Assumptions!$B$21,"Medium",IF(R168&gt;=1,"Low","Clear")))</f>
        <v>Clear</v>
      </c>
      <c r="T168" s="13" t="str">
        <f t="shared" si="14"/>
        <v/>
      </c>
    </row>
    <row r="169" spans="1:20" x14ac:dyDescent="0.35">
      <c r="A169" s="13" t="s">
        <v>827</v>
      </c>
      <c r="B169" s="13" t="s">
        <v>409</v>
      </c>
      <c r="C169" s="13" t="s">
        <v>410</v>
      </c>
      <c r="D169" s="13" t="s">
        <v>828</v>
      </c>
      <c r="E169" s="14">
        <v>45805</v>
      </c>
      <c r="F169" s="14">
        <v>45826</v>
      </c>
      <c r="G169" s="15">
        <v>5359.75</v>
      </c>
      <c r="H169" s="13" t="s">
        <v>829</v>
      </c>
      <c r="I169" s="13"/>
      <c r="J169" s="13" t="s">
        <v>170</v>
      </c>
      <c r="K169" s="13">
        <f t="shared" si="10"/>
        <v>5</v>
      </c>
      <c r="L169" s="13">
        <f t="shared" si="11"/>
        <v>0</v>
      </c>
      <c r="M169" s="13">
        <f>IF(AND(L169=0,COUNTIFS($B$2:$B$1534,B169,$G$2:$G$1534,G169,$E$2:$E$1534,"&gt;="&amp;(E169-Assumptions!$B$5),$E$2:$E$1534,"&lt;="&amp;(E169+Assumptions!$B$5))&gt;1),1,0)</f>
        <v>0</v>
      </c>
      <c r="N169" s="13">
        <f>IF(AND(G169&gt;=Assumptions!$B$4*(1-Assumptions!$B$6),G169&lt;Assumptions!$B$4),1,0)</f>
        <v>0</v>
      </c>
      <c r="O169" s="13">
        <f>IF(AND(G169&gt;=Assumptions!$B$7,MOD(G169,Assumptions!$B$7)=0),1,0)</f>
        <v>0</v>
      </c>
      <c r="P169" s="13">
        <f t="shared" si="12"/>
        <v>1</v>
      </c>
      <c r="Q169" s="13">
        <f t="shared" si="13"/>
        <v>0</v>
      </c>
      <c r="R169" s="13">
        <f>L169*Assumptions!$B$11+M169*Assumptions!$B$12+N169*Assumptions!$B$13+O169*Assumptions!$B$14+P169*Assumptions!$B$15+Q169*Assumptions!$B$16</f>
        <v>4</v>
      </c>
      <c r="S169" s="13" t="str">
        <f>IF(R169&gt;=Assumptions!$B$20,"High",IF(R169&gt;=Assumptions!$B$21,"Medium",IF(R169&gt;=1,"Low","Clear")))</f>
        <v>Medium</v>
      </c>
      <c r="T169" s="13" t="str">
        <f t="shared" si="14"/>
        <v xml:space="preserve">No PO/GRN; </v>
      </c>
    </row>
    <row r="170" spans="1:20" x14ac:dyDescent="0.35">
      <c r="A170" s="13" t="s">
        <v>830</v>
      </c>
      <c r="B170" s="13" t="s">
        <v>86</v>
      </c>
      <c r="C170" s="13" t="s">
        <v>87</v>
      </c>
      <c r="D170" s="13" t="s">
        <v>831</v>
      </c>
      <c r="E170" s="14">
        <v>45800</v>
      </c>
      <c r="F170" s="14">
        <v>45826</v>
      </c>
      <c r="G170" s="15">
        <v>2908.47</v>
      </c>
      <c r="H170" s="13" t="s">
        <v>832</v>
      </c>
      <c r="I170" s="13" t="s">
        <v>833</v>
      </c>
      <c r="J170" s="13" t="s">
        <v>91</v>
      </c>
      <c r="K170" s="13">
        <f t="shared" si="10"/>
        <v>2</v>
      </c>
      <c r="L170" s="13">
        <f t="shared" si="11"/>
        <v>0</v>
      </c>
      <c r="M170" s="13">
        <f>IF(AND(L170=0,COUNTIFS($B$2:$B$1534,B170,$G$2:$G$1534,G170,$E$2:$E$1534,"&gt;="&amp;(E170-Assumptions!$B$5),$E$2:$E$1534,"&lt;="&amp;(E170+Assumptions!$B$5))&gt;1),1,0)</f>
        <v>0</v>
      </c>
      <c r="N170" s="13">
        <f>IF(AND(G170&gt;=Assumptions!$B$4*(1-Assumptions!$B$6),G170&lt;Assumptions!$B$4),1,0)</f>
        <v>0</v>
      </c>
      <c r="O170" s="13">
        <f>IF(AND(G170&gt;=Assumptions!$B$7,MOD(G170,Assumptions!$B$7)=0),1,0)</f>
        <v>0</v>
      </c>
      <c r="P170" s="13">
        <f t="shared" si="12"/>
        <v>0</v>
      </c>
      <c r="Q170" s="13">
        <f t="shared" si="13"/>
        <v>0</v>
      </c>
      <c r="R170" s="13">
        <f>L170*Assumptions!$B$11+M170*Assumptions!$B$12+N170*Assumptions!$B$13+O170*Assumptions!$B$14+P170*Assumptions!$B$15+Q170*Assumptions!$B$16</f>
        <v>0</v>
      </c>
      <c r="S170" s="13" t="str">
        <f>IF(R170&gt;=Assumptions!$B$20,"High",IF(R170&gt;=Assumptions!$B$21,"Medium",IF(R170&gt;=1,"Low","Clear")))</f>
        <v>Clear</v>
      </c>
      <c r="T170" s="13" t="str">
        <f t="shared" si="14"/>
        <v/>
      </c>
    </row>
    <row r="171" spans="1:20" x14ac:dyDescent="0.35">
      <c r="A171" s="13" t="s">
        <v>834</v>
      </c>
      <c r="B171" s="13" t="s">
        <v>131</v>
      </c>
      <c r="C171" s="13" t="s">
        <v>132</v>
      </c>
      <c r="D171" s="13" t="s">
        <v>835</v>
      </c>
      <c r="E171" s="14">
        <v>45795</v>
      </c>
      <c r="F171" s="14">
        <v>45826</v>
      </c>
      <c r="G171" s="15">
        <v>278543.40000000002</v>
      </c>
      <c r="H171" s="13" t="s">
        <v>836</v>
      </c>
      <c r="I171" s="13" t="s">
        <v>837</v>
      </c>
      <c r="J171" s="13" t="s">
        <v>98</v>
      </c>
      <c r="K171" s="13">
        <f t="shared" si="10"/>
        <v>2</v>
      </c>
      <c r="L171" s="13">
        <f t="shared" si="11"/>
        <v>0</v>
      </c>
      <c r="M171" s="13">
        <f>IF(AND(L171=0,COUNTIFS($B$2:$B$1534,B171,$G$2:$G$1534,G171,$E$2:$E$1534,"&gt;="&amp;(E171-Assumptions!$B$5),$E$2:$E$1534,"&lt;="&amp;(E171+Assumptions!$B$5))&gt;1),1,0)</f>
        <v>0</v>
      </c>
      <c r="N171" s="13">
        <f>IF(AND(G171&gt;=Assumptions!$B$4*(1-Assumptions!$B$6),G171&lt;Assumptions!$B$4),1,0)</f>
        <v>0</v>
      </c>
      <c r="O171" s="13">
        <f>IF(AND(G171&gt;=Assumptions!$B$7,MOD(G171,Assumptions!$B$7)=0),1,0)</f>
        <v>0</v>
      </c>
      <c r="P171" s="13">
        <f t="shared" si="12"/>
        <v>0</v>
      </c>
      <c r="Q171" s="13">
        <f t="shared" si="13"/>
        <v>0</v>
      </c>
      <c r="R171" s="13">
        <f>L171*Assumptions!$B$11+M171*Assumptions!$B$12+N171*Assumptions!$B$13+O171*Assumptions!$B$14+P171*Assumptions!$B$15+Q171*Assumptions!$B$16</f>
        <v>0</v>
      </c>
      <c r="S171" s="13" t="str">
        <f>IF(R171&gt;=Assumptions!$B$20,"High",IF(R171&gt;=Assumptions!$B$21,"Medium",IF(R171&gt;=1,"Low","Clear")))</f>
        <v>Clear</v>
      </c>
      <c r="T171" s="13" t="str">
        <f t="shared" si="14"/>
        <v/>
      </c>
    </row>
    <row r="172" spans="1:20" x14ac:dyDescent="0.35">
      <c r="A172" s="13" t="s">
        <v>838</v>
      </c>
      <c r="B172" s="13" t="s">
        <v>212</v>
      </c>
      <c r="C172" s="13" t="s">
        <v>213</v>
      </c>
      <c r="D172" s="13" t="s">
        <v>839</v>
      </c>
      <c r="E172" s="14">
        <v>45793</v>
      </c>
      <c r="F172" s="14">
        <v>45826</v>
      </c>
      <c r="G172" s="15">
        <v>341549.05</v>
      </c>
      <c r="H172" s="13" t="s">
        <v>840</v>
      </c>
      <c r="I172" s="13" t="s">
        <v>841</v>
      </c>
      <c r="J172" s="13" t="s">
        <v>91</v>
      </c>
      <c r="K172" s="13">
        <f t="shared" si="10"/>
        <v>3</v>
      </c>
      <c r="L172" s="13">
        <f t="shared" si="11"/>
        <v>0</v>
      </c>
      <c r="M172" s="13">
        <f>IF(AND(L172=0,COUNTIFS($B$2:$B$1534,B172,$G$2:$G$1534,G172,$E$2:$E$1534,"&gt;="&amp;(E172-Assumptions!$B$5),$E$2:$E$1534,"&lt;="&amp;(E172+Assumptions!$B$5))&gt;1),1,0)</f>
        <v>0</v>
      </c>
      <c r="N172" s="13">
        <f>IF(AND(G172&gt;=Assumptions!$B$4*(1-Assumptions!$B$6),G172&lt;Assumptions!$B$4),1,0)</f>
        <v>0</v>
      </c>
      <c r="O172" s="13">
        <f>IF(AND(G172&gt;=Assumptions!$B$7,MOD(G172,Assumptions!$B$7)=0),1,0)</f>
        <v>0</v>
      </c>
      <c r="P172" s="13">
        <f t="shared" si="12"/>
        <v>0</v>
      </c>
      <c r="Q172" s="13">
        <f t="shared" si="13"/>
        <v>0</v>
      </c>
      <c r="R172" s="13">
        <f>L172*Assumptions!$B$11+M172*Assumptions!$B$12+N172*Assumptions!$B$13+O172*Assumptions!$B$14+P172*Assumptions!$B$15+Q172*Assumptions!$B$16</f>
        <v>0</v>
      </c>
      <c r="S172" s="13" t="str">
        <f>IF(R172&gt;=Assumptions!$B$20,"High",IF(R172&gt;=Assumptions!$B$21,"Medium",IF(R172&gt;=1,"Low","Clear")))</f>
        <v>Clear</v>
      </c>
      <c r="T172" s="13" t="str">
        <f t="shared" si="14"/>
        <v/>
      </c>
    </row>
    <row r="173" spans="1:20" x14ac:dyDescent="0.35">
      <c r="A173" s="13" t="s">
        <v>842</v>
      </c>
      <c r="B173" s="13" t="s">
        <v>155</v>
      </c>
      <c r="C173" s="13" t="s">
        <v>156</v>
      </c>
      <c r="D173" s="13" t="s">
        <v>843</v>
      </c>
      <c r="E173" s="14">
        <v>45786</v>
      </c>
      <c r="F173" s="14">
        <v>45826</v>
      </c>
      <c r="G173" s="15">
        <v>241989.15</v>
      </c>
      <c r="H173" s="13" t="s">
        <v>844</v>
      </c>
      <c r="I173" s="13" t="s">
        <v>845</v>
      </c>
      <c r="J173" s="13" t="s">
        <v>91</v>
      </c>
      <c r="K173" s="13">
        <f t="shared" si="10"/>
        <v>2</v>
      </c>
      <c r="L173" s="13">
        <f t="shared" si="11"/>
        <v>1</v>
      </c>
      <c r="M173" s="13">
        <f>IF(AND(L173=0,COUNTIFS($B$2:$B$1534,B173,$G$2:$G$1534,G173,$E$2:$E$1534,"&gt;="&amp;(E173-Assumptions!$B$5),$E$2:$E$1534,"&lt;="&amp;(E173+Assumptions!$B$5))&gt;1),1,0)</f>
        <v>0</v>
      </c>
      <c r="N173" s="13">
        <f>IF(AND(G173&gt;=Assumptions!$B$4*(1-Assumptions!$B$6),G173&lt;Assumptions!$B$4),1,0)</f>
        <v>0</v>
      </c>
      <c r="O173" s="13">
        <f>IF(AND(G173&gt;=Assumptions!$B$7,MOD(G173,Assumptions!$B$7)=0),1,0)</f>
        <v>0</v>
      </c>
      <c r="P173" s="13">
        <f t="shared" si="12"/>
        <v>0</v>
      </c>
      <c r="Q173" s="13">
        <f t="shared" si="13"/>
        <v>0</v>
      </c>
      <c r="R173" s="13">
        <f>L173*Assumptions!$B$11+M173*Assumptions!$B$12+N173*Assumptions!$B$13+O173*Assumptions!$B$14+P173*Assumptions!$B$15+Q173*Assumptions!$B$16</f>
        <v>5</v>
      </c>
      <c r="S173" s="13" t="str">
        <f>IF(R173&gt;=Assumptions!$B$20,"High",IF(R173&gt;=Assumptions!$B$21,"Medium",IF(R173&gt;=1,"Low","Clear")))</f>
        <v>High</v>
      </c>
      <c r="T173" s="13" t="str">
        <f t="shared" si="14"/>
        <v xml:space="preserve">Duplicate invoice; </v>
      </c>
    </row>
    <row r="174" spans="1:20" x14ac:dyDescent="0.35">
      <c r="A174" s="13" t="s">
        <v>846</v>
      </c>
      <c r="B174" s="13" t="s">
        <v>138</v>
      </c>
      <c r="C174" s="13" t="s">
        <v>139</v>
      </c>
      <c r="D174" s="13" t="s">
        <v>847</v>
      </c>
      <c r="E174" s="14">
        <v>45800</v>
      </c>
      <c r="F174" s="14">
        <v>45826</v>
      </c>
      <c r="G174" s="15">
        <v>42421.51</v>
      </c>
      <c r="H174" s="13" t="s">
        <v>848</v>
      </c>
      <c r="I174" s="13" t="s">
        <v>849</v>
      </c>
      <c r="J174" s="13" t="s">
        <v>170</v>
      </c>
      <c r="K174" s="13">
        <f t="shared" si="10"/>
        <v>4</v>
      </c>
      <c r="L174" s="13">
        <f t="shared" si="11"/>
        <v>0</v>
      </c>
      <c r="M174" s="13">
        <f>IF(AND(L174=0,COUNTIFS($B$2:$B$1534,B174,$G$2:$G$1534,G174,$E$2:$E$1534,"&gt;="&amp;(E174-Assumptions!$B$5),$E$2:$E$1534,"&lt;="&amp;(E174+Assumptions!$B$5))&gt;1),1,0)</f>
        <v>0</v>
      </c>
      <c r="N174" s="13">
        <f>IF(AND(G174&gt;=Assumptions!$B$4*(1-Assumptions!$B$6),G174&lt;Assumptions!$B$4),1,0)</f>
        <v>0</v>
      </c>
      <c r="O174" s="13">
        <f>IF(AND(G174&gt;=Assumptions!$B$7,MOD(G174,Assumptions!$B$7)=0),1,0)</f>
        <v>0</v>
      </c>
      <c r="P174" s="13">
        <f t="shared" si="12"/>
        <v>0</v>
      </c>
      <c r="Q174" s="13">
        <f t="shared" si="13"/>
        <v>0</v>
      </c>
      <c r="R174" s="13">
        <f>L174*Assumptions!$B$11+M174*Assumptions!$B$12+N174*Assumptions!$B$13+O174*Assumptions!$B$14+P174*Assumptions!$B$15+Q174*Assumptions!$B$16</f>
        <v>0</v>
      </c>
      <c r="S174" s="13" t="str">
        <f>IF(R174&gt;=Assumptions!$B$20,"High",IF(R174&gt;=Assumptions!$B$21,"Medium",IF(R174&gt;=1,"Low","Clear")))</f>
        <v>Clear</v>
      </c>
      <c r="T174" s="13" t="str">
        <f t="shared" si="14"/>
        <v/>
      </c>
    </row>
    <row r="175" spans="1:20" x14ac:dyDescent="0.35">
      <c r="A175" s="13" t="s">
        <v>850</v>
      </c>
      <c r="B175" s="13" t="s">
        <v>145</v>
      </c>
      <c r="C175" s="13" t="s">
        <v>146</v>
      </c>
      <c r="D175" s="13" t="s">
        <v>851</v>
      </c>
      <c r="E175" s="14">
        <v>45805</v>
      </c>
      <c r="F175" s="14">
        <v>45826</v>
      </c>
      <c r="G175" s="15">
        <v>306423.57</v>
      </c>
      <c r="H175" s="13" t="s">
        <v>852</v>
      </c>
      <c r="I175" s="13" t="s">
        <v>853</v>
      </c>
      <c r="J175" s="13" t="s">
        <v>91</v>
      </c>
      <c r="K175" s="13">
        <f t="shared" si="10"/>
        <v>3</v>
      </c>
      <c r="L175" s="13">
        <f t="shared" si="11"/>
        <v>0</v>
      </c>
      <c r="M175" s="13">
        <f>IF(AND(L175=0,COUNTIFS($B$2:$B$1534,B175,$G$2:$G$1534,G175,$E$2:$E$1534,"&gt;="&amp;(E175-Assumptions!$B$5),$E$2:$E$1534,"&lt;="&amp;(E175+Assumptions!$B$5))&gt;1),1,0)</f>
        <v>0</v>
      </c>
      <c r="N175" s="13">
        <f>IF(AND(G175&gt;=Assumptions!$B$4*(1-Assumptions!$B$6),G175&lt;Assumptions!$B$4),1,0)</f>
        <v>0</v>
      </c>
      <c r="O175" s="13">
        <f>IF(AND(G175&gt;=Assumptions!$B$7,MOD(G175,Assumptions!$B$7)=0),1,0)</f>
        <v>0</v>
      </c>
      <c r="P175" s="13">
        <f t="shared" si="12"/>
        <v>0</v>
      </c>
      <c r="Q175" s="13">
        <f t="shared" si="13"/>
        <v>0</v>
      </c>
      <c r="R175" s="13">
        <f>L175*Assumptions!$B$11+M175*Assumptions!$B$12+N175*Assumptions!$B$13+O175*Assumptions!$B$14+P175*Assumptions!$B$15+Q175*Assumptions!$B$16</f>
        <v>0</v>
      </c>
      <c r="S175" s="13" t="str">
        <f>IF(R175&gt;=Assumptions!$B$20,"High",IF(R175&gt;=Assumptions!$B$21,"Medium",IF(R175&gt;=1,"Low","Clear")))</f>
        <v>Clear</v>
      </c>
      <c r="T175" s="13" t="str">
        <f t="shared" si="14"/>
        <v/>
      </c>
    </row>
    <row r="176" spans="1:20" x14ac:dyDescent="0.35">
      <c r="A176" s="13" t="s">
        <v>854</v>
      </c>
      <c r="B176" s="13" t="s">
        <v>279</v>
      </c>
      <c r="C176" s="13" t="s">
        <v>280</v>
      </c>
      <c r="D176" s="13" t="s">
        <v>855</v>
      </c>
      <c r="E176" s="14">
        <v>45793</v>
      </c>
      <c r="F176" s="14">
        <v>45827</v>
      </c>
      <c r="G176" s="15">
        <v>8386.9599999999991</v>
      </c>
      <c r="H176" s="13" t="s">
        <v>856</v>
      </c>
      <c r="I176" s="13" t="s">
        <v>857</v>
      </c>
      <c r="J176" s="13" t="s">
        <v>143</v>
      </c>
      <c r="K176" s="13">
        <f t="shared" si="10"/>
        <v>8</v>
      </c>
      <c r="L176" s="13">
        <f t="shared" si="11"/>
        <v>0</v>
      </c>
      <c r="M176" s="13">
        <f>IF(AND(L176=0,COUNTIFS($B$2:$B$1534,B176,$G$2:$G$1534,G176,$E$2:$E$1534,"&gt;="&amp;(E176-Assumptions!$B$5),$E$2:$E$1534,"&lt;="&amp;(E176+Assumptions!$B$5))&gt;1),1,0)</f>
        <v>0</v>
      </c>
      <c r="N176" s="13">
        <f>IF(AND(G176&gt;=Assumptions!$B$4*(1-Assumptions!$B$6),G176&lt;Assumptions!$B$4),1,0)</f>
        <v>0</v>
      </c>
      <c r="O176" s="13">
        <f>IF(AND(G176&gt;=Assumptions!$B$7,MOD(G176,Assumptions!$B$7)=0),1,0)</f>
        <v>0</v>
      </c>
      <c r="P176" s="13">
        <f t="shared" si="12"/>
        <v>0</v>
      </c>
      <c r="Q176" s="13">
        <f t="shared" si="13"/>
        <v>0</v>
      </c>
      <c r="R176" s="13">
        <f>L176*Assumptions!$B$11+M176*Assumptions!$B$12+N176*Assumptions!$B$13+O176*Assumptions!$B$14+P176*Assumptions!$B$15+Q176*Assumptions!$B$16</f>
        <v>0</v>
      </c>
      <c r="S176" s="13" t="str">
        <f>IF(R176&gt;=Assumptions!$B$20,"High",IF(R176&gt;=Assumptions!$B$21,"Medium",IF(R176&gt;=1,"Low","Clear")))</f>
        <v>Clear</v>
      </c>
      <c r="T176" s="13" t="str">
        <f t="shared" si="14"/>
        <v/>
      </c>
    </row>
    <row r="177" spans="1:20" x14ac:dyDescent="0.35">
      <c r="A177" s="13" t="s">
        <v>858</v>
      </c>
      <c r="B177" s="13" t="s">
        <v>206</v>
      </c>
      <c r="C177" s="13" t="s">
        <v>207</v>
      </c>
      <c r="D177" s="13" t="s">
        <v>859</v>
      </c>
      <c r="E177" s="14">
        <v>45804</v>
      </c>
      <c r="F177" s="14">
        <v>45827</v>
      </c>
      <c r="G177" s="15">
        <v>37119.46</v>
      </c>
      <c r="H177" s="13" t="s">
        <v>860</v>
      </c>
      <c r="I177" s="13" t="s">
        <v>861</v>
      </c>
      <c r="J177" s="13" t="s">
        <v>143</v>
      </c>
      <c r="K177" s="13">
        <f t="shared" si="10"/>
        <v>3</v>
      </c>
      <c r="L177" s="13">
        <f t="shared" si="11"/>
        <v>0</v>
      </c>
      <c r="M177" s="13">
        <f>IF(AND(L177=0,COUNTIFS($B$2:$B$1534,B177,$G$2:$G$1534,G177,$E$2:$E$1534,"&gt;="&amp;(E177-Assumptions!$B$5),$E$2:$E$1534,"&lt;="&amp;(E177+Assumptions!$B$5))&gt;1),1,0)</f>
        <v>0</v>
      </c>
      <c r="N177" s="13">
        <f>IF(AND(G177&gt;=Assumptions!$B$4*(1-Assumptions!$B$6),G177&lt;Assumptions!$B$4),1,0)</f>
        <v>0</v>
      </c>
      <c r="O177" s="13">
        <f>IF(AND(G177&gt;=Assumptions!$B$7,MOD(G177,Assumptions!$B$7)=0),1,0)</f>
        <v>0</v>
      </c>
      <c r="P177" s="13">
        <f t="shared" si="12"/>
        <v>0</v>
      </c>
      <c r="Q177" s="13">
        <f t="shared" si="13"/>
        <v>0</v>
      </c>
      <c r="R177" s="13">
        <f>L177*Assumptions!$B$11+M177*Assumptions!$B$12+N177*Assumptions!$B$13+O177*Assumptions!$B$14+P177*Assumptions!$B$15+Q177*Assumptions!$B$16</f>
        <v>0</v>
      </c>
      <c r="S177" s="13" t="str">
        <f>IF(R177&gt;=Assumptions!$B$20,"High",IF(R177&gt;=Assumptions!$B$21,"Medium",IF(R177&gt;=1,"Low","Clear")))</f>
        <v>Clear</v>
      </c>
      <c r="T177" s="13" t="str">
        <f t="shared" si="14"/>
        <v/>
      </c>
    </row>
    <row r="178" spans="1:20" x14ac:dyDescent="0.35">
      <c r="A178" s="13" t="s">
        <v>862</v>
      </c>
      <c r="B178" s="13" t="s">
        <v>161</v>
      </c>
      <c r="C178" s="13" t="s">
        <v>162</v>
      </c>
      <c r="D178" s="13" t="s">
        <v>863</v>
      </c>
      <c r="E178" s="14">
        <v>45804</v>
      </c>
      <c r="F178" s="14">
        <v>45827</v>
      </c>
      <c r="G178" s="15">
        <v>221287.65</v>
      </c>
      <c r="H178" s="13" t="s">
        <v>864</v>
      </c>
      <c r="I178" s="13" t="s">
        <v>865</v>
      </c>
      <c r="J178" s="13" t="s">
        <v>91</v>
      </c>
      <c r="K178" s="13">
        <f t="shared" si="10"/>
        <v>2</v>
      </c>
      <c r="L178" s="13">
        <f t="shared" si="11"/>
        <v>0</v>
      </c>
      <c r="M178" s="13">
        <f>IF(AND(L178=0,COUNTIFS($B$2:$B$1534,B178,$G$2:$G$1534,G178,$E$2:$E$1534,"&gt;="&amp;(E178-Assumptions!$B$5),$E$2:$E$1534,"&lt;="&amp;(E178+Assumptions!$B$5))&gt;1),1,0)</f>
        <v>0</v>
      </c>
      <c r="N178" s="13">
        <f>IF(AND(G178&gt;=Assumptions!$B$4*(1-Assumptions!$B$6),G178&lt;Assumptions!$B$4),1,0)</f>
        <v>0</v>
      </c>
      <c r="O178" s="13">
        <f>IF(AND(G178&gt;=Assumptions!$B$7,MOD(G178,Assumptions!$B$7)=0),1,0)</f>
        <v>0</v>
      </c>
      <c r="P178" s="13">
        <f t="shared" si="12"/>
        <v>0</v>
      </c>
      <c r="Q178" s="13">
        <f t="shared" si="13"/>
        <v>0</v>
      </c>
      <c r="R178" s="13">
        <f>L178*Assumptions!$B$11+M178*Assumptions!$B$12+N178*Assumptions!$B$13+O178*Assumptions!$B$14+P178*Assumptions!$B$15+Q178*Assumptions!$B$16</f>
        <v>0</v>
      </c>
      <c r="S178" s="13" t="str">
        <f>IF(R178&gt;=Assumptions!$B$20,"High",IF(R178&gt;=Assumptions!$B$21,"Medium",IF(R178&gt;=1,"Low","Clear")))</f>
        <v>Clear</v>
      </c>
      <c r="T178" s="13" t="str">
        <f t="shared" si="14"/>
        <v/>
      </c>
    </row>
    <row r="179" spans="1:20" x14ac:dyDescent="0.35">
      <c r="A179" s="13" t="s">
        <v>866</v>
      </c>
      <c r="B179" s="13" t="s">
        <v>339</v>
      </c>
      <c r="C179" s="13" t="s">
        <v>340</v>
      </c>
      <c r="D179" s="13" t="s">
        <v>867</v>
      </c>
      <c r="E179" s="14">
        <v>45807</v>
      </c>
      <c r="F179" s="14">
        <v>45827</v>
      </c>
      <c r="G179" s="15">
        <v>8569.27</v>
      </c>
      <c r="H179" s="13" t="s">
        <v>868</v>
      </c>
      <c r="I179" s="13" t="s">
        <v>869</v>
      </c>
      <c r="J179" s="13" t="s">
        <v>111</v>
      </c>
      <c r="K179" s="13">
        <f t="shared" si="10"/>
        <v>8</v>
      </c>
      <c r="L179" s="13">
        <f t="shared" si="11"/>
        <v>0</v>
      </c>
      <c r="M179" s="13">
        <f>IF(AND(L179=0,COUNTIFS($B$2:$B$1534,B179,$G$2:$G$1534,G179,$E$2:$E$1534,"&gt;="&amp;(E179-Assumptions!$B$5),$E$2:$E$1534,"&lt;="&amp;(E179+Assumptions!$B$5))&gt;1),1,0)</f>
        <v>0</v>
      </c>
      <c r="N179" s="13">
        <f>IF(AND(G179&gt;=Assumptions!$B$4*(1-Assumptions!$B$6),G179&lt;Assumptions!$B$4),1,0)</f>
        <v>0</v>
      </c>
      <c r="O179" s="13">
        <f>IF(AND(G179&gt;=Assumptions!$B$7,MOD(G179,Assumptions!$B$7)=0),1,0)</f>
        <v>0</v>
      </c>
      <c r="P179" s="13">
        <f t="shared" si="12"/>
        <v>0</v>
      </c>
      <c r="Q179" s="13">
        <f t="shared" si="13"/>
        <v>0</v>
      </c>
      <c r="R179" s="13">
        <f>L179*Assumptions!$B$11+M179*Assumptions!$B$12+N179*Assumptions!$B$13+O179*Assumptions!$B$14+P179*Assumptions!$B$15+Q179*Assumptions!$B$16</f>
        <v>0</v>
      </c>
      <c r="S179" s="13" t="str">
        <f>IF(R179&gt;=Assumptions!$B$20,"High",IF(R179&gt;=Assumptions!$B$21,"Medium",IF(R179&gt;=1,"Low","Clear")))</f>
        <v>Clear</v>
      </c>
      <c r="T179" s="13" t="str">
        <f t="shared" si="14"/>
        <v/>
      </c>
    </row>
    <row r="180" spans="1:20" x14ac:dyDescent="0.35">
      <c r="A180" s="13" t="s">
        <v>870</v>
      </c>
      <c r="B180" s="13" t="s">
        <v>409</v>
      </c>
      <c r="C180" s="13" t="s">
        <v>410</v>
      </c>
      <c r="D180" s="13" t="s">
        <v>871</v>
      </c>
      <c r="E180" s="14">
        <v>45795</v>
      </c>
      <c r="F180" s="14">
        <v>45828</v>
      </c>
      <c r="G180" s="15">
        <v>1948.47</v>
      </c>
      <c r="H180" s="13" t="s">
        <v>872</v>
      </c>
      <c r="I180" s="13" t="s">
        <v>873</v>
      </c>
      <c r="J180" s="13" t="s">
        <v>143</v>
      </c>
      <c r="K180" s="13">
        <f t="shared" si="10"/>
        <v>1</v>
      </c>
      <c r="L180" s="13">
        <f t="shared" si="11"/>
        <v>0</v>
      </c>
      <c r="M180" s="13">
        <f>IF(AND(L180=0,COUNTIFS($B$2:$B$1534,B180,$G$2:$G$1534,G180,$E$2:$E$1534,"&gt;="&amp;(E180-Assumptions!$B$5),$E$2:$E$1534,"&lt;="&amp;(E180+Assumptions!$B$5))&gt;1),1,0)</f>
        <v>0</v>
      </c>
      <c r="N180" s="13">
        <f>IF(AND(G180&gt;=Assumptions!$B$4*(1-Assumptions!$B$6),G180&lt;Assumptions!$B$4),1,0)</f>
        <v>0</v>
      </c>
      <c r="O180" s="13">
        <f>IF(AND(G180&gt;=Assumptions!$B$7,MOD(G180,Assumptions!$B$7)=0),1,0)</f>
        <v>0</v>
      </c>
      <c r="P180" s="13">
        <f t="shared" si="12"/>
        <v>0</v>
      </c>
      <c r="Q180" s="13">
        <f t="shared" si="13"/>
        <v>0</v>
      </c>
      <c r="R180" s="13">
        <f>L180*Assumptions!$B$11+M180*Assumptions!$B$12+N180*Assumptions!$B$13+O180*Assumptions!$B$14+P180*Assumptions!$B$15+Q180*Assumptions!$B$16</f>
        <v>0</v>
      </c>
      <c r="S180" s="13" t="str">
        <f>IF(R180&gt;=Assumptions!$B$20,"High",IF(R180&gt;=Assumptions!$B$21,"Medium",IF(R180&gt;=1,"Low","Clear")))</f>
        <v>Clear</v>
      </c>
      <c r="T180" s="13" t="str">
        <f t="shared" si="14"/>
        <v/>
      </c>
    </row>
    <row r="181" spans="1:20" x14ac:dyDescent="0.35">
      <c r="A181" s="13" t="s">
        <v>874</v>
      </c>
      <c r="B181" s="13" t="s">
        <v>774</v>
      </c>
      <c r="C181" s="13" t="s">
        <v>775</v>
      </c>
      <c r="D181" s="13" t="s">
        <v>875</v>
      </c>
      <c r="E181" s="14">
        <v>45799</v>
      </c>
      <c r="F181" s="14">
        <v>45828</v>
      </c>
      <c r="G181" s="15">
        <v>72201.679999999993</v>
      </c>
      <c r="H181" s="13" t="s">
        <v>876</v>
      </c>
      <c r="I181" s="13" t="s">
        <v>877</v>
      </c>
      <c r="J181" s="13" t="s">
        <v>98</v>
      </c>
      <c r="K181" s="13">
        <f t="shared" si="10"/>
        <v>7</v>
      </c>
      <c r="L181" s="13">
        <f t="shared" si="11"/>
        <v>0</v>
      </c>
      <c r="M181" s="13">
        <f>IF(AND(L181=0,COUNTIFS($B$2:$B$1534,B181,$G$2:$G$1534,G181,$E$2:$E$1534,"&gt;="&amp;(E181-Assumptions!$B$5),$E$2:$E$1534,"&lt;="&amp;(E181+Assumptions!$B$5))&gt;1),1,0)</f>
        <v>0</v>
      </c>
      <c r="N181" s="13">
        <f>IF(AND(G181&gt;=Assumptions!$B$4*(1-Assumptions!$B$6),G181&lt;Assumptions!$B$4),1,0)</f>
        <v>0</v>
      </c>
      <c r="O181" s="13">
        <f>IF(AND(G181&gt;=Assumptions!$B$7,MOD(G181,Assumptions!$B$7)=0),1,0)</f>
        <v>0</v>
      </c>
      <c r="P181" s="13">
        <f t="shared" si="12"/>
        <v>0</v>
      </c>
      <c r="Q181" s="13">
        <f t="shared" si="13"/>
        <v>0</v>
      </c>
      <c r="R181" s="13">
        <f>L181*Assumptions!$B$11+M181*Assumptions!$B$12+N181*Assumptions!$B$13+O181*Assumptions!$B$14+P181*Assumptions!$B$15+Q181*Assumptions!$B$16</f>
        <v>0</v>
      </c>
      <c r="S181" s="13" t="str">
        <f>IF(R181&gt;=Assumptions!$B$20,"High",IF(R181&gt;=Assumptions!$B$21,"Medium",IF(R181&gt;=1,"Low","Clear")))</f>
        <v>Clear</v>
      </c>
      <c r="T181" s="13" t="str">
        <f t="shared" si="14"/>
        <v/>
      </c>
    </row>
    <row r="182" spans="1:20" x14ac:dyDescent="0.35">
      <c r="A182" s="13" t="s">
        <v>878</v>
      </c>
      <c r="B182" s="13" t="s">
        <v>234</v>
      </c>
      <c r="C182" s="13" t="s">
        <v>235</v>
      </c>
      <c r="D182" s="13" t="s">
        <v>879</v>
      </c>
      <c r="E182" s="14">
        <v>45807</v>
      </c>
      <c r="F182" s="14">
        <v>45828</v>
      </c>
      <c r="G182" s="15">
        <v>3182.74</v>
      </c>
      <c r="H182" s="13" t="s">
        <v>880</v>
      </c>
      <c r="I182" s="13" t="s">
        <v>881</v>
      </c>
      <c r="J182" s="13" t="s">
        <v>170</v>
      </c>
      <c r="K182" s="13">
        <f t="shared" si="10"/>
        <v>3</v>
      </c>
      <c r="L182" s="13">
        <f t="shared" si="11"/>
        <v>0</v>
      </c>
      <c r="M182" s="13">
        <f>IF(AND(L182=0,COUNTIFS($B$2:$B$1534,B182,$G$2:$G$1534,G182,$E$2:$E$1534,"&gt;="&amp;(E182-Assumptions!$B$5),$E$2:$E$1534,"&lt;="&amp;(E182+Assumptions!$B$5))&gt;1),1,0)</f>
        <v>0</v>
      </c>
      <c r="N182" s="13">
        <f>IF(AND(G182&gt;=Assumptions!$B$4*(1-Assumptions!$B$6),G182&lt;Assumptions!$B$4),1,0)</f>
        <v>0</v>
      </c>
      <c r="O182" s="13">
        <f>IF(AND(G182&gt;=Assumptions!$B$7,MOD(G182,Assumptions!$B$7)=0),1,0)</f>
        <v>0</v>
      </c>
      <c r="P182" s="13">
        <f t="shared" si="12"/>
        <v>0</v>
      </c>
      <c r="Q182" s="13">
        <f t="shared" si="13"/>
        <v>0</v>
      </c>
      <c r="R182" s="13">
        <f>L182*Assumptions!$B$11+M182*Assumptions!$B$12+N182*Assumptions!$B$13+O182*Assumptions!$B$14+P182*Assumptions!$B$15+Q182*Assumptions!$B$16</f>
        <v>0</v>
      </c>
      <c r="S182" s="13" t="str">
        <f>IF(R182&gt;=Assumptions!$B$20,"High",IF(R182&gt;=Assumptions!$B$21,"Medium",IF(R182&gt;=1,"Low","Clear")))</f>
        <v>Clear</v>
      </c>
      <c r="T182" s="13" t="str">
        <f t="shared" si="14"/>
        <v/>
      </c>
    </row>
    <row r="183" spans="1:20" x14ac:dyDescent="0.35">
      <c r="A183" s="13" t="s">
        <v>882</v>
      </c>
      <c r="B183" s="13" t="s">
        <v>145</v>
      </c>
      <c r="C183" s="13" t="s">
        <v>146</v>
      </c>
      <c r="D183" s="13" t="s">
        <v>883</v>
      </c>
      <c r="E183" s="14">
        <v>45799</v>
      </c>
      <c r="F183" s="14">
        <v>45828</v>
      </c>
      <c r="G183" s="15">
        <v>400337.07</v>
      </c>
      <c r="H183" s="13" t="s">
        <v>884</v>
      </c>
      <c r="I183" s="13" t="s">
        <v>885</v>
      </c>
      <c r="J183" s="13" t="s">
        <v>170</v>
      </c>
      <c r="K183" s="13">
        <f t="shared" si="10"/>
        <v>4</v>
      </c>
      <c r="L183" s="13">
        <f t="shared" si="11"/>
        <v>0</v>
      </c>
      <c r="M183" s="13">
        <f>IF(AND(L183=0,COUNTIFS($B$2:$B$1534,B183,$G$2:$G$1534,G183,$E$2:$E$1534,"&gt;="&amp;(E183-Assumptions!$B$5),$E$2:$E$1534,"&lt;="&amp;(E183+Assumptions!$B$5))&gt;1),1,0)</f>
        <v>0</v>
      </c>
      <c r="N183" s="13">
        <f>IF(AND(G183&gt;=Assumptions!$B$4*(1-Assumptions!$B$6),G183&lt;Assumptions!$B$4),1,0)</f>
        <v>0</v>
      </c>
      <c r="O183" s="13">
        <f>IF(AND(G183&gt;=Assumptions!$B$7,MOD(G183,Assumptions!$B$7)=0),1,0)</f>
        <v>0</v>
      </c>
      <c r="P183" s="13">
        <f t="shared" si="12"/>
        <v>0</v>
      </c>
      <c r="Q183" s="13">
        <f t="shared" si="13"/>
        <v>0</v>
      </c>
      <c r="R183" s="13">
        <f>L183*Assumptions!$B$11+M183*Assumptions!$B$12+N183*Assumptions!$B$13+O183*Assumptions!$B$14+P183*Assumptions!$B$15+Q183*Assumptions!$B$16</f>
        <v>0</v>
      </c>
      <c r="S183" s="13" t="str">
        <f>IF(R183&gt;=Assumptions!$B$20,"High",IF(R183&gt;=Assumptions!$B$21,"Medium",IF(R183&gt;=1,"Low","Clear")))</f>
        <v>Clear</v>
      </c>
      <c r="T183" s="13" t="str">
        <f t="shared" si="14"/>
        <v/>
      </c>
    </row>
    <row r="184" spans="1:20" x14ac:dyDescent="0.35">
      <c r="A184" s="13" t="s">
        <v>886</v>
      </c>
      <c r="B184" s="13" t="s">
        <v>145</v>
      </c>
      <c r="C184" s="13" t="s">
        <v>146</v>
      </c>
      <c r="D184" s="13" t="s">
        <v>887</v>
      </c>
      <c r="E184" s="14">
        <v>45796</v>
      </c>
      <c r="F184" s="14">
        <v>45828</v>
      </c>
      <c r="G184" s="15">
        <v>124719.47</v>
      </c>
      <c r="H184" s="13" t="s">
        <v>888</v>
      </c>
      <c r="I184" s="13" t="s">
        <v>889</v>
      </c>
      <c r="J184" s="13" t="s">
        <v>143</v>
      </c>
      <c r="K184" s="13">
        <f t="shared" si="10"/>
        <v>1</v>
      </c>
      <c r="L184" s="13">
        <f t="shared" si="11"/>
        <v>0</v>
      </c>
      <c r="M184" s="13">
        <f>IF(AND(L184=0,COUNTIFS($B$2:$B$1534,B184,$G$2:$G$1534,G184,$E$2:$E$1534,"&gt;="&amp;(E184-Assumptions!$B$5),$E$2:$E$1534,"&lt;="&amp;(E184+Assumptions!$B$5))&gt;1),1,0)</f>
        <v>0</v>
      </c>
      <c r="N184" s="13">
        <f>IF(AND(G184&gt;=Assumptions!$B$4*(1-Assumptions!$B$6),G184&lt;Assumptions!$B$4),1,0)</f>
        <v>0</v>
      </c>
      <c r="O184" s="13">
        <f>IF(AND(G184&gt;=Assumptions!$B$7,MOD(G184,Assumptions!$B$7)=0),1,0)</f>
        <v>0</v>
      </c>
      <c r="P184" s="13">
        <f t="shared" si="12"/>
        <v>0</v>
      </c>
      <c r="Q184" s="13">
        <f t="shared" si="13"/>
        <v>0</v>
      </c>
      <c r="R184" s="13">
        <f>L184*Assumptions!$B$11+M184*Assumptions!$B$12+N184*Assumptions!$B$13+O184*Assumptions!$B$14+P184*Assumptions!$B$15+Q184*Assumptions!$B$16</f>
        <v>0</v>
      </c>
      <c r="S184" s="13" t="str">
        <f>IF(R184&gt;=Assumptions!$B$20,"High",IF(R184&gt;=Assumptions!$B$21,"Medium",IF(R184&gt;=1,"Low","Clear")))</f>
        <v>Clear</v>
      </c>
      <c r="T184" s="13" t="str">
        <f t="shared" si="14"/>
        <v/>
      </c>
    </row>
    <row r="185" spans="1:20" x14ac:dyDescent="0.35">
      <c r="A185" s="13" t="s">
        <v>890</v>
      </c>
      <c r="B185" s="13" t="s">
        <v>293</v>
      </c>
      <c r="C185" s="13" t="s">
        <v>294</v>
      </c>
      <c r="D185" s="13" t="s">
        <v>891</v>
      </c>
      <c r="E185" s="14">
        <v>45795</v>
      </c>
      <c r="F185" s="14">
        <v>45829</v>
      </c>
      <c r="G185" s="15">
        <v>13733.84</v>
      </c>
      <c r="H185" s="13" t="s">
        <v>892</v>
      </c>
      <c r="I185" s="13" t="s">
        <v>893</v>
      </c>
      <c r="J185" s="13" t="s">
        <v>111</v>
      </c>
      <c r="K185" s="13">
        <f t="shared" si="10"/>
        <v>1</v>
      </c>
      <c r="L185" s="13">
        <f t="shared" si="11"/>
        <v>0</v>
      </c>
      <c r="M185" s="13">
        <f>IF(AND(L185=0,COUNTIFS($B$2:$B$1534,B185,$G$2:$G$1534,G185,$E$2:$E$1534,"&gt;="&amp;(E185-Assumptions!$B$5),$E$2:$E$1534,"&lt;="&amp;(E185+Assumptions!$B$5))&gt;1),1,0)</f>
        <v>0</v>
      </c>
      <c r="N185" s="13">
        <f>IF(AND(G185&gt;=Assumptions!$B$4*(1-Assumptions!$B$6),G185&lt;Assumptions!$B$4),1,0)</f>
        <v>0</v>
      </c>
      <c r="O185" s="13">
        <f>IF(AND(G185&gt;=Assumptions!$B$7,MOD(G185,Assumptions!$B$7)=0),1,0)</f>
        <v>0</v>
      </c>
      <c r="P185" s="13">
        <f t="shared" si="12"/>
        <v>0</v>
      </c>
      <c r="Q185" s="13">
        <f t="shared" si="13"/>
        <v>1</v>
      </c>
      <c r="R185" s="13">
        <f>L185*Assumptions!$B$11+M185*Assumptions!$B$12+N185*Assumptions!$B$13+O185*Assumptions!$B$14+P185*Assumptions!$B$15+Q185*Assumptions!$B$16</f>
        <v>1</v>
      </c>
      <c r="S185" s="13" t="str">
        <f>IF(R185&gt;=Assumptions!$B$20,"High",IF(R185&gt;=Assumptions!$B$21,"Medium",IF(R185&gt;=1,"Low","Clear")))</f>
        <v>Low</v>
      </c>
      <c r="T185" s="13" t="str">
        <f t="shared" si="14"/>
        <v xml:space="preserve">Weekend payment; </v>
      </c>
    </row>
    <row r="186" spans="1:20" x14ac:dyDescent="0.35">
      <c r="A186" s="13" t="s">
        <v>894</v>
      </c>
      <c r="B186" s="13" t="s">
        <v>176</v>
      </c>
      <c r="C186" s="13" t="s">
        <v>177</v>
      </c>
      <c r="D186" s="13" t="s">
        <v>895</v>
      </c>
      <c r="E186" s="14">
        <v>45795</v>
      </c>
      <c r="F186" s="14">
        <v>45831</v>
      </c>
      <c r="G186" s="15">
        <v>80264.149999999994</v>
      </c>
      <c r="H186" s="13" t="s">
        <v>896</v>
      </c>
      <c r="I186" s="13" t="s">
        <v>897</v>
      </c>
      <c r="J186" s="13" t="s">
        <v>111</v>
      </c>
      <c r="K186" s="13">
        <f t="shared" si="10"/>
        <v>8</v>
      </c>
      <c r="L186" s="13">
        <f t="shared" si="11"/>
        <v>0</v>
      </c>
      <c r="M186" s="13">
        <f>IF(AND(L186=0,COUNTIFS($B$2:$B$1534,B186,$G$2:$G$1534,G186,$E$2:$E$1534,"&gt;="&amp;(E186-Assumptions!$B$5),$E$2:$E$1534,"&lt;="&amp;(E186+Assumptions!$B$5))&gt;1),1,0)</f>
        <v>0</v>
      </c>
      <c r="N186" s="13">
        <f>IF(AND(G186&gt;=Assumptions!$B$4*(1-Assumptions!$B$6),G186&lt;Assumptions!$B$4),1,0)</f>
        <v>0</v>
      </c>
      <c r="O186" s="13">
        <f>IF(AND(G186&gt;=Assumptions!$B$7,MOD(G186,Assumptions!$B$7)=0),1,0)</f>
        <v>0</v>
      </c>
      <c r="P186" s="13">
        <f t="shared" si="12"/>
        <v>0</v>
      </c>
      <c r="Q186" s="13">
        <f t="shared" si="13"/>
        <v>0</v>
      </c>
      <c r="R186" s="13">
        <f>L186*Assumptions!$B$11+M186*Assumptions!$B$12+N186*Assumptions!$B$13+O186*Assumptions!$B$14+P186*Assumptions!$B$15+Q186*Assumptions!$B$16</f>
        <v>0</v>
      </c>
      <c r="S186" s="13" t="str">
        <f>IF(R186&gt;=Assumptions!$B$20,"High",IF(R186&gt;=Assumptions!$B$21,"Medium",IF(R186&gt;=1,"Low","Clear")))</f>
        <v>Clear</v>
      </c>
      <c r="T186" s="13" t="str">
        <f t="shared" si="14"/>
        <v/>
      </c>
    </row>
    <row r="187" spans="1:20" x14ac:dyDescent="0.35">
      <c r="A187" s="13" t="s">
        <v>898</v>
      </c>
      <c r="B187" s="13" t="s">
        <v>182</v>
      </c>
      <c r="C187" s="13" t="s">
        <v>183</v>
      </c>
      <c r="D187" s="13" t="s">
        <v>899</v>
      </c>
      <c r="E187" s="14">
        <v>45790</v>
      </c>
      <c r="F187" s="14">
        <v>45831</v>
      </c>
      <c r="G187" s="15">
        <v>19312.490000000002</v>
      </c>
      <c r="H187" s="13" t="s">
        <v>900</v>
      </c>
      <c r="I187" s="13" t="s">
        <v>901</v>
      </c>
      <c r="J187" s="13" t="s">
        <v>111</v>
      </c>
      <c r="K187" s="13">
        <f t="shared" si="10"/>
        <v>1</v>
      </c>
      <c r="L187" s="13">
        <f t="shared" si="11"/>
        <v>0</v>
      </c>
      <c r="M187" s="13">
        <f>IF(AND(L187=0,COUNTIFS($B$2:$B$1534,B187,$G$2:$G$1534,G187,$E$2:$E$1534,"&gt;="&amp;(E187-Assumptions!$B$5),$E$2:$E$1534,"&lt;="&amp;(E187+Assumptions!$B$5))&gt;1),1,0)</f>
        <v>0</v>
      </c>
      <c r="N187" s="13">
        <f>IF(AND(G187&gt;=Assumptions!$B$4*(1-Assumptions!$B$6),G187&lt;Assumptions!$B$4),1,0)</f>
        <v>0</v>
      </c>
      <c r="O187" s="13">
        <f>IF(AND(G187&gt;=Assumptions!$B$7,MOD(G187,Assumptions!$B$7)=0),1,0)</f>
        <v>0</v>
      </c>
      <c r="P187" s="13">
        <f t="shared" si="12"/>
        <v>0</v>
      </c>
      <c r="Q187" s="13">
        <f t="shared" si="13"/>
        <v>0</v>
      </c>
      <c r="R187" s="13">
        <f>L187*Assumptions!$B$11+M187*Assumptions!$B$12+N187*Assumptions!$B$13+O187*Assumptions!$B$14+P187*Assumptions!$B$15+Q187*Assumptions!$B$16</f>
        <v>0</v>
      </c>
      <c r="S187" s="13" t="str">
        <f>IF(R187&gt;=Assumptions!$B$20,"High",IF(R187&gt;=Assumptions!$B$21,"Medium",IF(R187&gt;=1,"Low","Clear")))</f>
        <v>Clear</v>
      </c>
      <c r="T187" s="13" t="str">
        <f t="shared" si="14"/>
        <v/>
      </c>
    </row>
    <row r="188" spans="1:20" x14ac:dyDescent="0.35">
      <c r="A188" s="13" t="s">
        <v>902</v>
      </c>
      <c r="B188" s="13" t="s">
        <v>391</v>
      </c>
      <c r="C188" s="13" t="s">
        <v>392</v>
      </c>
      <c r="D188" s="13" t="s">
        <v>903</v>
      </c>
      <c r="E188" s="14">
        <v>45794</v>
      </c>
      <c r="F188" s="14">
        <v>45831</v>
      </c>
      <c r="G188" s="15">
        <v>7136.44</v>
      </c>
      <c r="H188" s="13" t="s">
        <v>904</v>
      </c>
      <c r="I188" s="13" t="s">
        <v>905</v>
      </c>
      <c r="J188" s="13" t="s">
        <v>170</v>
      </c>
      <c r="K188" s="13">
        <f t="shared" si="10"/>
        <v>7</v>
      </c>
      <c r="L188" s="13">
        <f t="shared" si="11"/>
        <v>0</v>
      </c>
      <c r="M188" s="13">
        <f>IF(AND(L188=0,COUNTIFS($B$2:$B$1534,B188,$G$2:$G$1534,G188,$E$2:$E$1534,"&gt;="&amp;(E188-Assumptions!$B$5),$E$2:$E$1534,"&lt;="&amp;(E188+Assumptions!$B$5))&gt;1),1,0)</f>
        <v>0</v>
      </c>
      <c r="N188" s="13">
        <f>IF(AND(G188&gt;=Assumptions!$B$4*(1-Assumptions!$B$6),G188&lt;Assumptions!$B$4),1,0)</f>
        <v>0</v>
      </c>
      <c r="O188" s="13">
        <f>IF(AND(G188&gt;=Assumptions!$B$7,MOD(G188,Assumptions!$B$7)=0),1,0)</f>
        <v>0</v>
      </c>
      <c r="P188" s="13">
        <f t="shared" si="12"/>
        <v>0</v>
      </c>
      <c r="Q188" s="13">
        <f t="shared" si="13"/>
        <v>0</v>
      </c>
      <c r="R188" s="13">
        <f>L188*Assumptions!$B$11+M188*Assumptions!$B$12+N188*Assumptions!$B$13+O188*Assumptions!$B$14+P188*Assumptions!$B$15+Q188*Assumptions!$B$16</f>
        <v>0</v>
      </c>
      <c r="S188" s="13" t="str">
        <f>IF(R188&gt;=Assumptions!$B$20,"High",IF(R188&gt;=Assumptions!$B$21,"Medium",IF(R188&gt;=1,"Low","Clear")))</f>
        <v>Clear</v>
      </c>
      <c r="T188" s="13" t="str">
        <f t="shared" si="14"/>
        <v/>
      </c>
    </row>
    <row r="189" spans="1:20" x14ac:dyDescent="0.35">
      <c r="A189" s="13" t="s">
        <v>906</v>
      </c>
      <c r="B189" s="13" t="s">
        <v>228</v>
      </c>
      <c r="C189" s="13" t="s">
        <v>229</v>
      </c>
      <c r="D189" s="13" t="s">
        <v>907</v>
      </c>
      <c r="E189" s="14">
        <v>45797</v>
      </c>
      <c r="F189" s="14">
        <v>45831</v>
      </c>
      <c r="G189" s="15">
        <v>11558.27</v>
      </c>
      <c r="H189" s="13" t="s">
        <v>908</v>
      </c>
      <c r="I189" s="13" t="s">
        <v>909</v>
      </c>
      <c r="J189" s="13" t="s">
        <v>136</v>
      </c>
      <c r="K189" s="13">
        <f t="shared" si="10"/>
        <v>1</v>
      </c>
      <c r="L189" s="13">
        <f t="shared" si="11"/>
        <v>0</v>
      </c>
      <c r="M189" s="13">
        <f>IF(AND(L189=0,COUNTIFS($B$2:$B$1534,B189,$G$2:$G$1534,G189,$E$2:$E$1534,"&gt;="&amp;(E189-Assumptions!$B$5),$E$2:$E$1534,"&lt;="&amp;(E189+Assumptions!$B$5))&gt;1),1,0)</f>
        <v>0</v>
      </c>
      <c r="N189" s="13">
        <f>IF(AND(G189&gt;=Assumptions!$B$4*(1-Assumptions!$B$6),G189&lt;Assumptions!$B$4),1,0)</f>
        <v>0</v>
      </c>
      <c r="O189" s="13">
        <f>IF(AND(G189&gt;=Assumptions!$B$7,MOD(G189,Assumptions!$B$7)=0),1,0)</f>
        <v>0</v>
      </c>
      <c r="P189" s="13">
        <f t="shared" si="12"/>
        <v>0</v>
      </c>
      <c r="Q189" s="13">
        <f t="shared" si="13"/>
        <v>0</v>
      </c>
      <c r="R189" s="13">
        <f>L189*Assumptions!$B$11+M189*Assumptions!$B$12+N189*Assumptions!$B$13+O189*Assumptions!$B$14+P189*Assumptions!$B$15+Q189*Assumptions!$B$16</f>
        <v>0</v>
      </c>
      <c r="S189" s="13" t="str">
        <f>IF(R189&gt;=Assumptions!$B$20,"High",IF(R189&gt;=Assumptions!$B$21,"Medium",IF(R189&gt;=1,"Low","Clear")))</f>
        <v>Clear</v>
      </c>
      <c r="T189" s="13" t="str">
        <f t="shared" si="14"/>
        <v/>
      </c>
    </row>
    <row r="190" spans="1:20" x14ac:dyDescent="0.35">
      <c r="A190" s="13" t="s">
        <v>910</v>
      </c>
      <c r="B190" s="13" t="s">
        <v>86</v>
      </c>
      <c r="C190" s="13" t="s">
        <v>87</v>
      </c>
      <c r="D190" s="13" t="s">
        <v>911</v>
      </c>
      <c r="E190" s="14">
        <v>45805</v>
      </c>
      <c r="F190" s="14">
        <v>45831</v>
      </c>
      <c r="G190" s="15">
        <v>122605.41</v>
      </c>
      <c r="H190" s="13" t="s">
        <v>912</v>
      </c>
      <c r="I190" s="13" t="s">
        <v>913</v>
      </c>
      <c r="J190" s="13" t="s">
        <v>111</v>
      </c>
      <c r="K190" s="13">
        <f t="shared" si="10"/>
        <v>1</v>
      </c>
      <c r="L190" s="13">
        <f t="shared" si="11"/>
        <v>0</v>
      </c>
      <c r="M190" s="13">
        <f>IF(AND(L190=0,COUNTIFS($B$2:$B$1534,B190,$G$2:$G$1534,G190,$E$2:$E$1534,"&gt;="&amp;(E190-Assumptions!$B$5),$E$2:$E$1534,"&lt;="&amp;(E190+Assumptions!$B$5))&gt;1),1,0)</f>
        <v>0</v>
      </c>
      <c r="N190" s="13">
        <f>IF(AND(G190&gt;=Assumptions!$B$4*(1-Assumptions!$B$6),G190&lt;Assumptions!$B$4),1,0)</f>
        <v>0</v>
      </c>
      <c r="O190" s="13">
        <f>IF(AND(G190&gt;=Assumptions!$B$7,MOD(G190,Assumptions!$B$7)=0),1,0)</f>
        <v>0</v>
      </c>
      <c r="P190" s="13">
        <f t="shared" si="12"/>
        <v>0</v>
      </c>
      <c r="Q190" s="13">
        <f t="shared" si="13"/>
        <v>0</v>
      </c>
      <c r="R190" s="13">
        <f>L190*Assumptions!$B$11+M190*Assumptions!$B$12+N190*Assumptions!$B$13+O190*Assumptions!$B$14+P190*Assumptions!$B$15+Q190*Assumptions!$B$16</f>
        <v>0</v>
      </c>
      <c r="S190" s="13" t="str">
        <f>IF(R190&gt;=Assumptions!$B$20,"High",IF(R190&gt;=Assumptions!$B$21,"Medium",IF(R190&gt;=1,"Low","Clear")))</f>
        <v>Clear</v>
      </c>
      <c r="T190" s="13" t="str">
        <f t="shared" si="14"/>
        <v/>
      </c>
    </row>
    <row r="191" spans="1:20" x14ac:dyDescent="0.35">
      <c r="A191" s="13" t="s">
        <v>914</v>
      </c>
      <c r="B191" s="13" t="s">
        <v>200</v>
      </c>
      <c r="C191" s="13" t="s">
        <v>201</v>
      </c>
      <c r="D191" s="13" t="s">
        <v>915</v>
      </c>
      <c r="E191" s="14">
        <v>45809</v>
      </c>
      <c r="F191" s="14">
        <v>45831</v>
      </c>
      <c r="G191" s="15">
        <v>132954.13</v>
      </c>
      <c r="H191" s="13" t="s">
        <v>916</v>
      </c>
      <c r="I191" s="13" t="s">
        <v>917</v>
      </c>
      <c r="J191" s="13" t="s">
        <v>143</v>
      </c>
      <c r="K191" s="13">
        <f t="shared" si="10"/>
        <v>1</v>
      </c>
      <c r="L191" s="13">
        <f t="shared" si="11"/>
        <v>0</v>
      </c>
      <c r="M191" s="13">
        <f>IF(AND(L191=0,COUNTIFS($B$2:$B$1534,B191,$G$2:$G$1534,G191,$E$2:$E$1534,"&gt;="&amp;(E191-Assumptions!$B$5),$E$2:$E$1534,"&lt;="&amp;(E191+Assumptions!$B$5))&gt;1),1,0)</f>
        <v>0</v>
      </c>
      <c r="N191" s="13">
        <f>IF(AND(G191&gt;=Assumptions!$B$4*(1-Assumptions!$B$6),G191&lt;Assumptions!$B$4),1,0)</f>
        <v>0</v>
      </c>
      <c r="O191" s="13">
        <f>IF(AND(G191&gt;=Assumptions!$B$7,MOD(G191,Assumptions!$B$7)=0),1,0)</f>
        <v>0</v>
      </c>
      <c r="P191" s="13">
        <f t="shared" si="12"/>
        <v>0</v>
      </c>
      <c r="Q191" s="13">
        <f t="shared" si="13"/>
        <v>0</v>
      </c>
      <c r="R191" s="13">
        <f>L191*Assumptions!$B$11+M191*Assumptions!$B$12+N191*Assumptions!$B$13+O191*Assumptions!$B$14+P191*Assumptions!$B$15+Q191*Assumptions!$B$16</f>
        <v>0</v>
      </c>
      <c r="S191" s="13" t="str">
        <f>IF(R191&gt;=Assumptions!$B$20,"High",IF(R191&gt;=Assumptions!$B$21,"Medium",IF(R191&gt;=1,"Low","Clear")))</f>
        <v>Clear</v>
      </c>
      <c r="T191" s="13" t="str">
        <f t="shared" si="14"/>
        <v/>
      </c>
    </row>
    <row r="192" spans="1:20" x14ac:dyDescent="0.35">
      <c r="A192" s="13" t="s">
        <v>918</v>
      </c>
      <c r="B192" s="13" t="s">
        <v>234</v>
      </c>
      <c r="C192" s="13" t="s">
        <v>235</v>
      </c>
      <c r="D192" s="13" t="s">
        <v>919</v>
      </c>
      <c r="E192" s="14">
        <v>45807</v>
      </c>
      <c r="F192" s="14">
        <v>45831</v>
      </c>
      <c r="G192" s="15">
        <v>168752.44</v>
      </c>
      <c r="H192" s="13" t="s">
        <v>920</v>
      </c>
      <c r="I192" s="13" t="s">
        <v>921</v>
      </c>
      <c r="J192" s="13" t="s">
        <v>170</v>
      </c>
      <c r="K192" s="13">
        <f t="shared" si="10"/>
        <v>1</v>
      </c>
      <c r="L192" s="13">
        <f t="shared" si="11"/>
        <v>0</v>
      </c>
      <c r="M192" s="13">
        <f>IF(AND(L192=0,COUNTIFS($B$2:$B$1534,B192,$G$2:$G$1534,G192,$E$2:$E$1534,"&gt;="&amp;(E192-Assumptions!$B$5),$E$2:$E$1534,"&lt;="&amp;(E192+Assumptions!$B$5))&gt;1),1,0)</f>
        <v>0</v>
      </c>
      <c r="N192" s="13">
        <f>IF(AND(G192&gt;=Assumptions!$B$4*(1-Assumptions!$B$6),G192&lt;Assumptions!$B$4),1,0)</f>
        <v>0</v>
      </c>
      <c r="O192" s="13">
        <f>IF(AND(G192&gt;=Assumptions!$B$7,MOD(G192,Assumptions!$B$7)=0),1,0)</f>
        <v>0</v>
      </c>
      <c r="P192" s="13">
        <f t="shared" si="12"/>
        <v>0</v>
      </c>
      <c r="Q192" s="13">
        <f t="shared" si="13"/>
        <v>0</v>
      </c>
      <c r="R192" s="13">
        <f>L192*Assumptions!$B$11+M192*Assumptions!$B$12+N192*Assumptions!$B$13+O192*Assumptions!$B$14+P192*Assumptions!$B$15+Q192*Assumptions!$B$16</f>
        <v>0</v>
      </c>
      <c r="S192" s="13" t="str">
        <f>IF(R192&gt;=Assumptions!$B$20,"High",IF(R192&gt;=Assumptions!$B$21,"Medium",IF(R192&gt;=1,"Low","Clear")))</f>
        <v>Clear</v>
      </c>
      <c r="T192" s="13" t="str">
        <f t="shared" si="14"/>
        <v/>
      </c>
    </row>
    <row r="193" spans="1:20" x14ac:dyDescent="0.35">
      <c r="A193" s="13" t="s">
        <v>922</v>
      </c>
      <c r="B193" s="13" t="s">
        <v>113</v>
      </c>
      <c r="C193" s="13" t="s">
        <v>114</v>
      </c>
      <c r="D193" s="13" t="s">
        <v>923</v>
      </c>
      <c r="E193" s="14">
        <v>45810</v>
      </c>
      <c r="F193" s="14">
        <v>45831</v>
      </c>
      <c r="G193" s="15">
        <v>16356.37</v>
      </c>
      <c r="H193" s="13" t="s">
        <v>924</v>
      </c>
      <c r="I193" s="13" t="s">
        <v>925</v>
      </c>
      <c r="J193" s="13" t="s">
        <v>98</v>
      </c>
      <c r="K193" s="13">
        <f t="shared" si="10"/>
        <v>1</v>
      </c>
      <c r="L193" s="13">
        <f t="shared" si="11"/>
        <v>0</v>
      </c>
      <c r="M193" s="13">
        <f>IF(AND(L193=0,COUNTIFS($B$2:$B$1534,B193,$G$2:$G$1534,G193,$E$2:$E$1534,"&gt;="&amp;(E193-Assumptions!$B$5),$E$2:$E$1534,"&lt;="&amp;(E193+Assumptions!$B$5))&gt;1),1,0)</f>
        <v>0</v>
      </c>
      <c r="N193" s="13">
        <f>IF(AND(G193&gt;=Assumptions!$B$4*(1-Assumptions!$B$6),G193&lt;Assumptions!$B$4),1,0)</f>
        <v>0</v>
      </c>
      <c r="O193" s="13">
        <f>IF(AND(G193&gt;=Assumptions!$B$7,MOD(G193,Assumptions!$B$7)=0),1,0)</f>
        <v>0</v>
      </c>
      <c r="P193" s="13">
        <f t="shared" si="12"/>
        <v>0</v>
      </c>
      <c r="Q193" s="13">
        <f t="shared" si="13"/>
        <v>0</v>
      </c>
      <c r="R193" s="13">
        <f>L193*Assumptions!$B$11+M193*Assumptions!$B$12+N193*Assumptions!$B$13+O193*Assumptions!$B$14+P193*Assumptions!$B$15+Q193*Assumptions!$B$16</f>
        <v>0</v>
      </c>
      <c r="S193" s="13" t="str">
        <f>IF(R193&gt;=Assumptions!$B$20,"High",IF(R193&gt;=Assumptions!$B$21,"Medium",IF(R193&gt;=1,"Low","Clear")))</f>
        <v>Clear</v>
      </c>
      <c r="T193" s="13" t="str">
        <f t="shared" si="14"/>
        <v/>
      </c>
    </row>
    <row r="194" spans="1:20" x14ac:dyDescent="0.35">
      <c r="A194" s="13" t="s">
        <v>926</v>
      </c>
      <c r="B194" s="13" t="s">
        <v>206</v>
      </c>
      <c r="C194" s="13" t="s">
        <v>207</v>
      </c>
      <c r="D194" s="13" t="s">
        <v>927</v>
      </c>
      <c r="E194" s="14">
        <v>45809</v>
      </c>
      <c r="F194" s="14">
        <v>45831</v>
      </c>
      <c r="G194" s="15">
        <v>31056.75</v>
      </c>
      <c r="H194" s="13" t="s">
        <v>928</v>
      </c>
      <c r="I194" s="13" t="s">
        <v>929</v>
      </c>
      <c r="J194" s="13" t="s">
        <v>143</v>
      </c>
      <c r="K194" s="13">
        <f t="shared" ref="K194:K257" si="15">VALUE(LEFT(TEXT(G194,"0"),1))</f>
        <v>3</v>
      </c>
      <c r="L194" s="13">
        <f t="shared" ref="L194:L257" si="16">IF(COUNTIFS($B$2:$B$1534,B194,$D$2:$D$1534,D194)&gt;1,1,0)</f>
        <v>0</v>
      </c>
      <c r="M194" s="13">
        <f>IF(AND(L194=0,COUNTIFS($B$2:$B$1534,B194,$G$2:$G$1534,G194,$E$2:$E$1534,"&gt;="&amp;(E194-Assumptions!$B$5),$E$2:$E$1534,"&lt;="&amp;(E194+Assumptions!$B$5))&gt;1),1,0)</f>
        <v>0</v>
      </c>
      <c r="N194" s="13">
        <f>IF(AND(G194&gt;=Assumptions!$B$4*(1-Assumptions!$B$6),G194&lt;Assumptions!$B$4),1,0)</f>
        <v>0</v>
      </c>
      <c r="O194" s="13">
        <f>IF(AND(G194&gt;=Assumptions!$B$7,MOD(G194,Assumptions!$B$7)=0),1,0)</f>
        <v>0</v>
      </c>
      <c r="P194" s="13">
        <f t="shared" ref="P194:P257" si="17">IF(OR(H194="",I194=""),1,0)</f>
        <v>0</v>
      </c>
      <c r="Q194" s="13">
        <f t="shared" ref="Q194:Q257" si="18">IF(WEEKDAY(F194,2)&gt;5,1,0)</f>
        <v>0</v>
      </c>
      <c r="R194" s="13">
        <f>L194*Assumptions!$B$11+M194*Assumptions!$B$12+N194*Assumptions!$B$13+O194*Assumptions!$B$14+P194*Assumptions!$B$15+Q194*Assumptions!$B$16</f>
        <v>0</v>
      </c>
      <c r="S194" s="13" t="str">
        <f>IF(R194&gt;=Assumptions!$B$20,"High",IF(R194&gt;=Assumptions!$B$21,"Medium",IF(R194&gt;=1,"Low","Clear")))</f>
        <v>Clear</v>
      </c>
      <c r="T194" s="13" t="str">
        <f t="shared" ref="T194:T257" si="19">IF(R194=0,"",IF(L194=1,"Duplicate invoice; ","")&amp;IF(M194=1,"Near-duplicate; ","")&amp;IF(N194=1,"Just below limit; ","")&amp;IF(O194=1,"Round amount; ","")&amp;IF(P194=1,"No PO/GRN; ","")&amp;IF(Q194=1,"Weekend payment; ",""))</f>
        <v/>
      </c>
    </row>
    <row r="195" spans="1:20" x14ac:dyDescent="0.35">
      <c r="A195" s="13" t="s">
        <v>930</v>
      </c>
      <c r="B195" s="13" t="s">
        <v>307</v>
      </c>
      <c r="C195" s="13" t="s">
        <v>308</v>
      </c>
      <c r="D195" s="13" t="s">
        <v>931</v>
      </c>
      <c r="E195" s="14">
        <v>45803</v>
      </c>
      <c r="F195" s="14">
        <v>45831</v>
      </c>
      <c r="G195" s="15">
        <v>3756.39</v>
      </c>
      <c r="H195" s="13" t="s">
        <v>932</v>
      </c>
      <c r="I195" s="13" t="s">
        <v>933</v>
      </c>
      <c r="J195" s="13" t="s">
        <v>143</v>
      </c>
      <c r="K195" s="13">
        <f t="shared" si="15"/>
        <v>3</v>
      </c>
      <c r="L195" s="13">
        <f t="shared" si="16"/>
        <v>0</v>
      </c>
      <c r="M195" s="13">
        <f>IF(AND(L195=0,COUNTIFS($B$2:$B$1534,B195,$G$2:$G$1534,G195,$E$2:$E$1534,"&gt;="&amp;(E195-Assumptions!$B$5),$E$2:$E$1534,"&lt;="&amp;(E195+Assumptions!$B$5))&gt;1),1,0)</f>
        <v>0</v>
      </c>
      <c r="N195" s="13">
        <f>IF(AND(G195&gt;=Assumptions!$B$4*(1-Assumptions!$B$6),G195&lt;Assumptions!$B$4),1,0)</f>
        <v>0</v>
      </c>
      <c r="O195" s="13">
        <f>IF(AND(G195&gt;=Assumptions!$B$7,MOD(G195,Assumptions!$B$7)=0),1,0)</f>
        <v>0</v>
      </c>
      <c r="P195" s="13">
        <f t="shared" si="17"/>
        <v>0</v>
      </c>
      <c r="Q195" s="13">
        <f t="shared" si="18"/>
        <v>0</v>
      </c>
      <c r="R195" s="13">
        <f>L195*Assumptions!$B$11+M195*Assumptions!$B$12+N195*Assumptions!$B$13+O195*Assumptions!$B$14+P195*Assumptions!$B$15+Q195*Assumptions!$B$16</f>
        <v>0</v>
      </c>
      <c r="S195" s="13" t="str">
        <f>IF(R195&gt;=Assumptions!$B$20,"High",IF(R195&gt;=Assumptions!$B$21,"Medium",IF(R195&gt;=1,"Low","Clear")))</f>
        <v>Clear</v>
      </c>
      <c r="T195" s="13" t="str">
        <f t="shared" si="19"/>
        <v/>
      </c>
    </row>
    <row r="196" spans="1:20" x14ac:dyDescent="0.35">
      <c r="A196" s="13" t="s">
        <v>934</v>
      </c>
      <c r="B196" s="13" t="s">
        <v>218</v>
      </c>
      <c r="C196" s="13" t="s">
        <v>219</v>
      </c>
      <c r="D196" s="13" t="s">
        <v>935</v>
      </c>
      <c r="E196" s="14">
        <v>45791</v>
      </c>
      <c r="F196" s="14">
        <v>45831</v>
      </c>
      <c r="G196" s="15">
        <v>7693.76</v>
      </c>
      <c r="H196" s="13" t="s">
        <v>936</v>
      </c>
      <c r="I196" s="13" t="s">
        <v>937</v>
      </c>
      <c r="J196" s="13" t="s">
        <v>111</v>
      </c>
      <c r="K196" s="13">
        <f t="shared" si="15"/>
        <v>7</v>
      </c>
      <c r="L196" s="13">
        <f t="shared" si="16"/>
        <v>0</v>
      </c>
      <c r="M196" s="13">
        <f>IF(AND(L196=0,COUNTIFS($B$2:$B$1534,B196,$G$2:$G$1534,G196,$E$2:$E$1534,"&gt;="&amp;(E196-Assumptions!$B$5),$E$2:$E$1534,"&lt;="&amp;(E196+Assumptions!$B$5))&gt;1),1,0)</f>
        <v>0</v>
      </c>
      <c r="N196" s="13">
        <f>IF(AND(G196&gt;=Assumptions!$B$4*(1-Assumptions!$B$6),G196&lt;Assumptions!$B$4),1,0)</f>
        <v>0</v>
      </c>
      <c r="O196" s="13">
        <f>IF(AND(G196&gt;=Assumptions!$B$7,MOD(G196,Assumptions!$B$7)=0),1,0)</f>
        <v>0</v>
      </c>
      <c r="P196" s="13">
        <f t="shared" si="17"/>
        <v>0</v>
      </c>
      <c r="Q196" s="13">
        <f t="shared" si="18"/>
        <v>0</v>
      </c>
      <c r="R196" s="13">
        <f>L196*Assumptions!$B$11+M196*Assumptions!$B$12+N196*Assumptions!$B$13+O196*Assumptions!$B$14+P196*Assumptions!$B$15+Q196*Assumptions!$B$16</f>
        <v>0</v>
      </c>
      <c r="S196" s="13" t="str">
        <f>IF(R196&gt;=Assumptions!$B$20,"High",IF(R196&gt;=Assumptions!$B$21,"Medium",IF(R196&gt;=1,"Low","Clear")))</f>
        <v>Clear</v>
      </c>
      <c r="T196" s="13" t="str">
        <f t="shared" si="19"/>
        <v/>
      </c>
    </row>
    <row r="197" spans="1:20" x14ac:dyDescent="0.35">
      <c r="A197" s="13" t="s">
        <v>938</v>
      </c>
      <c r="B197" s="13" t="s">
        <v>323</v>
      </c>
      <c r="C197" s="13" t="s">
        <v>324</v>
      </c>
      <c r="D197" s="13" t="s">
        <v>939</v>
      </c>
      <c r="E197" s="14">
        <v>45807</v>
      </c>
      <c r="F197" s="14">
        <v>45831</v>
      </c>
      <c r="G197" s="15">
        <v>1367.86</v>
      </c>
      <c r="H197" s="13" t="s">
        <v>940</v>
      </c>
      <c r="I197" s="13" t="s">
        <v>941</v>
      </c>
      <c r="J197" s="13" t="s">
        <v>98</v>
      </c>
      <c r="K197" s="13">
        <f t="shared" si="15"/>
        <v>1</v>
      </c>
      <c r="L197" s="13">
        <f t="shared" si="16"/>
        <v>0</v>
      </c>
      <c r="M197" s="13">
        <f>IF(AND(L197=0,COUNTIFS($B$2:$B$1534,B197,$G$2:$G$1534,G197,$E$2:$E$1534,"&gt;="&amp;(E197-Assumptions!$B$5),$E$2:$E$1534,"&lt;="&amp;(E197+Assumptions!$B$5))&gt;1),1,0)</f>
        <v>0</v>
      </c>
      <c r="N197" s="13">
        <f>IF(AND(G197&gt;=Assumptions!$B$4*(1-Assumptions!$B$6),G197&lt;Assumptions!$B$4),1,0)</f>
        <v>0</v>
      </c>
      <c r="O197" s="13">
        <f>IF(AND(G197&gt;=Assumptions!$B$7,MOD(G197,Assumptions!$B$7)=0),1,0)</f>
        <v>0</v>
      </c>
      <c r="P197" s="13">
        <f t="shared" si="17"/>
        <v>0</v>
      </c>
      <c r="Q197" s="13">
        <f t="shared" si="18"/>
        <v>0</v>
      </c>
      <c r="R197" s="13">
        <f>L197*Assumptions!$B$11+M197*Assumptions!$B$12+N197*Assumptions!$B$13+O197*Assumptions!$B$14+P197*Assumptions!$B$15+Q197*Assumptions!$B$16</f>
        <v>0</v>
      </c>
      <c r="S197" s="13" t="str">
        <f>IF(R197&gt;=Assumptions!$B$20,"High",IF(R197&gt;=Assumptions!$B$21,"Medium",IF(R197&gt;=1,"Low","Clear")))</f>
        <v>Clear</v>
      </c>
      <c r="T197" s="13" t="str">
        <f t="shared" si="19"/>
        <v/>
      </c>
    </row>
    <row r="198" spans="1:20" x14ac:dyDescent="0.35">
      <c r="A198" s="13" t="s">
        <v>942</v>
      </c>
      <c r="B198" s="13" t="s">
        <v>155</v>
      </c>
      <c r="C198" s="13" t="s">
        <v>156</v>
      </c>
      <c r="D198" s="13" t="s">
        <v>943</v>
      </c>
      <c r="E198" s="14">
        <v>45806</v>
      </c>
      <c r="F198" s="14">
        <v>45831</v>
      </c>
      <c r="G198" s="15">
        <v>189653.06</v>
      </c>
      <c r="H198" s="13" t="s">
        <v>944</v>
      </c>
      <c r="I198" s="13" t="s">
        <v>945</v>
      </c>
      <c r="J198" s="13" t="s">
        <v>170</v>
      </c>
      <c r="K198" s="13">
        <f t="shared" si="15"/>
        <v>1</v>
      </c>
      <c r="L198" s="13">
        <f t="shared" si="16"/>
        <v>0</v>
      </c>
      <c r="M198" s="13">
        <f>IF(AND(L198=0,COUNTIFS($B$2:$B$1534,B198,$G$2:$G$1534,G198,$E$2:$E$1534,"&gt;="&amp;(E198-Assumptions!$B$5),$E$2:$E$1534,"&lt;="&amp;(E198+Assumptions!$B$5))&gt;1),1,0)</f>
        <v>0</v>
      </c>
      <c r="N198" s="13">
        <f>IF(AND(G198&gt;=Assumptions!$B$4*(1-Assumptions!$B$6),G198&lt;Assumptions!$B$4),1,0)</f>
        <v>0</v>
      </c>
      <c r="O198" s="13">
        <f>IF(AND(G198&gt;=Assumptions!$B$7,MOD(G198,Assumptions!$B$7)=0),1,0)</f>
        <v>0</v>
      </c>
      <c r="P198" s="13">
        <f t="shared" si="17"/>
        <v>0</v>
      </c>
      <c r="Q198" s="13">
        <f t="shared" si="18"/>
        <v>0</v>
      </c>
      <c r="R198" s="13">
        <f>L198*Assumptions!$B$11+M198*Assumptions!$B$12+N198*Assumptions!$B$13+O198*Assumptions!$B$14+P198*Assumptions!$B$15+Q198*Assumptions!$B$16</f>
        <v>0</v>
      </c>
      <c r="S198" s="13" t="str">
        <f>IF(R198&gt;=Assumptions!$B$20,"High",IF(R198&gt;=Assumptions!$B$21,"Medium",IF(R198&gt;=1,"Low","Clear")))</f>
        <v>Clear</v>
      </c>
      <c r="T198" s="13" t="str">
        <f t="shared" si="19"/>
        <v/>
      </c>
    </row>
    <row r="199" spans="1:20" x14ac:dyDescent="0.35">
      <c r="A199" s="13" t="s">
        <v>946</v>
      </c>
      <c r="B199" s="13" t="s">
        <v>155</v>
      </c>
      <c r="C199" s="13" t="s">
        <v>156</v>
      </c>
      <c r="D199" s="13" t="s">
        <v>843</v>
      </c>
      <c r="E199" s="14">
        <v>45786</v>
      </c>
      <c r="F199" s="14">
        <v>45831</v>
      </c>
      <c r="G199" s="15">
        <v>241989.15</v>
      </c>
      <c r="H199" s="13" t="s">
        <v>844</v>
      </c>
      <c r="I199" s="13" t="s">
        <v>845</v>
      </c>
      <c r="J199" s="13" t="s">
        <v>91</v>
      </c>
      <c r="K199" s="13">
        <f t="shared" si="15"/>
        <v>2</v>
      </c>
      <c r="L199" s="13">
        <f t="shared" si="16"/>
        <v>1</v>
      </c>
      <c r="M199" s="13">
        <f>IF(AND(L199=0,COUNTIFS($B$2:$B$1534,B199,$G$2:$G$1534,G199,$E$2:$E$1534,"&gt;="&amp;(E199-Assumptions!$B$5),$E$2:$E$1534,"&lt;="&amp;(E199+Assumptions!$B$5))&gt;1),1,0)</f>
        <v>0</v>
      </c>
      <c r="N199" s="13">
        <f>IF(AND(G199&gt;=Assumptions!$B$4*(1-Assumptions!$B$6),G199&lt;Assumptions!$B$4),1,0)</f>
        <v>0</v>
      </c>
      <c r="O199" s="13">
        <f>IF(AND(G199&gt;=Assumptions!$B$7,MOD(G199,Assumptions!$B$7)=0),1,0)</f>
        <v>0</v>
      </c>
      <c r="P199" s="13">
        <f t="shared" si="17"/>
        <v>0</v>
      </c>
      <c r="Q199" s="13">
        <f t="shared" si="18"/>
        <v>0</v>
      </c>
      <c r="R199" s="13">
        <f>L199*Assumptions!$B$11+M199*Assumptions!$B$12+N199*Assumptions!$B$13+O199*Assumptions!$B$14+P199*Assumptions!$B$15+Q199*Assumptions!$B$16</f>
        <v>5</v>
      </c>
      <c r="S199" s="13" t="str">
        <f>IF(R199&gt;=Assumptions!$B$20,"High",IF(R199&gt;=Assumptions!$B$21,"Medium",IF(R199&gt;=1,"Low","Clear")))</f>
        <v>High</v>
      </c>
      <c r="T199" s="13" t="str">
        <f t="shared" si="19"/>
        <v xml:space="preserve">Duplicate invoice; </v>
      </c>
    </row>
    <row r="200" spans="1:20" x14ac:dyDescent="0.35">
      <c r="A200" s="13" t="s">
        <v>947</v>
      </c>
      <c r="B200" s="13" t="s">
        <v>100</v>
      </c>
      <c r="C200" s="13" t="s">
        <v>101</v>
      </c>
      <c r="D200" s="13" t="s">
        <v>948</v>
      </c>
      <c r="E200" s="14">
        <v>45794</v>
      </c>
      <c r="F200" s="14">
        <v>45831</v>
      </c>
      <c r="G200" s="15">
        <v>11063.26</v>
      </c>
      <c r="H200" s="13" t="s">
        <v>949</v>
      </c>
      <c r="I200" s="13" t="s">
        <v>950</v>
      </c>
      <c r="J200" s="13" t="s">
        <v>136</v>
      </c>
      <c r="K200" s="13">
        <f t="shared" si="15"/>
        <v>1</v>
      </c>
      <c r="L200" s="13">
        <f t="shared" si="16"/>
        <v>0</v>
      </c>
      <c r="M200" s="13">
        <f>IF(AND(L200=0,COUNTIFS($B$2:$B$1534,B200,$G$2:$G$1534,G200,$E$2:$E$1534,"&gt;="&amp;(E200-Assumptions!$B$5),$E$2:$E$1534,"&lt;="&amp;(E200+Assumptions!$B$5))&gt;1),1,0)</f>
        <v>0</v>
      </c>
      <c r="N200" s="13">
        <f>IF(AND(G200&gt;=Assumptions!$B$4*(1-Assumptions!$B$6),G200&lt;Assumptions!$B$4),1,0)</f>
        <v>0</v>
      </c>
      <c r="O200" s="13">
        <f>IF(AND(G200&gt;=Assumptions!$B$7,MOD(G200,Assumptions!$B$7)=0),1,0)</f>
        <v>0</v>
      </c>
      <c r="P200" s="13">
        <f t="shared" si="17"/>
        <v>0</v>
      </c>
      <c r="Q200" s="13">
        <f t="shared" si="18"/>
        <v>0</v>
      </c>
      <c r="R200" s="13">
        <f>L200*Assumptions!$B$11+M200*Assumptions!$B$12+N200*Assumptions!$B$13+O200*Assumptions!$B$14+P200*Assumptions!$B$15+Q200*Assumptions!$B$16</f>
        <v>0</v>
      </c>
      <c r="S200" s="13" t="str">
        <f>IF(R200&gt;=Assumptions!$B$20,"High",IF(R200&gt;=Assumptions!$B$21,"Medium",IF(R200&gt;=1,"Low","Clear")))</f>
        <v>Clear</v>
      </c>
      <c r="T200" s="13" t="str">
        <f t="shared" si="19"/>
        <v/>
      </c>
    </row>
    <row r="201" spans="1:20" x14ac:dyDescent="0.35">
      <c r="A201" s="13" t="s">
        <v>951</v>
      </c>
      <c r="B201" s="13" t="s">
        <v>100</v>
      </c>
      <c r="C201" s="13" t="s">
        <v>101</v>
      </c>
      <c r="D201" s="13" t="s">
        <v>952</v>
      </c>
      <c r="E201" s="14">
        <v>45810</v>
      </c>
      <c r="F201" s="14">
        <v>45831</v>
      </c>
      <c r="G201" s="15">
        <v>830692.8</v>
      </c>
      <c r="H201" s="13" t="s">
        <v>953</v>
      </c>
      <c r="I201" s="13" t="s">
        <v>954</v>
      </c>
      <c r="J201" s="13" t="s">
        <v>136</v>
      </c>
      <c r="K201" s="13">
        <f t="shared" si="15"/>
        <v>8</v>
      </c>
      <c r="L201" s="13">
        <f t="shared" si="16"/>
        <v>0</v>
      </c>
      <c r="M201" s="13">
        <f>IF(AND(L201=0,COUNTIFS($B$2:$B$1534,B201,$G$2:$G$1534,G201,$E$2:$E$1534,"&gt;="&amp;(E201-Assumptions!$B$5),$E$2:$E$1534,"&lt;="&amp;(E201+Assumptions!$B$5))&gt;1),1,0)</f>
        <v>0</v>
      </c>
      <c r="N201" s="13">
        <f>IF(AND(G201&gt;=Assumptions!$B$4*(1-Assumptions!$B$6),G201&lt;Assumptions!$B$4),1,0)</f>
        <v>0</v>
      </c>
      <c r="O201" s="13">
        <f>IF(AND(G201&gt;=Assumptions!$B$7,MOD(G201,Assumptions!$B$7)=0),1,0)</f>
        <v>0</v>
      </c>
      <c r="P201" s="13">
        <f t="shared" si="17"/>
        <v>0</v>
      </c>
      <c r="Q201" s="13">
        <f t="shared" si="18"/>
        <v>0</v>
      </c>
      <c r="R201" s="13">
        <f>L201*Assumptions!$B$11+M201*Assumptions!$B$12+N201*Assumptions!$B$13+O201*Assumptions!$B$14+P201*Assumptions!$B$15+Q201*Assumptions!$B$16</f>
        <v>0</v>
      </c>
      <c r="S201" s="13" t="str">
        <f>IF(R201&gt;=Assumptions!$B$20,"High",IF(R201&gt;=Assumptions!$B$21,"Medium",IF(R201&gt;=1,"Low","Clear")))</f>
        <v>Clear</v>
      </c>
      <c r="T201" s="13" t="str">
        <f t="shared" si="19"/>
        <v/>
      </c>
    </row>
    <row r="202" spans="1:20" x14ac:dyDescent="0.35">
      <c r="A202" s="13" t="s">
        <v>955</v>
      </c>
      <c r="B202" s="13" t="s">
        <v>252</v>
      </c>
      <c r="C202" s="13" t="s">
        <v>253</v>
      </c>
      <c r="D202" s="13" t="s">
        <v>956</v>
      </c>
      <c r="E202" s="14">
        <v>45811</v>
      </c>
      <c r="F202" s="14">
        <v>45832</v>
      </c>
      <c r="G202" s="15">
        <v>1035.3599999999999</v>
      </c>
      <c r="H202" s="13" t="s">
        <v>957</v>
      </c>
      <c r="I202" s="13" t="s">
        <v>958</v>
      </c>
      <c r="J202" s="13" t="s">
        <v>91</v>
      </c>
      <c r="K202" s="13">
        <f t="shared" si="15"/>
        <v>1</v>
      </c>
      <c r="L202" s="13">
        <f t="shared" si="16"/>
        <v>0</v>
      </c>
      <c r="M202" s="13">
        <f>IF(AND(L202=0,COUNTIFS($B$2:$B$1534,B202,$G$2:$G$1534,G202,$E$2:$E$1534,"&gt;="&amp;(E202-Assumptions!$B$5),$E$2:$E$1534,"&lt;="&amp;(E202+Assumptions!$B$5))&gt;1),1,0)</f>
        <v>0</v>
      </c>
      <c r="N202" s="13">
        <f>IF(AND(G202&gt;=Assumptions!$B$4*(1-Assumptions!$B$6),G202&lt;Assumptions!$B$4),1,0)</f>
        <v>0</v>
      </c>
      <c r="O202" s="13">
        <f>IF(AND(G202&gt;=Assumptions!$B$7,MOD(G202,Assumptions!$B$7)=0),1,0)</f>
        <v>0</v>
      </c>
      <c r="P202" s="13">
        <f t="shared" si="17"/>
        <v>0</v>
      </c>
      <c r="Q202" s="13">
        <f t="shared" si="18"/>
        <v>0</v>
      </c>
      <c r="R202" s="13">
        <f>L202*Assumptions!$B$11+M202*Assumptions!$B$12+N202*Assumptions!$B$13+O202*Assumptions!$B$14+P202*Assumptions!$B$15+Q202*Assumptions!$B$16</f>
        <v>0</v>
      </c>
      <c r="S202" s="13" t="str">
        <f>IF(R202&gt;=Assumptions!$B$20,"High",IF(R202&gt;=Assumptions!$B$21,"Medium",IF(R202&gt;=1,"Low","Clear")))</f>
        <v>Clear</v>
      </c>
      <c r="T202" s="13" t="str">
        <f t="shared" si="19"/>
        <v/>
      </c>
    </row>
    <row r="203" spans="1:20" x14ac:dyDescent="0.35">
      <c r="A203" s="13" t="s">
        <v>959</v>
      </c>
      <c r="B203" s="13" t="s">
        <v>680</v>
      </c>
      <c r="C203" s="13" t="s">
        <v>681</v>
      </c>
      <c r="D203" s="13" t="s">
        <v>960</v>
      </c>
      <c r="E203" s="14">
        <v>45805</v>
      </c>
      <c r="F203" s="14">
        <v>45832</v>
      </c>
      <c r="G203" s="15">
        <v>79200.31</v>
      </c>
      <c r="H203" s="13" t="s">
        <v>961</v>
      </c>
      <c r="I203" s="13" t="s">
        <v>962</v>
      </c>
      <c r="J203" s="13" t="s">
        <v>143</v>
      </c>
      <c r="K203" s="13">
        <f t="shared" si="15"/>
        <v>7</v>
      </c>
      <c r="L203" s="13">
        <f t="shared" si="16"/>
        <v>0</v>
      </c>
      <c r="M203" s="13">
        <f>IF(AND(L203=0,COUNTIFS($B$2:$B$1534,B203,$G$2:$G$1534,G203,$E$2:$E$1534,"&gt;="&amp;(E203-Assumptions!$B$5),$E$2:$E$1534,"&lt;="&amp;(E203+Assumptions!$B$5))&gt;1),1,0)</f>
        <v>0</v>
      </c>
      <c r="N203" s="13">
        <f>IF(AND(G203&gt;=Assumptions!$B$4*(1-Assumptions!$B$6),G203&lt;Assumptions!$B$4),1,0)</f>
        <v>0</v>
      </c>
      <c r="O203" s="13">
        <f>IF(AND(G203&gt;=Assumptions!$B$7,MOD(G203,Assumptions!$B$7)=0),1,0)</f>
        <v>0</v>
      </c>
      <c r="P203" s="13">
        <f t="shared" si="17"/>
        <v>0</v>
      </c>
      <c r="Q203" s="13">
        <f t="shared" si="18"/>
        <v>0</v>
      </c>
      <c r="R203" s="13">
        <f>L203*Assumptions!$B$11+M203*Assumptions!$B$12+N203*Assumptions!$B$13+O203*Assumptions!$B$14+P203*Assumptions!$B$15+Q203*Assumptions!$B$16</f>
        <v>0</v>
      </c>
      <c r="S203" s="13" t="str">
        <f>IF(R203&gt;=Assumptions!$B$20,"High",IF(R203&gt;=Assumptions!$B$21,"Medium",IF(R203&gt;=1,"Low","Clear")))</f>
        <v>Clear</v>
      </c>
      <c r="T203" s="13" t="str">
        <f t="shared" si="19"/>
        <v/>
      </c>
    </row>
    <row r="204" spans="1:20" x14ac:dyDescent="0.35">
      <c r="A204" s="13" t="s">
        <v>963</v>
      </c>
      <c r="B204" s="13" t="s">
        <v>212</v>
      </c>
      <c r="C204" s="13" t="s">
        <v>213</v>
      </c>
      <c r="D204" s="13" t="s">
        <v>964</v>
      </c>
      <c r="E204" s="14">
        <v>45795</v>
      </c>
      <c r="F204" s="14">
        <v>45832</v>
      </c>
      <c r="G204" s="15">
        <v>149194.95000000001</v>
      </c>
      <c r="H204" s="13" t="s">
        <v>965</v>
      </c>
      <c r="I204" s="13" t="s">
        <v>966</v>
      </c>
      <c r="J204" s="13" t="s">
        <v>170</v>
      </c>
      <c r="K204" s="13">
        <f t="shared" si="15"/>
        <v>1</v>
      </c>
      <c r="L204" s="13">
        <f t="shared" si="16"/>
        <v>0</v>
      </c>
      <c r="M204" s="13">
        <f>IF(AND(L204=0,COUNTIFS($B$2:$B$1534,B204,$G$2:$G$1534,G204,$E$2:$E$1534,"&gt;="&amp;(E204-Assumptions!$B$5),$E$2:$E$1534,"&lt;="&amp;(E204+Assumptions!$B$5))&gt;1),1,0)</f>
        <v>0</v>
      </c>
      <c r="N204" s="13">
        <f>IF(AND(G204&gt;=Assumptions!$B$4*(1-Assumptions!$B$6),G204&lt;Assumptions!$B$4),1,0)</f>
        <v>0</v>
      </c>
      <c r="O204" s="13">
        <f>IF(AND(G204&gt;=Assumptions!$B$7,MOD(G204,Assumptions!$B$7)=0),1,0)</f>
        <v>0</v>
      </c>
      <c r="P204" s="13">
        <f t="shared" si="17"/>
        <v>0</v>
      </c>
      <c r="Q204" s="13">
        <f t="shared" si="18"/>
        <v>0</v>
      </c>
      <c r="R204" s="13">
        <f>L204*Assumptions!$B$11+M204*Assumptions!$B$12+N204*Assumptions!$B$13+O204*Assumptions!$B$14+P204*Assumptions!$B$15+Q204*Assumptions!$B$16</f>
        <v>0</v>
      </c>
      <c r="S204" s="13" t="str">
        <f>IF(R204&gt;=Assumptions!$B$20,"High",IF(R204&gt;=Assumptions!$B$21,"Medium",IF(R204&gt;=1,"Low","Clear")))</f>
        <v>Clear</v>
      </c>
      <c r="T204" s="13" t="str">
        <f t="shared" si="19"/>
        <v/>
      </c>
    </row>
    <row r="205" spans="1:20" x14ac:dyDescent="0.35">
      <c r="A205" s="13" t="s">
        <v>967</v>
      </c>
      <c r="B205" s="13" t="s">
        <v>106</v>
      </c>
      <c r="C205" s="13" t="s">
        <v>107</v>
      </c>
      <c r="D205" s="13" t="s">
        <v>968</v>
      </c>
      <c r="E205" s="14">
        <v>45802</v>
      </c>
      <c r="F205" s="14">
        <v>45832</v>
      </c>
      <c r="G205" s="15">
        <v>5311.46</v>
      </c>
      <c r="H205" s="13" t="s">
        <v>969</v>
      </c>
      <c r="I205" s="13" t="s">
        <v>970</v>
      </c>
      <c r="J205" s="13" t="s">
        <v>98</v>
      </c>
      <c r="K205" s="13">
        <f t="shared" si="15"/>
        <v>5</v>
      </c>
      <c r="L205" s="13">
        <f t="shared" si="16"/>
        <v>0</v>
      </c>
      <c r="M205" s="13">
        <f>IF(AND(L205=0,COUNTIFS($B$2:$B$1534,B205,$G$2:$G$1534,G205,$E$2:$E$1534,"&gt;="&amp;(E205-Assumptions!$B$5),$E$2:$E$1534,"&lt;="&amp;(E205+Assumptions!$B$5))&gt;1),1,0)</f>
        <v>0</v>
      </c>
      <c r="N205" s="13">
        <f>IF(AND(G205&gt;=Assumptions!$B$4*(1-Assumptions!$B$6),G205&lt;Assumptions!$B$4),1,0)</f>
        <v>0</v>
      </c>
      <c r="O205" s="13">
        <f>IF(AND(G205&gt;=Assumptions!$B$7,MOD(G205,Assumptions!$B$7)=0),1,0)</f>
        <v>0</v>
      </c>
      <c r="P205" s="13">
        <f t="shared" si="17"/>
        <v>0</v>
      </c>
      <c r="Q205" s="13">
        <f t="shared" si="18"/>
        <v>0</v>
      </c>
      <c r="R205" s="13">
        <f>L205*Assumptions!$B$11+M205*Assumptions!$B$12+N205*Assumptions!$B$13+O205*Assumptions!$B$14+P205*Assumptions!$B$15+Q205*Assumptions!$B$16</f>
        <v>0</v>
      </c>
      <c r="S205" s="13" t="str">
        <f>IF(R205&gt;=Assumptions!$B$20,"High",IF(R205&gt;=Assumptions!$B$21,"Medium",IF(R205&gt;=1,"Low","Clear")))</f>
        <v>Clear</v>
      </c>
      <c r="T205" s="13" t="str">
        <f t="shared" si="19"/>
        <v/>
      </c>
    </row>
    <row r="206" spans="1:20" x14ac:dyDescent="0.35">
      <c r="A206" s="13" t="s">
        <v>971</v>
      </c>
      <c r="B206" s="13" t="s">
        <v>145</v>
      </c>
      <c r="C206" s="13" t="s">
        <v>146</v>
      </c>
      <c r="D206" s="13" t="s">
        <v>972</v>
      </c>
      <c r="E206" s="14">
        <v>45796</v>
      </c>
      <c r="F206" s="14">
        <v>45832</v>
      </c>
      <c r="G206" s="15">
        <v>60000</v>
      </c>
      <c r="H206" s="13" t="s">
        <v>973</v>
      </c>
      <c r="I206" s="13" t="s">
        <v>974</v>
      </c>
      <c r="J206" s="13" t="s">
        <v>136</v>
      </c>
      <c r="K206" s="13">
        <f t="shared" si="15"/>
        <v>6</v>
      </c>
      <c r="L206" s="13">
        <f t="shared" si="16"/>
        <v>0</v>
      </c>
      <c r="M206" s="13">
        <f>IF(AND(L206=0,COUNTIFS($B$2:$B$1534,B206,$G$2:$G$1534,G206,$E$2:$E$1534,"&gt;="&amp;(E206-Assumptions!$B$5),$E$2:$E$1534,"&lt;="&amp;(E206+Assumptions!$B$5))&gt;1),1,0)</f>
        <v>0</v>
      </c>
      <c r="N206" s="13">
        <f>IF(AND(G206&gt;=Assumptions!$B$4*(1-Assumptions!$B$6),G206&lt;Assumptions!$B$4),1,0)</f>
        <v>0</v>
      </c>
      <c r="O206" s="13">
        <f>IF(AND(G206&gt;=Assumptions!$B$7,MOD(G206,Assumptions!$B$7)=0),1,0)</f>
        <v>1</v>
      </c>
      <c r="P206" s="13">
        <f t="shared" si="17"/>
        <v>0</v>
      </c>
      <c r="Q206" s="13">
        <f t="shared" si="18"/>
        <v>0</v>
      </c>
      <c r="R206" s="13">
        <f>L206*Assumptions!$B$11+M206*Assumptions!$B$12+N206*Assumptions!$B$13+O206*Assumptions!$B$14+P206*Assumptions!$B$15+Q206*Assumptions!$B$16</f>
        <v>1</v>
      </c>
      <c r="S206" s="13" t="str">
        <f>IF(R206&gt;=Assumptions!$B$20,"High",IF(R206&gt;=Assumptions!$B$21,"Medium",IF(R206&gt;=1,"Low","Clear")))</f>
        <v>Low</v>
      </c>
      <c r="T206" s="13" t="str">
        <f t="shared" si="19"/>
        <v xml:space="preserve">Round amount; </v>
      </c>
    </row>
    <row r="207" spans="1:20" x14ac:dyDescent="0.35">
      <c r="A207" s="13" t="s">
        <v>975</v>
      </c>
      <c r="B207" s="13" t="s">
        <v>200</v>
      </c>
      <c r="C207" s="13" t="s">
        <v>201</v>
      </c>
      <c r="D207" s="13" t="s">
        <v>976</v>
      </c>
      <c r="E207" s="14">
        <v>45793</v>
      </c>
      <c r="F207" s="14">
        <v>45833</v>
      </c>
      <c r="G207" s="15">
        <v>60421.51</v>
      </c>
      <c r="H207" s="13" t="s">
        <v>977</v>
      </c>
      <c r="I207" s="13" t="s">
        <v>978</v>
      </c>
      <c r="J207" s="13" t="s">
        <v>136</v>
      </c>
      <c r="K207" s="13">
        <f t="shared" si="15"/>
        <v>6</v>
      </c>
      <c r="L207" s="13">
        <f t="shared" si="16"/>
        <v>0</v>
      </c>
      <c r="M207" s="13">
        <f>IF(AND(L207=0,COUNTIFS($B$2:$B$1534,B207,$G$2:$G$1534,G207,$E$2:$E$1534,"&gt;="&amp;(E207-Assumptions!$B$5),$E$2:$E$1534,"&lt;="&amp;(E207+Assumptions!$B$5))&gt;1),1,0)</f>
        <v>0</v>
      </c>
      <c r="N207" s="13">
        <f>IF(AND(G207&gt;=Assumptions!$B$4*(1-Assumptions!$B$6),G207&lt;Assumptions!$B$4),1,0)</f>
        <v>0</v>
      </c>
      <c r="O207" s="13">
        <f>IF(AND(G207&gt;=Assumptions!$B$7,MOD(G207,Assumptions!$B$7)=0),1,0)</f>
        <v>0</v>
      </c>
      <c r="P207" s="13">
        <f t="shared" si="17"/>
        <v>0</v>
      </c>
      <c r="Q207" s="13">
        <f t="shared" si="18"/>
        <v>0</v>
      </c>
      <c r="R207" s="13">
        <f>L207*Assumptions!$B$11+M207*Assumptions!$B$12+N207*Assumptions!$B$13+O207*Assumptions!$B$14+P207*Assumptions!$B$15+Q207*Assumptions!$B$16</f>
        <v>0</v>
      </c>
      <c r="S207" s="13" t="str">
        <f>IF(R207&gt;=Assumptions!$B$20,"High",IF(R207&gt;=Assumptions!$B$21,"Medium",IF(R207&gt;=1,"Low","Clear")))</f>
        <v>Clear</v>
      </c>
      <c r="T207" s="13" t="str">
        <f t="shared" si="19"/>
        <v/>
      </c>
    </row>
    <row r="208" spans="1:20" x14ac:dyDescent="0.35">
      <c r="A208" s="13" t="s">
        <v>979</v>
      </c>
      <c r="B208" s="13" t="s">
        <v>188</v>
      </c>
      <c r="C208" s="13" t="s">
        <v>189</v>
      </c>
      <c r="D208" s="13" t="s">
        <v>980</v>
      </c>
      <c r="E208" s="14">
        <v>45802</v>
      </c>
      <c r="F208" s="14">
        <v>45834</v>
      </c>
      <c r="G208" s="15">
        <v>1450.11</v>
      </c>
      <c r="H208" s="13" t="s">
        <v>981</v>
      </c>
      <c r="I208" s="13" t="s">
        <v>982</v>
      </c>
      <c r="J208" s="13" t="s">
        <v>143</v>
      </c>
      <c r="K208" s="13">
        <f t="shared" si="15"/>
        <v>1</v>
      </c>
      <c r="L208" s="13">
        <f t="shared" si="16"/>
        <v>0</v>
      </c>
      <c r="M208" s="13">
        <f>IF(AND(L208=0,COUNTIFS($B$2:$B$1534,B208,$G$2:$G$1534,G208,$E$2:$E$1534,"&gt;="&amp;(E208-Assumptions!$B$5),$E$2:$E$1534,"&lt;="&amp;(E208+Assumptions!$B$5))&gt;1),1,0)</f>
        <v>0</v>
      </c>
      <c r="N208" s="13">
        <f>IF(AND(G208&gt;=Assumptions!$B$4*(1-Assumptions!$B$6),G208&lt;Assumptions!$B$4),1,0)</f>
        <v>0</v>
      </c>
      <c r="O208" s="13">
        <f>IF(AND(G208&gt;=Assumptions!$B$7,MOD(G208,Assumptions!$B$7)=0),1,0)</f>
        <v>0</v>
      </c>
      <c r="P208" s="13">
        <f t="shared" si="17"/>
        <v>0</v>
      </c>
      <c r="Q208" s="13">
        <f t="shared" si="18"/>
        <v>0</v>
      </c>
      <c r="R208" s="13">
        <f>L208*Assumptions!$B$11+M208*Assumptions!$B$12+N208*Assumptions!$B$13+O208*Assumptions!$B$14+P208*Assumptions!$B$15+Q208*Assumptions!$B$16</f>
        <v>0</v>
      </c>
      <c r="S208" s="13" t="str">
        <f>IF(R208&gt;=Assumptions!$B$20,"High",IF(R208&gt;=Assumptions!$B$21,"Medium",IF(R208&gt;=1,"Low","Clear")))</f>
        <v>Clear</v>
      </c>
      <c r="T208" s="13" t="str">
        <f t="shared" si="19"/>
        <v/>
      </c>
    </row>
    <row r="209" spans="1:20" x14ac:dyDescent="0.35">
      <c r="A209" s="13" t="s">
        <v>983</v>
      </c>
      <c r="B209" s="13" t="s">
        <v>234</v>
      </c>
      <c r="C209" s="13" t="s">
        <v>235</v>
      </c>
      <c r="D209" s="13" t="s">
        <v>984</v>
      </c>
      <c r="E209" s="14">
        <v>45794</v>
      </c>
      <c r="F209" s="14">
        <v>45834</v>
      </c>
      <c r="G209" s="15">
        <v>42892.18</v>
      </c>
      <c r="H209" s="13" t="s">
        <v>985</v>
      </c>
      <c r="I209" s="13" t="s">
        <v>986</v>
      </c>
      <c r="J209" s="13" t="s">
        <v>98</v>
      </c>
      <c r="K209" s="13">
        <f t="shared" si="15"/>
        <v>4</v>
      </c>
      <c r="L209" s="13">
        <f t="shared" si="16"/>
        <v>0</v>
      </c>
      <c r="M209" s="13">
        <f>IF(AND(L209=0,COUNTIFS($B$2:$B$1534,B209,$G$2:$G$1534,G209,$E$2:$E$1534,"&gt;="&amp;(E209-Assumptions!$B$5),$E$2:$E$1534,"&lt;="&amp;(E209+Assumptions!$B$5))&gt;1),1,0)</f>
        <v>0</v>
      </c>
      <c r="N209" s="13">
        <f>IF(AND(G209&gt;=Assumptions!$B$4*(1-Assumptions!$B$6),G209&lt;Assumptions!$B$4),1,0)</f>
        <v>0</v>
      </c>
      <c r="O209" s="13">
        <f>IF(AND(G209&gt;=Assumptions!$B$7,MOD(G209,Assumptions!$B$7)=0),1,0)</f>
        <v>0</v>
      </c>
      <c r="P209" s="13">
        <f t="shared" si="17"/>
        <v>0</v>
      </c>
      <c r="Q209" s="13">
        <f t="shared" si="18"/>
        <v>0</v>
      </c>
      <c r="R209" s="13">
        <f>L209*Assumptions!$B$11+M209*Assumptions!$B$12+N209*Assumptions!$B$13+O209*Assumptions!$B$14+P209*Assumptions!$B$15+Q209*Assumptions!$B$16</f>
        <v>0</v>
      </c>
      <c r="S209" s="13" t="str">
        <f>IF(R209&gt;=Assumptions!$B$20,"High",IF(R209&gt;=Assumptions!$B$21,"Medium",IF(R209&gt;=1,"Low","Clear")))</f>
        <v>Clear</v>
      </c>
      <c r="T209" s="13" t="str">
        <f t="shared" si="19"/>
        <v/>
      </c>
    </row>
    <row r="210" spans="1:20" x14ac:dyDescent="0.35">
      <c r="A210" s="13" t="s">
        <v>987</v>
      </c>
      <c r="B210" s="13" t="s">
        <v>307</v>
      </c>
      <c r="C210" s="13" t="s">
        <v>308</v>
      </c>
      <c r="D210" s="13" t="s">
        <v>988</v>
      </c>
      <c r="E210" s="14">
        <v>45805</v>
      </c>
      <c r="F210" s="14">
        <v>45834</v>
      </c>
      <c r="G210" s="15">
        <v>20150.96</v>
      </c>
      <c r="H210" s="13" t="s">
        <v>989</v>
      </c>
      <c r="I210" s="13" t="s">
        <v>990</v>
      </c>
      <c r="J210" s="13" t="s">
        <v>136</v>
      </c>
      <c r="K210" s="13">
        <f t="shared" si="15"/>
        <v>2</v>
      </c>
      <c r="L210" s="13">
        <f t="shared" si="16"/>
        <v>0</v>
      </c>
      <c r="M210" s="13">
        <f>IF(AND(L210=0,COUNTIFS($B$2:$B$1534,B210,$G$2:$G$1534,G210,$E$2:$E$1534,"&gt;="&amp;(E210-Assumptions!$B$5),$E$2:$E$1534,"&lt;="&amp;(E210+Assumptions!$B$5))&gt;1),1,0)</f>
        <v>0</v>
      </c>
      <c r="N210" s="13">
        <f>IF(AND(G210&gt;=Assumptions!$B$4*(1-Assumptions!$B$6),G210&lt;Assumptions!$B$4),1,0)</f>
        <v>0</v>
      </c>
      <c r="O210" s="13">
        <f>IF(AND(G210&gt;=Assumptions!$B$7,MOD(G210,Assumptions!$B$7)=0),1,0)</f>
        <v>0</v>
      </c>
      <c r="P210" s="13">
        <f t="shared" si="17"/>
        <v>0</v>
      </c>
      <c r="Q210" s="13">
        <f t="shared" si="18"/>
        <v>0</v>
      </c>
      <c r="R210" s="13">
        <f>L210*Assumptions!$B$11+M210*Assumptions!$B$12+N210*Assumptions!$B$13+O210*Assumptions!$B$14+P210*Assumptions!$B$15+Q210*Assumptions!$B$16</f>
        <v>0</v>
      </c>
      <c r="S210" s="13" t="str">
        <f>IF(R210&gt;=Assumptions!$B$20,"High",IF(R210&gt;=Assumptions!$B$21,"Medium",IF(R210&gt;=1,"Low","Clear")))</f>
        <v>Clear</v>
      </c>
      <c r="T210" s="13" t="str">
        <f t="shared" si="19"/>
        <v/>
      </c>
    </row>
    <row r="211" spans="1:20" x14ac:dyDescent="0.35">
      <c r="A211" s="13" t="s">
        <v>991</v>
      </c>
      <c r="B211" s="13" t="s">
        <v>212</v>
      </c>
      <c r="C211" s="13" t="s">
        <v>213</v>
      </c>
      <c r="D211" s="13" t="s">
        <v>992</v>
      </c>
      <c r="E211" s="14">
        <v>45806</v>
      </c>
      <c r="F211" s="14">
        <v>45834</v>
      </c>
      <c r="G211" s="15">
        <v>52759.42</v>
      </c>
      <c r="H211" s="13" t="s">
        <v>993</v>
      </c>
      <c r="I211" s="13" t="s">
        <v>994</v>
      </c>
      <c r="J211" s="13" t="s">
        <v>91</v>
      </c>
      <c r="K211" s="13">
        <f t="shared" si="15"/>
        <v>5</v>
      </c>
      <c r="L211" s="13">
        <f t="shared" si="16"/>
        <v>0</v>
      </c>
      <c r="M211" s="13">
        <f>IF(AND(L211=0,COUNTIFS($B$2:$B$1534,B211,$G$2:$G$1534,G211,$E$2:$E$1534,"&gt;="&amp;(E211-Assumptions!$B$5),$E$2:$E$1534,"&lt;="&amp;(E211+Assumptions!$B$5))&gt;1),1,0)</f>
        <v>0</v>
      </c>
      <c r="N211" s="13">
        <f>IF(AND(G211&gt;=Assumptions!$B$4*(1-Assumptions!$B$6),G211&lt;Assumptions!$B$4),1,0)</f>
        <v>0</v>
      </c>
      <c r="O211" s="13">
        <f>IF(AND(G211&gt;=Assumptions!$B$7,MOD(G211,Assumptions!$B$7)=0),1,0)</f>
        <v>0</v>
      </c>
      <c r="P211" s="13">
        <f t="shared" si="17"/>
        <v>0</v>
      </c>
      <c r="Q211" s="13">
        <f t="shared" si="18"/>
        <v>0</v>
      </c>
      <c r="R211" s="13">
        <f>L211*Assumptions!$B$11+M211*Assumptions!$B$12+N211*Assumptions!$B$13+O211*Assumptions!$B$14+P211*Assumptions!$B$15+Q211*Assumptions!$B$16</f>
        <v>0</v>
      </c>
      <c r="S211" s="13" t="str">
        <f>IF(R211&gt;=Assumptions!$B$20,"High",IF(R211&gt;=Assumptions!$B$21,"Medium",IF(R211&gt;=1,"Low","Clear")))</f>
        <v>Clear</v>
      </c>
      <c r="T211" s="13" t="str">
        <f t="shared" si="19"/>
        <v/>
      </c>
    </row>
    <row r="212" spans="1:20" x14ac:dyDescent="0.35">
      <c r="A212" s="13" t="s">
        <v>995</v>
      </c>
      <c r="B212" s="13" t="s">
        <v>106</v>
      </c>
      <c r="C212" s="13" t="s">
        <v>107</v>
      </c>
      <c r="D212" s="13" t="s">
        <v>996</v>
      </c>
      <c r="E212" s="14">
        <v>45795</v>
      </c>
      <c r="F212" s="14">
        <v>45834</v>
      </c>
      <c r="G212" s="15">
        <v>62248.86</v>
      </c>
      <c r="H212" s="13" t="s">
        <v>997</v>
      </c>
      <c r="I212" s="13" t="s">
        <v>998</v>
      </c>
      <c r="J212" s="13" t="s">
        <v>111</v>
      </c>
      <c r="K212" s="13">
        <f t="shared" si="15"/>
        <v>6</v>
      </c>
      <c r="L212" s="13">
        <f t="shared" si="16"/>
        <v>0</v>
      </c>
      <c r="M212" s="13">
        <f>IF(AND(L212=0,COUNTIFS($B$2:$B$1534,B212,$G$2:$G$1534,G212,$E$2:$E$1534,"&gt;="&amp;(E212-Assumptions!$B$5),$E$2:$E$1534,"&lt;="&amp;(E212+Assumptions!$B$5))&gt;1),1,0)</f>
        <v>0</v>
      </c>
      <c r="N212" s="13">
        <f>IF(AND(G212&gt;=Assumptions!$B$4*(1-Assumptions!$B$6),G212&lt;Assumptions!$B$4),1,0)</f>
        <v>0</v>
      </c>
      <c r="O212" s="13">
        <f>IF(AND(G212&gt;=Assumptions!$B$7,MOD(G212,Assumptions!$B$7)=0),1,0)</f>
        <v>0</v>
      </c>
      <c r="P212" s="13">
        <f t="shared" si="17"/>
        <v>0</v>
      </c>
      <c r="Q212" s="13">
        <f t="shared" si="18"/>
        <v>0</v>
      </c>
      <c r="R212" s="13">
        <f>L212*Assumptions!$B$11+M212*Assumptions!$B$12+N212*Assumptions!$B$13+O212*Assumptions!$B$14+P212*Assumptions!$B$15+Q212*Assumptions!$B$16</f>
        <v>0</v>
      </c>
      <c r="S212" s="13" t="str">
        <f>IF(R212&gt;=Assumptions!$B$20,"High",IF(R212&gt;=Assumptions!$B$21,"Medium",IF(R212&gt;=1,"Low","Clear")))</f>
        <v>Clear</v>
      </c>
      <c r="T212" s="13" t="str">
        <f t="shared" si="19"/>
        <v/>
      </c>
    </row>
    <row r="213" spans="1:20" x14ac:dyDescent="0.35">
      <c r="A213" s="13" t="s">
        <v>999</v>
      </c>
      <c r="B213" s="13" t="s">
        <v>176</v>
      </c>
      <c r="C213" s="13" t="s">
        <v>177</v>
      </c>
      <c r="D213" s="13" t="s">
        <v>1000</v>
      </c>
      <c r="E213" s="14">
        <v>45802</v>
      </c>
      <c r="F213" s="14">
        <v>45835</v>
      </c>
      <c r="G213" s="15">
        <v>4534.4399999999996</v>
      </c>
      <c r="H213" s="13" t="s">
        <v>1001</v>
      </c>
      <c r="I213" s="13" t="s">
        <v>1002</v>
      </c>
      <c r="J213" s="13" t="s">
        <v>98</v>
      </c>
      <c r="K213" s="13">
        <f t="shared" si="15"/>
        <v>4</v>
      </c>
      <c r="L213" s="13">
        <f t="shared" si="16"/>
        <v>0</v>
      </c>
      <c r="M213" s="13">
        <f>IF(AND(L213=0,COUNTIFS($B$2:$B$1534,B213,$G$2:$G$1534,G213,$E$2:$E$1534,"&gt;="&amp;(E213-Assumptions!$B$5),$E$2:$E$1534,"&lt;="&amp;(E213+Assumptions!$B$5))&gt;1),1,0)</f>
        <v>0</v>
      </c>
      <c r="N213" s="13">
        <f>IF(AND(G213&gt;=Assumptions!$B$4*(1-Assumptions!$B$6),G213&lt;Assumptions!$B$4),1,0)</f>
        <v>0</v>
      </c>
      <c r="O213" s="13">
        <f>IF(AND(G213&gt;=Assumptions!$B$7,MOD(G213,Assumptions!$B$7)=0),1,0)</f>
        <v>0</v>
      </c>
      <c r="P213" s="13">
        <f t="shared" si="17"/>
        <v>0</v>
      </c>
      <c r="Q213" s="13">
        <f t="shared" si="18"/>
        <v>0</v>
      </c>
      <c r="R213" s="13">
        <f>L213*Assumptions!$B$11+M213*Assumptions!$B$12+N213*Assumptions!$B$13+O213*Assumptions!$B$14+P213*Assumptions!$B$15+Q213*Assumptions!$B$16</f>
        <v>0</v>
      </c>
      <c r="S213" s="13" t="str">
        <f>IF(R213&gt;=Assumptions!$B$20,"High",IF(R213&gt;=Assumptions!$B$21,"Medium",IF(R213&gt;=1,"Low","Clear")))</f>
        <v>Clear</v>
      </c>
      <c r="T213" s="13" t="str">
        <f t="shared" si="19"/>
        <v/>
      </c>
    </row>
    <row r="214" spans="1:20" x14ac:dyDescent="0.35">
      <c r="A214" s="13" t="s">
        <v>1003</v>
      </c>
      <c r="B214" s="13" t="s">
        <v>670</v>
      </c>
      <c r="C214" s="13" t="s">
        <v>671</v>
      </c>
      <c r="D214" s="13" t="s">
        <v>1004</v>
      </c>
      <c r="E214" s="14">
        <v>45795</v>
      </c>
      <c r="F214" s="14">
        <v>45835</v>
      </c>
      <c r="G214" s="15">
        <v>136404.41</v>
      </c>
      <c r="H214" s="13" t="s">
        <v>1005</v>
      </c>
      <c r="I214" s="13" t="s">
        <v>1006</v>
      </c>
      <c r="J214" s="13" t="s">
        <v>136</v>
      </c>
      <c r="K214" s="13">
        <f t="shared" si="15"/>
        <v>1</v>
      </c>
      <c r="L214" s="13">
        <f t="shared" si="16"/>
        <v>0</v>
      </c>
      <c r="M214" s="13">
        <f>IF(AND(L214=0,COUNTIFS($B$2:$B$1534,B214,$G$2:$G$1534,G214,$E$2:$E$1534,"&gt;="&amp;(E214-Assumptions!$B$5),$E$2:$E$1534,"&lt;="&amp;(E214+Assumptions!$B$5))&gt;1),1,0)</f>
        <v>0</v>
      </c>
      <c r="N214" s="13">
        <f>IF(AND(G214&gt;=Assumptions!$B$4*(1-Assumptions!$B$6),G214&lt;Assumptions!$B$4),1,0)</f>
        <v>0</v>
      </c>
      <c r="O214" s="13">
        <f>IF(AND(G214&gt;=Assumptions!$B$7,MOD(G214,Assumptions!$B$7)=0),1,0)</f>
        <v>0</v>
      </c>
      <c r="P214" s="13">
        <f t="shared" si="17"/>
        <v>0</v>
      </c>
      <c r="Q214" s="13">
        <f t="shared" si="18"/>
        <v>0</v>
      </c>
      <c r="R214" s="13">
        <f>L214*Assumptions!$B$11+M214*Assumptions!$B$12+N214*Assumptions!$B$13+O214*Assumptions!$B$14+P214*Assumptions!$B$15+Q214*Assumptions!$B$16</f>
        <v>0</v>
      </c>
      <c r="S214" s="13" t="str">
        <f>IF(R214&gt;=Assumptions!$B$20,"High",IF(R214&gt;=Assumptions!$B$21,"Medium",IF(R214&gt;=1,"Low","Clear")))</f>
        <v>Clear</v>
      </c>
      <c r="T214" s="13" t="str">
        <f t="shared" si="19"/>
        <v/>
      </c>
    </row>
    <row r="215" spans="1:20" x14ac:dyDescent="0.35">
      <c r="A215" s="13" t="s">
        <v>1007</v>
      </c>
      <c r="B215" s="13" t="s">
        <v>200</v>
      </c>
      <c r="C215" s="13" t="s">
        <v>201</v>
      </c>
      <c r="D215" s="13" t="s">
        <v>1008</v>
      </c>
      <c r="E215" s="14">
        <v>45796</v>
      </c>
      <c r="F215" s="14">
        <v>45835</v>
      </c>
      <c r="G215" s="15">
        <v>181086.27</v>
      </c>
      <c r="H215" s="13" t="s">
        <v>1009</v>
      </c>
      <c r="I215" s="13" t="s">
        <v>1010</v>
      </c>
      <c r="J215" s="13" t="s">
        <v>170</v>
      </c>
      <c r="K215" s="13">
        <f t="shared" si="15"/>
        <v>1</v>
      </c>
      <c r="L215" s="13">
        <f t="shared" si="16"/>
        <v>0</v>
      </c>
      <c r="M215" s="13">
        <f>IF(AND(L215=0,COUNTIFS($B$2:$B$1534,B215,$G$2:$G$1534,G215,$E$2:$E$1534,"&gt;="&amp;(E215-Assumptions!$B$5),$E$2:$E$1534,"&lt;="&amp;(E215+Assumptions!$B$5))&gt;1),1,0)</f>
        <v>0</v>
      </c>
      <c r="N215" s="13">
        <f>IF(AND(G215&gt;=Assumptions!$B$4*(1-Assumptions!$B$6),G215&lt;Assumptions!$B$4),1,0)</f>
        <v>0</v>
      </c>
      <c r="O215" s="13">
        <f>IF(AND(G215&gt;=Assumptions!$B$7,MOD(G215,Assumptions!$B$7)=0),1,0)</f>
        <v>0</v>
      </c>
      <c r="P215" s="13">
        <f t="shared" si="17"/>
        <v>0</v>
      </c>
      <c r="Q215" s="13">
        <f t="shared" si="18"/>
        <v>0</v>
      </c>
      <c r="R215" s="13">
        <f>L215*Assumptions!$B$11+M215*Assumptions!$B$12+N215*Assumptions!$B$13+O215*Assumptions!$B$14+P215*Assumptions!$B$15+Q215*Assumptions!$B$16</f>
        <v>0</v>
      </c>
      <c r="S215" s="13" t="str">
        <f>IF(R215&gt;=Assumptions!$B$20,"High",IF(R215&gt;=Assumptions!$B$21,"Medium",IF(R215&gt;=1,"Low","Clear")))</f>
        <v>Clear</v>
      </c>
      <c r="T215" s="13" t="str">
        <f t="shared" si="19"/>
        <v/>
      </c>
    </row>
    <row r="216" spans="1:20" x14ac:dyDescent="0.35">
      <c r="A216" s="13" t="s">
        <v>1011</v>
      </c>
      <c r="B216" s="13" t="s">
        <v>339</v>
      </c>
      <c r="C216" s="13" t="s">
        <v>340</v>
      </c>
      <c r="D216" s="13" t="s">
        <v>1012</v>
      </c>
      <c r="E216" s="14">
        <v>45795</v>
      </c>
      <c r="F216" s="14">
        <v>45835</v>
      </c>
      <c r="G216" s="15">
        <v>102652.17</v>
      </c>
      <c r="H216" s="13" t="s">
        <v>1013</v>
      </c>
      <c r="I216" s="13" t="s">
        <v>1014</v>
      </c>
      <c r="J216" s="13" t="s">
        <v>111</v>
      </c>
      <c r="K216" s="13">
        <f t="shared" si="15"/>
        <v>1</v>
      </c>
      <c r="L216" s="13">
        <f t="shared" si="16"/>
        <v>0</v>
      </c>
      <c r="M216" s="13">
        <f>IF(AND(L216=0,COUNTIFS($B$2:$B$1534,B216,$G$2:$G$1534,G216,$E$2:$E$1534,"&gt;="&amp;(E216-Assumptions!$B$5),$E$2:$E$1534,"&lt;="&amp;(E216+Assumptions!$B$5))&gt;1),1,0)</f>
        <v>0</v>
      </c>
      <c r="N216" s="13">
        <f>IF(AND(G216&gt;=Assumptions!$B$4*(1-Assumptions!$B$6),G216&lt;Assumptions!$B$4),1,0)</f>
        <v>0</v>
      </c>
      <c r="O216" s="13">
        <f>IF(AND(G216&gt;=Assumptions!$B$7,MOD(G216,Assumptions!$B$7)=0),1,0)</f>
        <v>0</v>
      </c>
      <c r="P216" s="13">
        <f t="shared" si="17"/>
        <v>0</v>
      </c>
      <c r="Q216" s="13">
        <f t="shared" si="18"/>
        <v>0</v>
      </c>
      <c r="R216" s="13">
        <f>L216*Assumptions!$B$11+M216*Assumptions!$B$12+N216*Assumptions!$B$13+O216*Assumptions!$B$14+P216*Assumptions!$B$15+Q216*Assumptions!$B$16</f>
        <v>0</v>
      </c>
      <c r="S216" s="13" t="str">
        <f>IF(R216&gt;=Assumptions!$B$20,"High",IF(R216&gt;=Assumptions!$B$21,"Medium",IF(R216&gt;=1,"Low","Clear")))</f>
        <v>Clear</v>
      </c>
      <c r="T216" s="13" t="str">
        <f t="shared" si="19"/>
        <v/>
      </c>
    </row>
    <row r="217" spans="1:20" x14ac:dyDescent="0.35">
      <c r="A217" s="13" t="s">
        <v>1015</v>
      </c>
      <c r="B217" s="13" t="s">
        <v>339</v>
      </c>
      <c r="C217" s="13" t="s">
        <v>340</v>
      </c>
      <c r="D217" s="13" t="s">
        <v>1016</v>
      </c>
      <c r="E217" s="14">
        <v>45801</v>
      </c>
      <c r="F217" s="14">
        <v>45835</v>
      </c>
      <c r="G217" s="15">
        <v>11338.33</v>
      </c>
      <c r="H217" s="13" t="s">
        <v>1017</v>
      </c>
      <c r="I217" s="13" t="s">
        <v>1018</v>
      </c>
      <c r="J217" s="13" t="s">
        <v>170</v>
      </c>
      <c r="K217" s="13">
        <f t="shared" si="15"/>
        <v>1</v>
      </c>
      <c r="L217" s="13">
        <f t="shared" si="16"/>
        <v>0</v>
      </c>
      <c r="M217" s="13">
        <f>IF(AND(L217=0,COUNTIFS($B$2:$B$1534,B217,$G$2:$G$1534,G217,$E$2:$E$1534,"&gt;="&amp;(E217-Assumptions!$B$5),$E$2:$E$1534,"&lt;="&amp;(E217+Assumptions!$B$5))&gt;1),1,0)</f>
        <v>0</v>
      </c>
      <c r="N217" s="13">
        <f>IF(AND(G217&gt;=Assumptions!$B$4*(1-Assumptions!$B$6),G217&lt;Assumptions!$B$4),1,0)</f>
        <v>0</v>
      </c>
      <c r="O217" s="13">
        <f>IF(AND(G217&gt;=Assumptions!$B$7,MOD(G217,Assumptions!$B$7)=0),1,0)</f>
        <v>0</v>
      </c>
      <c r="P217" s="13">
        <f t="shared" si="17"/>
        <v>0</v>
      </c>
      <c r="Q217" s="13">
        <f t="shared" si="18"/>
        <v>0</v>
      </c>
      <c r="R217" s="13">
        <f>L217*Assumptions!$B$11+M217*Assumptions!$B$12+N217*Assumptions!$B$13+O217*Assumptions!$B$14+P217*Assumptions!$B$15+Q217*Assumptions!$B$16</f>
        <v>0</v>
      </c>
      <c r="S217" s="13" t="str">
        <f>IF(R217&gt;=Assumptions!$B$20,"High",IF(R217&gt;=Assumptions!$B$21,"Medium",IF(R217&gt;=1,"Low","Clear")))</f>
        <v>Clear</v>
      </c>
      <c r="T217" s="13" t="str">
        <f t="shared" si="19"/>
        <v/>
      </c>
    </row>
    <row r="218" spans="1:20" x14ac:dyDescent="0.35">
      <c r="A218" s="13" t="s">
        <v>1019</v>
      </c>
      <c r="B218" s="13" t="s">
        <v>774</v>
      </c>
      <c r="C218" s="13" t="s">
        <v>775</v>
      </c>
      <c r="D218" s="13" t="s">
        <v>1020</v>
      </c>
      <c r="E218" s="14">
        <v>45801</v>
      </c>
      <c r="F218" s="14">
        <v>45836</v>
      </c>
      <c r="G218" s="15">
        <v>35428.720000000001</v>
      </c>
      <c r="H218" s="13" t="s">
        <v>1021</v>
      </c>
      <c r="I218" s="13" t="s">
        <v>1022</v>
      </c>
      <c r="J218" s="13" t="s">
        <v>98</v>
      </c>
      <c r="K218" s="13">
        <f t="shared" si="15"/>
        <v>3</v>
      </c>
      <c r="L218" s="13">
        <f t="shared" si="16"/>
        <v>0</v>
      </c>
      <c r="M218" s="13">
        <f>IF(AND(L218=0,COUNTIFS($B$2:$B$1534,B218,$G$2:$G$1534,G218,$E$2:$E$1534,"&gt;="&amp;(E218-Assumptions!$B$5),$E$2:$E$1534,"&lt;="&amp;(E218+Assumptions!$B$5))&gt;1),1,0)</f>
        <v>0</v>
      </c>
      <c r="N218" s="13">
        <f>IF(AND(G218&gt;=Assumptions!$B$4*(1-Assumptions!$B$6),G218&lt;Assumptions!$B$4),1,0)</f>
        <v>0</v>
      </c>
      <c r="O218" s="13">
        <f>IF(AND(G218&gt;=Assumptions!$B$7,MOD(G218,Assumptions!$B$7)=0),1,0)</f>
        <v>0</v>
      </c>
      <c r="P218" s="13">
        <f t="shared" si="17"/>
        <v>0</v>
      </c>
      <c r="Q218" s="13">
        <f t="shared" si="18"/>
        <v>1</v>
      </c>
      <c r="R218" s="13">
        <f>L218*Assumptions!$B$11+M218*Assumptions!$B$12+N218*Assumptions!$B$13+O218*Assumptions!$B$14+P218*Assumptions!$B$15+Q218*Assumptions!$B$16</f>
        <v>1</v>
      </c>
      <c r="S218" s="13" t="str">
        <f>IF(R218&gt;=Assumptions!$B$20,"High",IF(R218&gt;=Assumptions!$B$21,"Medium",IF(R218&gt;=1,"Low","Clear")))</f>
        <v>Low</v>
      </c>
      <c r="T218" s="13" t="str">
        <f t="shared" si="19"/>
        <v xml:space="preserve">Weekend payment; </v>
      </c>
    </row>
    <row r="219" spans="1:20" x14ac:dyDescent="0.35">
      <c r="A219" s="13" t="s">
        <v>1023</v>
      </c>
      <c r="B219" s="13" t="s">
        <v>182</v>
      </c>
      <c r="C219" s="13" t="s">
        <v>183</v>
      </c>
      <c r="D219" s="13" t="s">
        <v>1024</v>
      </c>
      <c r="E219" s="14">
        <v>45809</v>
      </c>
      <c r="F219" s="14">
        <v>45838</v>
      </c>
      <c r="G219" s="15">
        <v>30140.52</v>
      </c>
      <c r="H219" s="13" t="s">
        <v>1025</v>
      </c>
      <c r="I219" s="13" t="s">
        <v>1026</v>
      </c>
      <c r="J219" s="13" t="s">
        <v>136</v>
      </c>
      <c r="K219" s="13">
        <f t="shared" si="15"/>
        <v>3</v>
      </c>
      <c r="L219" s="13">
        <f t="shared" si="16"/>
        <v>0</v>
      </c>
      <c r="M219" s="13">
        <f>IF(AND(L219=0,COUNTIFS($B$2:$B$1534,B219,$G$2:$G$1534,G219,$E$2:$E$1534,"&gt;="&amp;(E219-Assumptions!$B$5),$E$2:$E$1534,"&lt;="&amp;(E219+Assumptions!$B$5))&gt;1),1,0)</f>
        <v>0</v>
      </c>
      <c r="N219" s="13">
        <f>IF(AND(G219&gt;=Assumptions!$B$4*(1-Assumptions!$B$6),G219&lt;Assumptions!$B$4),1,0)</f>
        <v>0</v>
      </c>
      <c r="O219" s="13">
        <f>IF(AND(G219&gt;=Assumptions!$B$7,MOD(G219,Assumptions!$B$7)=0),1,0)</f>
        <v>0</v>
      </c>
      <c r="P219" s="13">
        <f t="shared" si="17"/>
        <v>0</v>
      </c>
      <c r="Q219" s="13">
        <f t="shared" si="18"/>
        <v>0</v>
      </c>
      <c r="R219" s="13">
        <f>L219*Assumptions!$B$11+M219*Assumptions!$B$12+N219*Assumptions!$B$13+O219*Assumptions!$B$14+P219*Assumptions!$B$15+Q219*Assumptions!$B$16</f>
        <v>0</v>
      </c>
      <c r="S219" s="13" t="str">
        <f>IF(R219&gt;=Assumptions!$B$20,"High",IF(R219&gt;=Assumptions!$B$21,"Medium",IF(R219&gt;=1,"Low","Clear")))</f>
        <v>Clear</v>
      </c>
      <c r="T219" s="13" t="str">
        <f t="shared" si="19"/>
        <v/>
      </c>
    </row>
    <row r="220" spans="1:20" x14ac:dyDescent="0.35">
      <c r="A220" s="13" t="s">
        <v>1027</v>
      </c>
      <c r="B220" s="13" t="s">
        <v>409</v>
      </c>
      <c r="C220" s="13" t="s">
        <v>410</v>
      </c>
      <c r="D220" s="13" t="s">
        <v>1028</v>
      </c>
      <c r="E220" s="14">
        <v>45816</v>
      </c>
      <c r="F220" s="14">
        <v>45838</v>
      </c>
      <c r="G220" s="15">
        <v>7676.16</v>
      </c>
      <c r="H220" s="13" t="s">
        <v>1029</v>
      </c>
      <c r="I220" s="13" t="s">
        <v>1030</v>
      </c>
      <c r="J220" s="13" t="s">
        <v>143</v>
      </c>
      <c r="K220" s="13">
        <f t="shared" si="15"/>
        <v>7</v>
      </c>
      <c r="L220" s="13">
        <f t="shared" si="16"/>
        <v>0</v>
      </c>
      <c r="M220" s="13">
        <f>IF(AND(L220=0,COUNTIFS($B$2:$B$1534,B220,$G$2:$G$1534,G220,$E$2:$E$1534,"&gt;="&amp;(E220-Assumptions!$B$5),$E$2:$E$1534,"&lt;="&amp;(E220+Assumptions!$B$5))&gt;1),1,0)</f>
        <v>0</v>
      </c>
      <c r="N220" s="13">
        <f>IF(AND(G220&gt;=Assumptions!$B$4*(1-Assumptions!$B$6),G220&lt;Assumptions!$B$4),1,0)</f>
        <v>0</v>
      </c>
      <c r="O220" s="13">
        <f>IF(AND(G220&gt;=Assumptions!$B$7,MOD(G220,Assumptions!$B$7)=0),1,0)</f>
        <v>0</v>
      </c>
      <c r="P220" s="13">
        <f t="shared" si="17"/>
        <v>0</v>
      </c>
      <c r="Q220" s="13">
        <f t="shared" si="18"/>
        <v>0</v>
      </c>
      <c r="R220" s="13">
        <f>L220*Assumptions!$B$11+M220*Assumptions!$B$12+N220*Assumptions!$B$13+O220*Assumptions!$B$14+P220*Assumptions!$B$15+Q220*Assumptions!$B$16</f>
        <v>0</v>
      </c>
      <c r="S220" s="13" t="str">
        <f>IF(R220&gt;=Assumptions!$B$20,"High",IF(R220&gt;=Assumptions!$B$21,"Medium",IF(R220&gt;=1,"Low","Clear")))</f>
        <v>Clear</v>
      </c>
      <c r="T220" s="13" t="str">
        <f t="shared" si="19"/>
        <v/>
      </c>
    </row>
    <row r="221" spans="1:20" x14ac:dyDescent="0.35">
      <c r="A221" s="13" t="s">
        <v>1031</v>
      </c>
      <c r="B221" s="13" t="s">
        <v>670</v>
      </c>
      <c r="C221" s="13" t="s">
        <v>671</v>
      </c>
      <c r="D221" s="13" t="s">
        <v>1032</v>
      </c>
      <c r="E221" s="14">
        <v>45813</v>
      </c>
      <c r="F221" s="14">
        <v>45838</v>
      </c>
      <c r="G221" s="15">
        <v>15195.37</v>
      </c>
      <c r="H221" s="13" t="s">
        <v>1033</v>
      </c>
      <c r="I221" s="13" t="s">
        <v>1034</v>
      </c>
      <c r="J221" s="13" t="s">
        <v>170</v>
      </c>
      <c r="K221" s="13">
        <f t="shared" si="15"/>
        <v>1</v>
      </c>
      <c r="L221" s="13">
        <f t="shared" si="16"/>
        <v>0</v>
      </c>
      <c r="M221" s="13">
        <f>IF(AND(L221=0,COUNTIFS($B$2:$B$1534,B221,$G$2:$G$1534,G221,$E$2:$E$1534,"&gt;="&amp;(E221-Assumptions!$B$5),$E$2:$E$1534,"&lt;="&amp;(E221+Assumptions!$B$5))&gt;1),1,0)</f>
        <v>0</v>
      </c>
      <c r="N221" s="13">
        <f>IF(AND(G221&gt;=Assumptions!$B$4*(1-Assumptions!$B$6),G221&lt;Assumptions!$B$4),1,0)</f>
        <v>0</v>
      </c>
      <c r="O221" s="13">
        <f>IF(AND(G221&gt;=Assumptions!$B$7,MOD(G221,Assumptions!$B$7)=0),1,0)</f>
        <v>0</v>
      </c>
      <c r="P221" s="13">
        <f t="shared" si="17"/>
        <v>0</v>
      </c>
      <c r="Q221" s="13">
        <f t="shared" si="18"/>
        <v>0</v>
      </c>
      <c r="R221" s="13">
        <f>L221*Assumptions!$B$11+M221*Assumptions!$B$12+N221*Assumptions!$B$13+O221*Assumptions!$B$14+P221*Assumptions!$B$15+Q221*Assumptions!$B$16</f>
        <v>0</v>
      </c>
      <c r="S221" s="13" t="str">
        <f>IF(R221&gt;=Assumptions!$B$20,"High",IF(R221&gt;=Assumptions!$B$21,"Medium",IF(R221&gt;=1,"Low","Clear")))</f>
        <v>Clear</v>
      </c>
      <c r="T221" s="13" t="str">
        <f t="shared" si="19"/>
        <v/>
      </c>
    </row>
    <row r="222" spans="1:20" x14ac:dyDescent="0.35">
      <c r="A222" s="13" t="s">
        <v>1035</v>
      </c>
      <c r="B222" s="13" t="s">
        <v>498</v>
      </c>
      <c r="C222" s="13" t="s">
        <v>499</v>
      </c>
      <c r="D222" s="13" t="s">
        <v>1036</v>
      </c>
      <c r="E222" s="14">
        <v>45810</v>
      </c>
      <c r="F222" s="14">
        <v>45838</v>
      </c>
      <c r="G222" s="15">
        <v>9719.09</v>
      </c>
      <c r="H222" s="13" t="s">
        <v>1037</v>
      </c>
      <c r="I222" s="13" t="s">
        <v>1038</v>
      </c>
      <c r="J222" s="13" t="s">
        <v>143</v>
      </c>
      <c r="K222" s="13">
        <f t="shared" si="15"/>
        <v>9</v>
      </c>
      <c r="L222" s="13">
        <f t="shared" si="16"/>
        <v>0</v>
      </c>
      <c r="M222" s="13">
        <f>IF(AND(L222=0,COUNTIFS($B$2:$B$1534,B222,$G$2:$G$1534,G222,$E$2:$E$1534,"&gt;="&amp;(E222-Assumptions!$B$5),$E$2:$E$1534,"&lt;="&amp;(E222+Assumptions!$B$5))&gt;1),1,0)</f>
        <v>0</v>
      </c>
      <c r="N222" s="13">
        <f>IF(AND(G222&gt;=Assumptions!$B$4*(1-Assumptions!$B$6),G222&lt;Assumptions!$B$4),1,0)</f>
        <v>0</v>
      </c>
      <c r="O222" s="13">
        <f>IF(AND(G222&gt;=Assumptions!$B$7,MOD(G222,Assumptions!$B$7)=0),1,0)</f>
        <v>0</v>
      </c>
      <c r="P222" s="13">
        <f t="shared" si="17"/>
        <v>0</v>
      </c>
      <c r="Q222" s="13">
        <f t="shared" si="18"/>
        <v>0</v>
      </c>
      <c r="R222" s="13">
        <f>L222*Assumptions!$B$11+M222*Assumptions!$B$12+N222*Assumptions!$B$13+O222*Assumptions!$B$14+P222*Assumptions!$B$15+Q222*Assumptions!$B$16</f>
        <v>0</v>
      </c>
      <c r="S222" s="13" t="str">
        <f>IF(R222&gt;=Assumptions!$B$20,"High",IF(R222&gt;=Assumptions!$B$21,"Medium",IF(R222&gt;=1,"Low","Clear")))</f>
        <v>Clear</v>
      </c>
      <c r="T222" s="13" t="str">
        <f t="shared" si="19"/>
        <v/>
      </c>
    </row>
    <row r="223" spans="1:20" x14ac:dyDescent="0.35">
      <c r="A223" s="13" t="s">
        <v>1039</v>
      </c>
      <c r="B223" s="13" t="s">
        <v>252</v>
      </c>
      <c r="C223" s="13" t="s">
        <v>253</v>
      </c>
      <c r="D223" s="13" t="s">
        <v>1040</v>
      </c>
      <c r="E223" s="14">
        <v>45809</v>
      </c>
      <c r="F223" s="14">
        <v>45838</v>
      </c>
      <c r="G223" s="15">
        <v>29684.880000000001</v>
      </c>
      <c r="H223" s="13" t="s">
        <v>1041</v>
      </c>
      <c r="I223" s="13" t="s">
        <v>1042</v>
      </c>
      <c r="J223" s="13" t="s">
        <v>136</v>
      </c>
      <c r="K223" s="13">
        <f t="shared" si="15"/>
        <v>2</v>
      </c>
      <c r="L223" s="13">
        <f t="shared" si="16"/>
        <v>0</v>
      </c>
      <c r="M223" s="13">
        <f>IF(AND(L223=0,COUNTIFS($B$2:$B$1534,B223,$G$2:$G$1534,G223,$E$2:$E$1534,"&gt;="&amp;(E223-Assumptions!$B$5),$E$2:$E$1534,"&lt;="&amp;(E223+Assumptions!$B$5))&gt;1),1,0)</f>
        <v>0</v>
      </c>
      <c r="N223" s="13">
        <f>IF(AND(G223&gt;=Assumptions!$B$4*(1-Assumptions!$B$6),G223&lt;Assumptions!$B$4),1,0)</f>
        <v>0</v>
      </c>
      <c r="O223" s="13">
        <f>IF(AND(G223&gt;=Assumptions!$B$7,MOD(G223,Assumptions!$B$7)=0),1,0)</f>
        <v>0</v>
      </c>
      <c r="P223" s="13">
        <f t="shared" si="17"/>
        <v>0</v>
      </c>
      <c r="Q223" s="13">
        <f t="shared" si="18"/>
        <v>0</v>
      </c>
      <c r="R223" s="13">
        <f>L223*Assumptions!$B$11+M223*Assumptions!$B$12+N223*Assumptions!$B$13+O223*Assumptions!$B$14+P223*Assumptions!$B$15+Q223*Assumptions!$B$16</f>
        <v>0</v>
      </c>
      <c r="S223" s="13" t="str">
        <f>IF(R223&gt;=Assumptions!$B$20,"High",IF(R223&gt;=Assumptions!$B$21,"Medium",IF(R223&gt;=1,"Low","Clear")))</f>
        <v>Clear</v>
      </c>
      <c r="T223" s="13" t="str">
        <f t="shared" si="19"/>
        <v/>
      </c>
    </row>
    <row r="224" spans="1:20" x14ac:dyDescent="0.35">
      <c r="A224" s="13" t="s">
        <v>1043</v>
      </c>
      <c r="B224" s="13" t="s">
        <v>466</v>
      </c>
      <c r="C224" s="13" t="s">
        <v>467</v>
      </c>
      <c r="D224" s="13" t="s">
        <v>1044</v>
      </c>
      <c r="E224" s="14">
        <v>45813</v>
      </c>
      <c r="F224" s="14">
        <v>45838</v>
      </c>
      <c r="G224" s="15">
        <v>153635.96</v>
      </c>
      <c r="H224" s="13" t="s">
        <v>1045</v>
      </c>
      <c r="I224" s="13" t="s">
        <v>1046</v>
      </c>
      <c r="J224" s="13" t="s">
        <v>98</v>
      </c>
      <c r="K224" s="13">
        <f t="shared" si="15"/>
        <v>1</v>
      </c>
      <c r="L224" s="13">
        <f t="shared" si="16"/>
        <v>0</v>
      </c>
      <c r="M224" s="13">
        <f>IF(AND(L224=0,COUNTIFS($B$2:$B$1534,B224,$G$2:$G$1534,G224,$E$2:$E$1534,"&gt;="&amp;(E224-Assumptions!$B$5),$E$2:$E$1534,"&lt;="&amp;(E224+Assumptions!$B$5))&gt;1),1,0)</f>
        <v>0</v>
      </c>
      <c r="N224" s="13">
        <f>IF(AND(G224&gt;=Assumptions!$B$4*(1-Assumptions!$B$6),G224&lt;Assumptions!$B$4),1,0)</f>
        <v>0</v>
      </c>
      <c r="O224" s="13">
        <f>IF(AND(G224&gt;=Assumptions!$B$7,MOD(G224,Assumptions!$B$7)=0),1,0)</f>
        <v>0</v>
      </c>
      <c r="P224" s="13">
        <f t="shared" si="17"/>
        <v>0</v>
      </c>
      <c r="Q224" s="13">
        <f t="shared" si="18"/>
        <v>0</v>
      </c>
      <c r="R224" s="13">
        <f>L224*Assumptions!$B$11+M224*Assumptions!$B$12+N224*Assumptions!$B$13+O224*Assumptions!$B$14+P224*Assumptions!$B$15+Q224*Assumptions!$B$16</f>
        <v>0</v>
      </c>
      <c r="S224" s="13" t="str">
        <f>IF(R224&gt;=Assumptions!$B$20,"High",IF(R224&gt;=Assumptions!$B$21,"Medium",IF(R224&gt;=1,"Low","Clear")))</f>
        <v>Clear</v>
      </c>
      <c r="T224" s="13" t="str">
        <f t="shared" si="19"/>
        <v/>
      </c>
    </row>
    <row r="225" spans="1:20" x14ac:dyDescent="0.35">
      <c r="A225" s="13" t="s">
        <v>1047</v>
      </c>
      <c r="B225" s="13" t="s">
        <v>100</v>
      </c>
      <c r="C225" s="13" t="s">
        <v>101</v>
      </c>
      <c r="D225" s="13" t="s">
        <v>1048</v>
      </c>
      <c r="E225" s="14">
        <v>45805</v>
      </c>
      <c r="F225" s="14">
        <v>45838</v>
      </c>
      <c r="G225" s="15">
        <v>20992.47</v>
      </c>
      <c r="H225" s="13" t="s">
        <v>1049</v>
      </c>
      <c r="I225" s="13" t="s">
        <v>1050</v>
      </c>
      <c r="J225" s="13" t="s">
        <v>136</v>
      </c>
      <c r="K225" s="13">
        <f t="shared" si="15"/>
        <v>2</v>
      </c>
      <c r="L225" s="13">
        <f t="shared" si="16"/>
        <v>0</v>
      </c>
      <c r="M225" s="13">
        <f>IF(AND(L225=0,COUNTIFS($B$2:$B$1534,B225,$G$2:$G$1534,G225,$E$2:$E$1534,"&gt;="&amp;(E225-Assumptions!$B$5),$E$2:$E$1534,"&lt;="&amp;(E225+Assumptions!$B$5))&gt;1),1,0)</f>
        <v>0</v>
      </c>
      <c r="N225" s="13">
        <f>IF(AND(G225&gt;=Assumptions!$B$4*(1-Assumptions!$B$6),G225&lt;Assumptions!$B$4),1,0)</f>
        <v>0</v>
      </c>
      <c r="O225" s="13">
        <f>IF(AND(G225&gt;=Assumptions!$B$7,MOD(G225,Assumptions!$B$7)=0),1,0)</f>
        <v>0</v>
      </c>
      <c r="P225" s="13">
        <f t="shared" si="17"/>
        <v>0</v>
      </c>
      <c r="Q225" s="13">
        <f t="shared" si="18"/>
        <v>0</v>
      </c>
      <c r="R225" s="13">
        <f>L225*Assumptions!$B$11+M225*Assumptions!$B$12+N225*Assumptions!$B$13+O225*Assumptions!$B$14+P225*Assumptions!$B$15+Q225*Assumptions!$B$16</f>
        <v>0</v>
      </c>
      <c r="S225" s="13" t="str">
        <f>IF(R225&gt;=Assumptions!$B$20,"High",IF(R225&gt;=Assumptions!$B$21,"Medium",IF(R225&gt;=1,"Low","Clear")))</f>
        <v>Clear</v>
      </c>
      <c r="T225" s="13" t="str">
        <f t="shared" si="19"/>
        <v/>
      </c>
    </row>
    <row r="226" spans="1:20" x14ac:dyDescent="0.35">
      <c r="A226" s="13" t="s">
        <v>1051</v>
      </c>
      <c r="B226" s="13" t="s">
        <v>138</v>
      </c>
      <c r="C226" s="13" t="s">
        <v>139</v>
      </c>
      <c r="D226" s="13" t="s">
        <v>1052</v>
      </c>
      <c r="E226" s="14">
        <v>45804</v>
      </c>
      <c r="F226" s="14">
        <v>45838</v>
      </c>
      <c r="G226" s="15">
        <v>50266.239999999998</v>
      </c>
      <c r="H226" s="13" t="s">
        <v>1053</v>
      </c>
      <c r="I226" s="13" t="s">
        <v>1054</v>
      </c>
      <c r="J226" s="13" t="s">
        <v>143</v>
      </c>
      <c r="K226" s="13">
        <f t="shared" si="15"/>
        <v>5</v>
      </c>
      <c r="L226" s="13">
        <f t="shared" si="16"/>
        <v>0</v>
      </c>
      <c r="M226" s="13">
        <f>IF(AND(L226=0,COUNTIFS($B$2:$B$1534,B226,$G$2:$G$1534,G226,$E$2:$E$1534,"&gt;="&amp;(E226-Assumptions!$B$5),$E$2:$E$1534,"&lt;="&amp;(E226+Assumptions!$B$5))&gt;1),1,0)</f>
        <v>0</v>
      </c>
      <c r="N226" s="13">
        <f>IF(AND(G226&gt;=Assumptions!$B$4*(1-Assumptions!$B$6),G226&lt;Assumptions!$B$4),1,0)</f>
        <v>0</v>
      </c>
      <c r="O226" s="13">
        <f>IF(AND(G226&gt;=Assumptions!$B$7,MOD(G226,Assumptions!$B$7)=0),1,0)</f>
        <v>0</v>
      </c>
      <c r="P226" s="13">
        <f t="shared" si="17"/>
        <v>0</v>
      </c>
      <c r="Q226" s="13">
        <f t="shared" si="18"/>
        <v>0</v>
      </c>
      <c r="R226" s="13">
        <f>L226*Assumptions!$B$11+M226*Assumptions!$B$12+N226*Assumptions!$B$13+O226*Assumptions!$B$14+P226*Assumptions!$B$15+Q226*Assumptions!$B$16</f>
        <v>0</v>
      </c>
      <c r="S226" s="13" t="str">
        <f>IF(R226&gt;=Assumptions!$B$20,"High",IF(R226&gt;=Assumptions!$B$21,"Medium",IF(R226&gt;=1,"Low","Clear")))</f>
        <v>Clear</v>
      </c>
      <c r="T226" s="13" t="str">
        <f t="shared" si="19"/>
        <v/>
      </c>
    </row>
    <row r="227" spans="1:20" x14ac:dyDescent="0.35">
      <c r="A227" s="13" t="s">
        <v>1055</v>
      </c>
      <c r="B227" s="13" t="s">
        <v>145</v>
      </c>
      <c r="C227" s="13" t="s">
        <v>146</v>
      </c>
      <c r="D227" s="13" t="s">
        <v>1056</v>
      </c>
      <c r="E227" s="14">
        <v>45801</v>
      </c>
      <c r="F227" s="14">
        <v>45838</v>
      </c>
      <c r="G227" s="15">
        <v>2641.98</v>
      </c>
      <c r="H227" s="13" t="s">
        <v>1057</v>
      </c>
      <c r="I227" s="13" t="s">
        <v>1058</v>
      </c>
      <c r="J227" s="13" t="s">
        <v>143</v>
      </c>
      <c r="K227" s="13">
        <f t="shared" si="15"/>
        <v>2</v>
      </c>
      <c r="L227" s="13">
        <f t="shared" si="16"/>
        <v>0</v>
      </c>
      <c r="M227" s="13">
        <f>IF(AND(L227=0,COUNTIFS($B$2:$B$1534,B227,$G$2:$G$1534,G227,$E$2:$E$1534,"&gt;="&amp;(E227-Assumptions!$B$5),$E$2:$E$1534,"&lt;="&amp;(E227+Assumptions!$B$5))&gt;1),1,0)</f>
        <v>0</v>
      </c>
      <c r="N227" s="13">
        <f>IF(AND(G227&gt;=Assumptions!$B$4*(1-Assumptions!$B$6),G227&lt;Assumptions!$B$4),1,0)</f>
        <v>0</v>
      </c>
      <c r="O227" s="13">
        <f>IF(AND(G227&gt;=Assumptions!$B$7,MOD(G227,Assumptions!$B$7)=0),1,0)</f>
        <v>0</v>
      </c>
      <c r="P227" s="13">
        <f t="shared" si="17"/>
        <v>0</v>
      </c>
      <c r="Q227" s="13">
        <f t="shared" si="18"/>
        <v>0</v>
      </c>
      <c r="R227" s="13">
        <f>L227*Assumptions!$B$11+M227*Assumptions!$B$12+N227*Assumptions!$B$13+O227*Assumptions!$B$14+P227*Assumptions!$B$15+Q227*Assumptions!$B$16</f>
        <v>0</v>
      </c>
      <c r="S227" s="13" t="str">
        <f>IF(R227&gt;=Assumptions!$B$20,"High",IF(R227&gt;=Assumptions!$B$21,"Medium",IF(R227&gt;=1,"Low","Clear")))</f>
        <v>Clear</v>
      </c>
      <c r="T227" s="13" t="str">
        <f t="shared" si="19"/>
        <v/>
      </c>
    </row>
    <row r="228" spans="1:20" x14ac:dyDescent="0.35">
      <c r="A228" s="13" t="s">
        <v>1059</v>
      </c>
      <c r="B228" s="13" t="s">
        <v>556</v>
      </c>
      <c r="C228" s="13" t="s">
        <v>557</v>
      </c>
      <c r="D228" s="13" t="s">
        <v>1060</v>
      </c>
      <c r="E228" s="14">
        <v>45806</v>
      </c>
      <c r="F228" s="14">
        <v>45838</v>
      </c>
      <c r="G228" s="15">
        <v>11375.09</v>
      </c>
      <c r="H228" s="13" t="s">
        <v>1061</v>
      </c>
      <c r="I228" s="13" t="s">
        <v>1062</v>
      </c>
      <c r="J228" s="13" t="s">
        <v>143</v>
      </c>
      <c r="K228" s="13">
        <f t="shared" si="15"/>
        <v>1</v>
      </c>
      <c r="L228" s="13">
        <f t="shared" si="16"/>
        <v>0</v>
      </c>
      <c r="M228" s="13">
        <f>IF(AND(L228=0,COUNTIFS($B$2:$B$1534,B228,$G$2:$G$1534,G228,$E$2:$E$1534,"&gt;="&amp;(E228-Assumptions!$B$5),$E$2:$E$1534,"&lt;="&amp;(E228+Assumptions!$B$5))&gt;1),1,0)</f>
        <v>0</v>
      </c>
      <c r="N228" s="13">
        <f>IF(AND(G228&gt;=Assumptions!$B$4*(1-Assumptions!$B$6),G228&lt;Assumptions!$B$4),1,0)</f>
        <v>0</v>
      </c>
      <c r="O228" s="13">
        <f>IF(AND(G228&gt;=Assumptions!$B$7,MOD(G228,Assumptions!$B$7)=0),1,0)</f>
        <v>0</v>
      </c>
      <c r="P228" s="13">
        <f t="shared" si="17"/>
        <v>0</v>
      </c>
      <c r="Q228" s="13">
        <f t="shared" si="18"/>
        <v>0</v>
      </c>
      <c r="R228" s="13">
        <f>L228*Assumptions!$B$11+M228*Assumptions!$B$12+N228*Assumptions!$B$13+O228*Assumptions!$B$14+P228*Assumptions!$B$15+Q228*Assumptions!$B$16</f>
        <v>0</v>
      </c>
      <c r="S228" s="13" t="str">
        <f>IF(R228&gt;=Assumptions!$B$20,"High",IF(R228&gt;=Assumptions!$B$21,"Medium",IF(R228&gt;=1,"Low","Clear")))</f>
        <v>Clear</v>
      </c>
      <c r="T228" s="13" t="str">
        <f t="shared" si="19"/>
        <v/>
      </c>
    </row>
    <row r="229" spans="1:20" x14ac:dyDescent="0.35">
      <c r="A229" s="13" t="s">
        <v>1063</v>
      </c>
      <c r="B229" s="13" t="s">
        <v>252</v>
      </c>
      <c r="C229" s="13" t="s">
        <v>253</v>
      </c>
      <c r="D229" s="13" t="s">
        <v>1064</v>
      </c>
      <c r="E229" s="14">
        <v>45818</v>
      </c>
      <c r="F229" s="14">
        <v>45839</v>
      </c>
      <c r="G229" s="15">
        <v>7255.01</v>
      </c>
      <c r="H229" s="13" t="s">
        <v>1065</v>
      </c>
      <c r="I229" s="13" t="s">
        <v>1066</v>
      </c>
      <c r="J229" s="13" t="s">
        <v>136</v>
      </c>
      <c r="K229" s="13">
        <f t="shared" si="15"/>
        <v>7</v>
      </c>
      <c r="L229" s="13">
        <f t="shared" si="16"/>
        <v>0</v>
      </c>
      <c r="M229" s="13">
        <f>IF(AND(L229=0,COUNTIFS($B$2:$B$1534,B229,$G$2:$G$1534,G229,$E$2:$E$1534,"&gt;="&amp;(E229-Assumptions!$B$5),$E$2:$E$1534,"&lt;="&amp;(E229+Assumptions!$B$5))&gt;1),1,0)</f>
        <v>0</v>
      </c>
      <c r="N229" s="13">
        <f>IF(AND(G229&gt;=Assumptions!$B$4*(1-Assumptions!$B$6),G229&lt;Assumptions!$B$4),1,0)</f>
        <v>0</v>
      </c>
      <c r="O229" s="13">
        <f>IF(AND(G229&gt;=Assumptions!$B$7,MOD(G229,Assumptions!$B$7)=0),1,0)</f>
        <v>0</v>
      </c>
      <c r="P229" s="13">
        <f t="shared" si="17"/>
        <v>0</v>
      </c>
      <c r="Q229" s="13">
        <f t="shared" si="18"/>
        <v>0</v>
      </c>
      <c r="R229" s="13">
        <f>L229*Assumptions!$B$11+M229*Assumptions!$B$12+N229*Assumptions!$B$13+O229*Assumptions!$B$14+P229*Assumptions!$B$15+Q229*Assumptions!$B$16</f>
        <v>0</v>
      </c>
      <c r="S229" s="13" t="str">
        <f>IF(R229&gt;=Assumptions!$B$20,"High",IF(R229&gt;=Assumptions!$B$21,"Medium",IF(R229&gt;=1,"Low","Clear")))</f>
        <v>Clear</v>
      </c>
      <c r="T229" s="13" t="str">
        <f t="shared" si="19"/>
        <v/>
      </c>
    </row>
    <row r="230" spans="1:20" x14ac:dyDescent="0.35">
      <c r="A230" s="13" t="s">
        <v>1067</v>
      </c>
      <c r="B230" s="13" t="s">
        <v>476</v>
      </c>
      <c r="C230" s="13" t="s">
        <v>477</v>
      </c>
      <c r="D230" s="13" t="s">
        <v>1068</v>
      </c>
      <c r="E230" s="14">
        <v>45814</v>
      </c>
      <c r="F230" s="14">
        <v>45839</v>
      </c>
      <c r="G230" s="15">
        <v>3966.91</v>
      </c>
      <c r="H230" s="13" t="s">
        <v>1069</v>
      </c>
      <c r="I230" s="13" t="s">
        <v>1070</v>
      </c>
      <c r="J230" s="13" t="s">
        <v>111</v>
      </c>
      <c r="K230" s="13">
        <f t="shared" si="15"/>
        <v>3</v>
      </c>
      <c r="L230" s="13">
        <f t="shared" si="16"/>
        <v>0</v>
      </c>
      <c r="M230" s="13">
        <f>IF(AND(L230=0,COUNTIFS($B$2:$B$1534,B230,$G$2:$G$1534,G230,$E$2:$E$1534,"&gt;="&amp;(E230-Assumptions!$B$5),$E$2:$E$1534,"&lt;="&amp;(E230+Assumptions!$B$5))&gt;1),1,0)</f>
        <v>0</v>
      </c>
      <c r="N230" s="13">
        <f>IF(AND(G230&gt;=Assumptions!$B$4*(1-Assumptions!$B$6),G230&lt;Assumptions!$B$4),1,0)</f>
        <v>0</v>
      </c>
      <c r="O230" s="13">
        <f>IF(AND(G230&gt;=Assumptions!$B$7,MOD(G230,Assumptions!$B$7)=0),1,0)</f>
        <v>0</v>
      </c>
      <c r="P230" s="13">
        <f t="shared" si="17"/>
        <v>0</v>
      </c>
      <c r="Q230" s="13">
        <f t="shared" si="18"/>
        <v>0</v>
      </c>
      <c r="R230" s="13">
        <f>L230*Assumptions!$B$11+M230*Assumptions!$B$12+N230*Assumptions!$B$13+O230*Assumptions!$B$14+P230*Assumptions!$B$15+Q230*Assumptions!$B$16</f>
        <v>0</v>
      </c>
      <c r="S230" s="13" t="str">
        <f>IF(R230&gt;=Assumptions!$B$20,"High",IF(R230&gt;=Assumptions!$B$21,"Medium",IF(R230&gt;=1,"Low","Clear")))</f>
        <v>Clear</v>
      </c>
      <c r="T230" s="13" t="str">
        <f t="shared" si="19"/>
        <v/>
      </c>
    </row>
    <row r="231" spans="1:20" x14ac:dyDescent="0.35">
      <c r="A231" s="13" t="s">
        <v>1071</v>
      </c>
      <c r="B231" s="13" t="s">
        <v>125</v>
      </c>
      <c r="C231" s="13" t="s">
        <v>126</v>
      </c>
      <c r="D231" s="13" t="s">
        <v>1072</v>
      </c>
      <c r="E231" s="14">
        <v>45815</v>
      </c>
      <c r="F231" s="14">
        <v>45839</v>
      </c>
      <c r="G231" s="15">
        <v>32680.720000000001</v>
      </c>
      <c r="H231" s="13" t="s">
        <v>1073</v>
      </c>
      <c r="I231" s="13" t="s">
        <v>1074</v>
      </c>
      <c r="J231" s="13" t="s">
        <v>136</v>
      </c>
      <c r="K231" s="13">
        <f t="shared" si="15"/>
        <v>3</v>
      </c>
      <c r="L231" s="13">
        <f t="shared" si="16"/>
        <v>0</v>
      </c>
      <c r="M231" s="13">
        <f>IF(AND(L231=0,COUNTIFS($B$2:$B$1534,B231,$G$2:$G$1534,G231,$E$2:$E$1534,"&gt;="&amp;(E231-Assumptions!$B$5),$E$2:$E$1534,"&lt;="&amp;(E231+Assumptions!$B$5))&gt;1),1,0)</f>
        <v>0</v>
      </c>
      <c r="N231" s="13">
        <f>IF(AND(G231&gt;=Assumptions!$B$4*(1-Assumptions!$B$6),G231&lt;Assumptions!$B$4),1,0)</f>
        <v>0</v>
      </c>
      <c r="O231" s="13">
        <f>IF(AND(G231&gt;=Assumptions!$B$7,MOD(G231,Assumptions!$B$7)=0),1,0)</f>
        <v>0</v>
      </c>
      <c r="P231" s="13">
        <f t="shared" si="17"/>
        <v>0</v>
      </c>
      <c r="Q231" s="13">
        <f t="shared" si="18"/>
        <v>0</v>
      </c>
      <c r="R231" s="13">
        <f>L231*Assumptions!$B$11+M231*Assumptions!$B$12+N231*Assumptions!$B$13+O231*Assumptions!$B$14+P231*Assumptions!$B$15+Q231*Assumptions!$B$16</f>
        <v>0</v>
      </c>
      <c r="S231" s="13" t="str">
        <f>IF(R231&gt;=Assumptions!$B$20,"High",IF(R231&gt;=Assumptions!$B$21,"Medium",IF(R231&gt;=1,"Low","Clear")))</f>
        <v>Clear</v>
      </c>
      <c r="T231" s="13" t="str">
        <f t="shared" si="19"/>
        <v/>
      </c>
    </row>
    <row r="232" spans="1:20" x14ac:dyDescent="0.35">
      <c r="A232" s="13" t="s">
        <v>1075</v>
      </c>
      <c r="B232" s="13" t="s">
        <v>176</v>
      </c>
      <c r="C232" s="13" t="s">
        <v>177</v>
      </c>
      <c r="D232" s="13" t="s">
        <v>1076</v>
      </c>
      <c r="E232" s="14">
        <v>45800</v>
      </c>
      <c r="F232" s="14">
        <v>45840</v>
      </c>
      <c r="G232" s="15">
        <v>349050.76</v>
      </c>
      <c r="H232" s="13" t="s">
        <v>1077</v>
      </c>
      <c r="I232" s="13" t="s">
        <v>1078</v>
      </c>
      <c r="J232" s="13" t="s">
        <v>98</v>
      </c>
      <c r="K232" s="13">
        <f t="shared" si="15"/>
        <v>3</v>
      </c>
      <c r="L232" s="13">
        <f t="shared" si="16"/>
        <v>0</v>
      </c>
      <c r="M232" s="13">
        <f>IF(AND(L232=0,COUNTIFS($B$2:$B$1534,B232,$G$2:$G$1534,G232,$E$2:$E$1534,"&gt;="&amp;(E232-Assumptions!$B$5),$E$2:$E$1534,"&lt;="&amp;(E232+Assumptions!$B$5))&gt;1),1,0)</f>
        <v>0</v>
      </c>
      <c r="N232" s="13">
        <f>IF(AND(G232&gt;=Assumptions!$B$4*(1-Assumptions!$B$6),G232&lt;Assumptions!$B$4),1,0)</f>
        <v>0</v>
      </c>
      <c r="O232" s="13">
        <f>IF(AND(G232&gt;=Assumptions!$B$7,MOD(G232,Assumptions!$B$7)=0),1,0)</f>
        <v>0</v>
      </c>
      <c r="P232" s="13">
        <f t="shared" si="17"/>
        <v>0</v>
      </c>
      <c r="Q232" s="13">
        <f t="shared" si="18"/>
        <v>0</v>
      </c>
      <c r="R232" s="13">
        <f>L232*Assumptions!$B$11+M232*Assumptions!$B$12+N232*Assumptions!$B$13+O232*Assumptions!$B$14+P232*Assumptions!$B$15+Q232*Assumptions!$B$16</f>
        <v>0</v>
      </c>
      <c r="S232" s="13" t="str">
        <f>IF(R232&gt;=Assumptions!$B$20,"High",IF(R232&gt;=Assumptions!$B$21,"Medium",IF(R232&gt;=1,"Low","Clear")))</f>
        <v>Clear</v>
      </c>
      <c r="T232" s="13" t="str">
        <f t="shared" si="19"/>
        <v/>
      </c>
    </row>
    <row r="233" spans="1:20" x14ac:dyDescent="0.35">
      <c r="A233" s="13" t="s">
        <v>1079</v>
      </c>
      <c r="B233" s="13" t="s">
        <v>252</v>
      </c>
      <c r="C233" s="13" t="s">
        <v>253</v>
      </c>
      <c r="D233" s="13" t="s">
        <v>1080</v>
      </c>
      <c r="E233" s="14">
        <v>45814</v>
      </c>
      <c r="F233" s="14">
        <v>45840</v>
      </c>
      <c r="G233" s="15">
        <v>3758.75</v>
      </c>
      <c r="H233" s="13" t="s">
        <v>1081</v>
      </c>
      <c r="I233" s="13" t="s">
        <v>1082</v>
      </c>
      <c r="J233" s="13" t="s">
        <v>170</v>
      </c>
      <c r="K233" s="13">
        <f t="shared" si="15"/>
        <v>3</v>
      </c>
      <c r="L233" s="13">
        <f t="shared" si="16"/>
        <v>0</v>
      </c>
      <c r="M233" s="13">
        <f>IF(AND(L233=0,COUNTIFS($B$2:$B$1534,B233,$G$2:$G$1534,G233,$E$2:$E$1534,"&gt;="&amp;(E233-Assumptions!$B$5),$E$2:$E$1534,"&lt;="&amp;(E233+Assumptions!$B$5))&gt;1),1,0)</f>
        <v>0</v>
      </c>
      <c r="N233" s="13">
        <f>IF(AND(G233&gt;=Assumptions!$B$4*(1-Assumptions!$B$6),G233&lt;Assumptions!$B$4),1,0)</f>
        <v>0</v>
      </c>
      <c r="O233" s="13">
        <f>IF(AND(G233&gt;=Assumptions!$B$7,MOD(G233,Assumptions!$B$7)=0),1,0)</f>
        <v>0</v>
      </c>
      <c r="P233" s="13">
        <f t="shared" si="17"/>
        <v>0</v>
      </c>
      <c r="Q233" s="13">
        <f t="shared" si="18"/>
        <v>0</v>
      </c>
      <c r="R233" s="13">
        <f>L233*Assumptions!$B$11+M233*Assumptions!$B$12+N233*Assumptions!$B$13+O233*Assumptions!$B$14+P233*Assumptions!$B$15+Q233*Assumptions!$B$16</f>
        <v>0</v>
      </c>
      <c r="S233" s="13" t="str">
        <f>IF(R233&gt;=Assumptions!$B$20,"High",IF(R233&gt;=Assumptions!$B$21,"Medium",IF(R233&gt;=1,"Low","Clear")))</f>
        <v>Clear</v>
      </c>
      <c r="T233" s="13" t="str">
        <f t="shared" si="19"/>
        <v/>
      </c>
    </row>
    <row r="234" spans="1:20" x14ac:dyDescent="0.35">
      <c r="A234" s="13" t="s">
        <v>1083</v>
      </c>
      <c r="B234" s="13" t="s">
        <v>680</v>
      </c>
      <c r="C234" s="13" t="s">
        <v>681</v>
      </c>
      <c r="D234" s="13" t="s">
        <v>1084</v>
      </c>
      <c r="E234" s="14">
        <v>45814</v>
      </c>
      <c r="F234" s="14">
        <v>45840</v>
      </c>
      <c r="G234" s="15">
        <v>8497.1200000000008</v>
      </c>
      <c r="H234" s="13" t="s">
        <v>1085</v>
      </c>
      <c r="I234" s="13" t="s">
        <v>1086</v>
      </c>
      <c r="J234" s="13" t="s">
        <v>98</v>
      </c>
      <c r="K234" s="13">
        <f t="shared" si="15"/>
        <v>8</v>
      </c>
      <c r="L234" s="13">
        <f t="shared" si="16"/>
        <v>0</v>
      </c>
      <c r="M234" s="13">
        <f>IF(AND(L234=0,COUNTIFS($B$2:$B$1534,B234,$G$2:$G$1534,G234,$E$2:$E$1534,"&gt;="&amp;(E234-Assumptions!$B$5),$E$2:$E$1534,"&lt;="&amp;(E234+Assumptions!$B$5))&gt;1),1,0)</f>
        <v>0</v>
      </c>
      <c r="N234" s="13">
        <f>IF(AND(G234&gt;=Assumptions!$B$4*(1-Assumptions!$B$6),G234&lt;Assumptions!$B$4),1,0)</f>
        <v>0</v>
      </c>
      <c r="O234" s="13">
        <f>IF(AND(G234&gt;=Assumptions!$B$7,MOD(G234,Assumptions!$B$7)=0),1,0)</f>
        <v>0</v>
      </c>
      <c r="P234" s="13">
        <f t="shared" si="17"/>
        <v>0</v>
      </c>
      <c r="Q234" s="13">
        <f t="shared" si="18"/>
        <v>0</v>
      </c>
      <c r="R234" s="13">
        <f>L234*Assumptions!$B$11+M234*Assumptions!$B$12+N234*Assumptions!$B$13+O234*Assumptions!$B$14+P234*Assumptions!$B$15+Q234*Assumptions!$B$16</f>
        <v>0</v>
      </c>
      <c r="S234" s="13" t="str">
        <f>IF(R234&gt;=Assumptions!$B$20,"High",IF(R234&gt;=Assumptions!$B$21,"Medium",IF(R234&gt;=1,"Low","Clear")))</f>
        <v>Clear</v>
      </c>
      <c r="T234" s="13" t="str">
        <f t="shared" si="19"/>
        <v/>
      </c>
    </row>
    <row r="235" spans="1:20" x14ac:dyDescent="0.35">
      <c r="A235" s="13" t="s">
        <v>1087</v>
      </c>
      <c r="B235" s="13" t="s">
        <v>307</v>
      </c>
      <c r="C235" s="13" t="s">
        <v>308</v>
      </c>
      <c r="D235" s="13" t="s">
        <v>1088</v>
      </c>
      <c r="E235" s="14">
        <v>45806</v>
      </c>
      <c r="F235" s="14">
        <v>45840</v>
      </c>
      <c r="G235" s="15">
        <v>773891.15</v>
      </c>
      <c r="H235" s="13" t="s">
        <v>1089</v>
      </c>
      <c r="I235" s="13" t="s">
        <v>1090</v>
      </c>
      <c r="J235" s="13" t="s">
        <v>136</v>
      </c>
      <c r="K235" s="13">
        <f t="shared" si="15"/>
        <v>7</v>
      </c>
      <c r="L235" s="13">
        <f t="shared" si="16"/>
        <v>0</v>
      </c>
      <c r="M235" s="13">
        <f>IF(AND(L235=0,COUNTIFS($B$2:$B$1534,B235,$G$2:$G$1534,G235,$E$2:$E$1534,"&gt;="&amp;(E235-Assumptions!$B$5),$E$2:$E$1534,"&lt;="&amp;(E235+Assumptions!$B$5))&gt;1),1,0)</f>
        <v>0</v>
      </c>
      <c r="N235" s="13">
        <f>IF(AND(G235&gt;=Assumptions!$B$4*(1-Assumptions!$B$6),G235&lt;Assumptions!$B$4),1,0)</f>
        <v>0</v>
      </c>
      <c r="O235" s="13">
        <f>IF(AND(G235&gt;=Assumptions!$B$7,MOD(G235,Assumptions!$B$7)=0),1,0)</f>
        <v>0</v>
      </c>
      <c r="P235" s="13">
        <f t="shared" si="17"/>
        <v>0</v>
      </c>
      <c r="Q235" s="13">
        <f t="shared" si="18"/>
        <v>0</v>
      </c>
      <c r="R235" s="13">
        <f>L235*Assumptions!$B$11+M235*Assumptions!$B$12+N235*Assumptions!$B$13+O235*Assumptions!$B$14+P235*Assumptions!$B$15+Q235*Assumptions!$B$16</f>
        <v>0</v>
      </c>
      <c r="S235" s="13" t="str">
        <f>IF(R235&gt;=Assumptions!$B$20,"High",IF(R235&gt;=Assumptions!$B$21,"Medium",IF(R235&gt;=1,"Low","Clear")))</f>
        <v>Clear</v>
      </c>
      <c r="T235" s="13" t="str">
        <f t="shared" si="19"/>
        <v/>
      </c>
    </row>
    <row r="236" spans="1:20" x14ac:dyDescent="0.35">
      <c r="A236" s="13" t="s">
        <v>1091</v>
      </c>
      <c r="B236" s="13" t="s">
        <v>212</v>
      </c>
      <c r="C236" s="13" t="s">
        <v>213</v>
      </c>
      <c r="D236" s="13" t="s">
        <v>1092</v>
      </c>
      <c r="E236" s="14">
        <v>45812</v>
      </c>
      <c r="F236" s="14">
        <v>45840</v>
      </c>
      <c r="G236" s="15">
        <v>158054.74</v>
      </c>
      <c r="H236" s="13" t="s">
        <v>1093</v>
      </c>
      <c r="I236" s="13" t="s">
        <v>1094</v>
      </c>
      <c r="J236" s="13" t="s">
        <v>170</v>
      </c>
      <c r="K236" s="13">
        <f t="shared" si="15"/>
        <v>1</v>
      </c>
      <c r="L236" s="13">
        <f t="shared" si="16"/>
        <v>0</v>
      </c>
      <c r="M236" s="13">
        <f>IF(AND(L236=0,COUNTIFS($B$2:$B$1534,B236,$G$2:$G$1534,G236,$E$2:$E$1534,"&gt;="&amp;(E236-Assumptions!$B$5),$E$2:$E$1534,"&lt;="&amp;(E236+Assumptions!$B$5))&gt;1),1,0)</f>
        <v>0</v>
      </c>
      <c r="N236" s="13">
        <f>IF(AND(G236&gt;=Assumptions!$B$4*(1-Assumptions!$B$6),G236&lt;Assumptions!$B$4),1,0)</f>
        <v>0</v>
      </c>
      <c r="O236" s="13">
        <f>IF(AND(G236&gt;=Assumptions!$B$7,MOD(G236,Assumptions!$B$7)=0),1,0)</f>
        <v>0</v>
      </c>
      <c r="P236" s="13">
        <f t="shared" si="17"/>
        <v>0</v>
      </c>
      <c r="Q236" s="13">
        <f t="shared" si="18"/>
        <v>0</v>
      </c>
      <c r="R236" s="13">
        <f>L236*Assumptions!$B$11+M236*Assumptions!$B$12+N236*Assumptions!$B$13+O236*Assumptions!$B$14+P236*Assumptions!$B$15+Q236*Assumptions!$B$16</f>
        <v>0</v>
      </c>
      <c r="S236" s="13" t="str">
        <f>IF(R236&gt;=Assumptions!$B$20,"High",IF(R236&gt;=Assumptions!$B$21,"Medium",IF(R236&gt;=1,"Low","Clear")))</f>
        <v>Clear</v>
      </c>
      <c r="T236" s="13" t="str">
        <f t="shared" si="19"/>
        <v/>
      </c>
    </row>
    <row r="237" spans="1:20" x14ac:dyDescent="0.35">
      <c r="A237" s="13" t="s">
        <v>1095</v>
      </c>
      <c r="B237" s="13" t="s">
        <v>329</v>
      </c>
      <c r="C237" s="13" t="s">
        <v>330</v>
      </c>
      <c r="D237" s="13" t="s">
        <v>1096</v>
      </c>
      <c r="E237" s="14">
        <v>45800</v>
      </c>
      <c r="F237" s="14">
        <v>45840</v>
      </c>
      <c r="G237" s="15">
        <v>179488.44</v>
      </c>
      <c r="H237" s="13" t="s">
        <v>1097</v>
      </c>
      <c r="I237" s="13" t="s">
        <v>1098</v>
      </c>
      <c r="J237" s="13" t="s">
        <v>98</v>
      </c>
      <c r="K237" s="13">
        <f t="shared" si="15"/>
        <v>1</v>
      </c>
      <c r="L237" s="13">
        <f t="shared" si="16"/>
        <v>0</v>
      </c>
      <c r="M237" s="13">
        <f>IF(AND(L237=0,COUNTIFS($B$2:$B$1534,B237,$G$2:$G$1534,G237,$E$2:$E$1534,"&gt;="&amp;(E237-Assumptions!$B$5),$E$2:$E$1534,"&lt;="&amp;(E237+Assumptions!$B$5))&gt;1),1,0)</f>
        <v>0</v>
      </c>
      <c r="N237" s="13">
        <f>IF(AND(G237&gt;=Assumptions!$B$4*(1-Assumptions!$B$6),G237&lt;Assumptions!$B$4),1,0)</f>
        <v>0</v>
      </c>
      <c r="O237" s="13">
        <f>IF(AND(G237&gt;=Assumptions!$B$7,MOD(G237,Assumptions!$B$7)=0),1,0)</f>
        <v>0</v>
      </c>
      <c r="P237" s="13">
        <f t="shared" si="17"/>
        <v>0</v>
      </c>
      <c r="Q237" s="13">
        <f t="shared" si="18"/>
        <v>0</v>
      </c>
      <c r="R237" s="13">
        <f>L237*Assumptions!$B$11+M237*Assumptions!$B$12+N237*Assumptions!$B$13+O237*Assumptions!$B$14+P237*Assumptions!$B$15+Q237*Assumptions!$B$16</f>
        <v>0</v>
      </c>
      <c r="S237" s="13" t="str">
        <f>IF(R237&gt;=Assumptions!$B$20,"High",IF(R237&gt;=Assumptions!$B$21,"Medium",IF(R237&gt;=1,"Low","Clear")))</f>
        <v>Clear</v>
      </c>
      <c r="T237" s="13" t="str">
        <f t="shared" si="19"/>
        <v/>
      </c>
    </row>
    <row r="238" spans="1:20" x14ac:dyDescent="0.35">
      <c r="A238" s="13" t="s">
        <v>1099</v>
      </c>
      <c r="B238" s="13" t="s">
        <v>339</v>
      </c>
      <c r="C238" s="13" t="s">
        <v>340</v>
      </c>
      <c r="D238" s="13" t="s">
        <v>1100</v>
      </c>
      <c r="E238" s="14">
        <v>45811</v>
      </c>
      <c r="F238" s="14">
        <v>45840</v>
      </c>
      <c r="G238" s="15">
        <v>130000</v>
      </c>
      <c r="H238" s="13" t="s">
        <v>1101</v>
      </c>
      <c r="I238" s="13" t="s">
        <v>1102</v>
      </c>
      <c r="J238" s="13" t="s">
        <v>98</v>
      </c>
      <c r="K238" s="13">
        <f t="shared" si="15"/>
        <v>1</v>
      </c>
      <c r="L238" s="13">
        <f t="shared" si="16"/>
        <v>0</v>
      </c>
      <c r="M238" s="13">
        <f>IF(AND(L238=0,COUNTIFS($B$2:$B$1534,B238,$G$2:$G$1534,G238,$E$2:$E$1534,"&gt;="&amp;(E238-Assumptions!$B$5),$E$2:$E$1534,"&lt;="&amp;(E238+Assumptions!$B$5))&gt;1),1,0)</f>
        <v>0</v>
      </c>
      <c r="N238" s="13">
        <f>IF(AND(G238&gt;=Assumptions!$B$4*(1-Assumptions!$B$6),G238&lt;Assumptions!$B$4),1,0)</f>
        <v>0</v>
      </c>
      <c r="O238" s="13">
        <f>IF(AND(G238&gt;=Assumptions!$B$7,MOD(G238,Assumptions!$B$7)=0),1,0)</f>
        <v>1</v>
      </c>
      <c r="P238" s="13">
        <f t="shared" si="17"/>
        <v>0</v>
      </c>
      <c r="Q238" s="13">
        <f t="shared" si="18"/>
        <v>0</v>
      </c>
      <c r="R238" s="13">
        <f>L238*Assumptions!$B$11+M238*Assumptions!$B$12+N238*Assumptions!$B$13+O238*Assumptions!$B$14+P238*Assumptions!$B$15+Q238*Assumptions!$B$16</f>
        <v>1</v>
      </c>
      <c r="S238" s="13" t="str">
        <f>IF(R238&gt;=Assumptions!$B$20,"High",IF(R238&gt;=Assumptions!$B$21,"Medium",IF(R238&gt;=1,"Low","Clear")))</f>
        <v>Low</v>
      </c>
      <c r="T238" s="13" t="str">
        <f t="shared" si="19"/>
        <v xml:space="preserve">Round amount; </v>
      </c>
    </row>
    <row r="239" spans="1:20" x14ac:dyDescent="0.35">
      <c r="A239" s="13" t="s">
        <v>1103</v>
      </c>
      <c r="B239" s="13" t="s">
        <v>145</v>
      </c>
      <c r="C239" s="13" t="s">
        <v>146</v>
      </c>
      <c r="D239" s="13" t="s">
        <v>1104</v>
      </c>
      <c r="E239" s="14">
        <v>45814</v>
      </c>
      <c r="F239" s="14">
        <v>45840</v>
      </c>
      <c r="G239" s="15">
        <v>388898.74</v>
      </c>
      <c r="H239" s="13" t="s">
        <v>1105</v>
      </c>
      <c r="I239" s="13" t="s">
        <v>1106</v>
      </c>
      <c r="J239" s="13" t="s">
        <v>170</v>
      </c>
      <c r="K239" s="13">
        <f t="shared" si="15"/>
        <v>3</v>
      </c>
      <c r="L239" s="13">
        <f t="shared" si="16"/>
        <v>0</v>
      </c>
      <c r="M239" s="13">
        <f>IF(AND(L239=0,COUNTIFS($B$2:$B$1534,B239,$G$2:$G$1534,G239,$E$2:$E$1534,"&gt;="&amp;(E239-Assumptions!$B$5),$E$2:$E$1534,"&lt;="&amp;(E239+Assumptions!$B$5))&gt;1),1,0)</f>
        <v>0</v>
      </c>
      <c r="N239" s="13">
        <f>IF(AND(G239&gt;=Assumptions!$B$4*(1-Assumptions!$B$6),G239&lt;Assumptions!$B$4),1,0)</f>
        <v>0</v>
      </c>
      <c r="O239" s="13">
        <f>IF(AND(G239&gt;=Assumptions!$B$7,MOD(G239,Assumptions!$B$7)=0),1,0)</f>
        <v>0</v>
      </c>
      <c r="P239" s="13">
        <f t="shared" si="17"/>
        <v>0</v>
      </c>
      <c r="Q239" s="13">
        <f t="shared" si="18"/>
        <v>0</v>
      </c>
      <c r="R239" s="13">
        <f>L239*Assumptions!$B$11+M239*Assumptions!$B$12+N239*Assumptions!$B$13+O239*Assumptions!$B$14+P239*Assumptions!$B$15+Q239*Assumptions!$B$16</f>
        <v>0</v>
      </c>
      <c r="S239" s="13" t="str">
        <f>IF(R239&gt;=Assumptions!$B$20,"High",IF(R239&gt;=Assumptions!$B$21,"Medium",IF(R239&gt;=1,"Low","Clear")))</f>
        <v>Clear</v>
      </c>
      <c r="T239" s="13" t="str">
        <f t="shared" si="19"/>
        <v/>
      </c>
    </row>
    <row r="240" spans="1:20" x14ac:dyDescent="0.35">
      <c r="A240" s="13" t="s">
        <v>1107</v>
      </c>
      <c r="B240" s="13" t="s">
        <v>131</v>
      </c>
      <c r="C240" s="13" t="s">
        <v>132</v>
      </c>
      <c r="D240" s="13" t="s">
        <v>1108</v>
      </c>
      <c r="E240" s="14">
        <v>45818</v>
      </c>
      <c r="F240" s="14">
        <v>45841</v>
      </c>
      <c r="G240" s="15">
        <v>70312.27</v>
      </c>
      <c r="H240" s="13" t="s">
        <v>1109</v>
      </c>
      <c r="I240" s="13" t="s">
        <v>1110</v>
      </c>
      <c r="J240" s="13" t="s">
        <v>143</v>
      </c>
      <c r="K240" s="13">
        <f t="shared" si="15"/>
        <v>7</v>
      </c>
      <c r="L240" s="13">
        <f t="shared" si="16"/>
        <v>0</v>
      </c>
      <c r="M240" s="13">
        <f>IF(AND(L240=0,COUNTIFS($B$2:$B$1534,B240,$G$2:$G$1534,G240,$E$2:$E$1534,"&gt;="&amp;(E240-Assumptions!$B$5),$E$2:$E$1534,"&lt;="&amp;(E240+Assumptions!$B$5))&gt;1),1,0)</f>
        <v>0</v>
      </c>
      <c r="N240" s="13">
        <f>IF(AND(G240&gt;=Assumptions!$B$4*(1-Assumptions!$B$6),G240&lt;Assumptions!$B$4),1,0)</f>
        <v>0</v>
      </c>
      <c r="O240" s="13">
        <f>IF(AND(G240&gt;=Assumptions!$B$7,MOD(G240,Assumptions!$B$7)=0),1,0)</f>
        <v>0</v>
      </c>
      <c r="P240" s="13">
        <f t="shared" si="17"/>
        <v>0</v>
      </c>
      <c r="Q240" s="13">
        <f t="shared" si="18"/>
        <v>0</v>
      </c>
      <c r="R240" s="13">
        <f>L240*Assumptions!$B$11+M240*Assumptions!$B$12+N240*Assumptions!$B$13+O240*Assumptions!$B$14+P240*Assumptions!$B$15+Q240*Assumptions!$B$16</f>
        <v>0</v>
      </c>
      <c r="S240" s="13" t="str">
        <f>IF(R240&gt;=Assumptions!$B$20,"High",IF(R240&gt;=Assumptions!$B$21,"Medium",IF(R240&gt;=1,"Low","Clear")))</f>
        <v>Clear</v>
      </c>
      <c r="T240" s="13" t="str">
        <f t="shared" si="19"/>
        <v/>
      </c>
    </row>
    <row r="241" spans="1:20" x14ac:dyDescent="0.35">
      <c r="A241" s="13" t="s">
        <v>1111</v>
      </c>
      <c r="B241" s="13" t="s">
        <v>113</v>
      </c>
      <c r="C241" s="13" t="s">
        <v>114</v>
      </c>
      <c r="D241" s="13" t="s">
        <v>1112</v>
      </c>
      <c r="E241" s="14">
        <v>45803</v>
      </c>
      <c r="F241" s="14">
        <v>45841</v>
      </c>
      <c r="G241" s="15">
        <v>1194.0899999999999</v>
      </c>
      <c r="H241" s="13" t="s">
        <v>1113</v>
      </c>
      <c r="I241" s="13" t="s">
        <v>1114</v>
      </c>
      <c r="J241" s="13" t="s">
        <v>136</v>
      </c>
      <c r="K241" s="13">
        <f t="shared" si="15"/>
        <v>1</v>
      </c>
      <c r="L241" s="13">
        <f t="shared" si="16"/>
        <v>0</v>
      </c>
      <c r="M241" s="13">
        <f>IF(AND(L241=0,COUNTIFS($B$2:$B$1534,B241,$G$2:$G$1534,G241,$E$2:$E$1534,"&gt;="&amp;(E241-Assumptions!$B$5),$E$2:$E$1534,"&lt;="&amp;(E241+Assumptions!$B$5))&gt;1),1,0)</f>
        <v>0</v>
      </c>
      <c r="N241" s="13">
        <f>IF(AND(G241&gt;=Assumptions!$B$4*(1-Assumptions!$B$6),G241&lt;Assumptions!$B$4),1,0)</f>
        <v>0</v>
      </c>
      <c r="O241" s="13">
        <f>IF(AND(G241&gt;=Assumptions!$B$7,MOD(G241,Assumptions!$B$7)=0),1,0)</f>
        <v>0</v>
      </c>
      <c r="P241" s="13">
        <f t="shared" si="17"/>
        <v>0</v>
      </c>
      <c r="Q241" s="13">
        <f t="shared" si="18"/>
        <v>0</v>
      </c>
      <c r="R241" s="13">
        <f>L241*Assumptions!$B$11+M241*Assumptions!$B$12+N241*Assumptions!$B$13+O241*Assumptions!$B$14+P241*Assumptions!$B$15+Q241*Assumptions!$B$16</f>
        <v>0</v>
      </c>
      <c r="S241" s="13" t="str">
        <f>IF(R241&gt;=Assumptions!$B$20,"High",IF(R241&gt;=Assumptions!$B$21,"Medium",IF(R241&gt;=1,"Low","Clear")))</f>
        <v>Clear</v>
      </c>
      <c r="T241" s="13" t="str">
        <f t="shared" si="19"/>
        <v/>
      </c>
    </row>
    <row r="242" spans="1:20" x14ac:dyDescent="0.35">
      <c r="A242" s="13" t="s">
        <v>1115</v>
      </c>
      <c r="B242" s="13" t="s">
        <v>317</v>
      </c>
      <c r="C242" s="13" t="s">
        <v>318</v>
      </c>
      <c r="D242" s="13" t="s">
        <v>1116</v>
      </c>
      <c r="E242" s="14">
        <v>45818</v>
      </c>
      <c r="F242" s="14">
        <v>45841</v>
      </c>
      <c r="G242" s="15">
        <v>175163.08</v>
      </c>
      <c r="H242" s="13" t="s">
        <v>1117</v>
      </c>
      <c r="I242" s="13" t="s">
        <v>1118</v>
      </c>
      <c r="J242" s="13" t="s">
        <v>111</v>
      </c>
      <c r="K242" s="13">
        <f t="shared" si="15"/>
        <v>1</v>
      </c>
      <c r="L242" s="13">
        <f t="shared" si="16"/>
        <v>0</v>
      </c>
      <c r="M242" s="13">
        <f>IF(AND(L242=0,COUNTIFS($B$2:$B$1534,B242,$G$2:$G$1534,G242,$E$2:$E$1534,"&gt;="&amp;(E242-Assumptions!$B$5),$E$2:$E$1534,"&lt;="&amp;(E242+Assumptions!$B$5))&gt;1),1,0)</f>
        <v>0</v>
      </c>
      <c r="N242" s="13">
        <f>IF(AND(G242&gt;=Assumptions!$B$4*(1-Assumptions!$B$6),G242&lt;Assumptions!$B$4),1,0)</f>
        <v>0</v>
      </c>
      <c r="O242" s="13">
        <f>IF(AND(G242&gt;=Assumptions!$B$7,MOD(G242,Assumptions!$B$7)=0),1,0)</f>
        <v>0</v>
      </c>
      <c r="P242" s="13">
        <f t="shared" si="17"/>
        <v>0</v>
      </c>
      <c r="Q242" s="13">
        <f t="shared" si="18"/>
        <v>0</v>
      </c>
      <c r="R242" s="13">
        <f>L242*Assumptions!$B$11+M242*Assumptions!$B$12+N242*Assumptions!$B$13+O242*Assumptions!$B$14+P242*Assumptions!$B$15+Q242*Assumptions!$B$16</f>
        <v>0</v>
      </c>
      <c r="S242" s="13" t="str">
        <f>IF(R242&gt;=Assumptions!$B$20,"High",IF(R242&gt;=Assumptions!$B$21,"Medium",IF(R242&gt;=1,"Low","Clear")))</f>
        <v>Clear</v>
      </c>
      <c r="T242" s="13" t="str">
        <f t="shared" si="19"/>
        <v/>
      </c>
    </row>
    <row r="243" spans="1:20" x14ac:dyDescent="0.35">
      <c r="A243" s="13" t="s">
        <v>1119</v>
      </c>
      <c r="B243" s="13" t="s">
        <v>252</v>
      </c>
      <c r="C243" s="13" t="s">
        <v>253</v>
      </c>
      <c r="D243" s="13" t="s">
        <v>1120</v>
      </c>
      <c r="E243" s="14">
        <v>45811</v>
      </c>
      <c r="F243" s="14">
        <v>45842</v>
      </c>
      <c r="G243" s="15">
        <v>1908.68</v>
      </c>
      <c r="H243" s="13" t="s">
        <v>1121</v>
      </c>
      <c r="I243" s="13" t="s">
        <v>1122</v>
      </c>
      <c r="J243" s="13" t="s">
        <v>143</v>
      </c>
      <c r="K243" s="13">
        <f t="shared" si="15"/>
        <v>1</v>
      </c>
      <c r="L243" s="13">
        <f t="shared" si="16"/>
        <v>0</v>
      </c>
      <c r="M243" s="13">
        <f>IF(AND(L243=0,COUNTIFS($B$2:$B$1534,B243,$G$2:$G$1534,G243,$E$2:$E$1534,"&gt;="&amp;(E243-Assumptions!$B$5),$E$2:$E$1534,"&lt;="&amp;(E243+Assumptions!$B$5))&gt;1),1,0)</f>
        <v>0</v>
      </c>
      <c r="N243" s="13">
        <f>IF(AND(G243&gt;=Assumptions!$B$4*(1-Assumptions!$B$6),G243&lt;Assumptions!$B$4),1,0)</f>
        <v>0</v>
      </c>
      <c r="O243" s="13">
        <f>IF(AND(G243&gt;=Assumptions!$B$7,MOD(G243,Assumptions!$B$7)=0),1,0)</f>
        <v>0</v>
      </c>
      <c r="P243" s="13">
        <f t="shared" si="17"/>
        <v>0</v>
      </c>
      <c r="Q243" s="13">
        <f t="shared" si="18"/>
        <v>0</v>
      </c>
      <c r="R243" s="13">
        <f>L243*Assumptions!$B$11+M243*Assumptions!$B$12+N243*Assumptions!$B$13+O243*Assumptions!$B$14+P243*Assumptions!$B$15+Q243*Assumptions!$B$16</f>
        <v>0</v>
      </c>
      <c r="S243" s="13" t="str">
        <f>IF(R243&gt;=Assumptions!$B$20,"High",IF(R243&gt;=Assumptions!$B$21,"Medium",IF(R243&gt;=1,"Low","Clear")))</f>
        <v>Clear</v>
      </c>
      <c r="T243" s="13" t="str">
        <f t="shared" si="19"/>
        <v/>
      </c>
    </row>
    <row r="244" spans="1:20" x14ac:dyDescent="0.35">
      <c r="A244" s="13" t="s">
        <v>1123</v>
      </c>
      <c r="B244" s="13" t="s">
        <v>131</v>
      </c>
      <c r="C244" s="13" t="s">
        <v>132</v>
      </c>
      <c r="D244" s="13" t="s">
        <v>1124</v>
      </c>
      <c r="E244" s="14">
        <v>45811</v>
      </c>
      <c r="F244" s="14">
        <v>45842</v>
      </c>
      <c r="G244" s="15">
        <v>20457.57</v>
      </c>
      <c r="H244" s="13" t="s">
        <v>1125</v>
      </c>
      <c r="I244" s="13"/>
      <c r="J244" s="13" t="s">
        <v>98</v>
      </c>
      <c r="K244" s="13">
        <f t="shared" si="15"/>
        <v>2</v>
      </c>
      <c r="L244" s="13">
        <f t="shared" si="16"/>
        <v>0</v>
      </c>
      <c r="M244" s="13">
        <f>IF(AND(L244=0,COUNTIFS($B$2:$B$1534,B244,$G$2:$G$1534,G244,$E$2:$E$1534,"&gt;="&amp;(E244-Assumptions!$B$5),$E$2:$E$1534,"&lt;="&amp;(E244+Assumptions!$B$5))&gt;1),1,0)</f>
        <v>0</v>
      </c>
      <c r="N244" s="13">
        <f>IF(AND(G244&gt;=Assumptions!$B$4*(1-Assumptions!$B$6),G244&lt;Assumptions!$B$4),1,0)</f>
        <v>0</v>
      </c>
      <c r="O244" s="13">
        <f>IF(AND(G244&gt;=Assumptions!$B$7,MOD(G244,Assumptions!$B$7)=0),1,0)</f>
        <v>0</v>
      </c>
      <c r="P244" s="13">
        <f t="shared" si="17"/>
        <v>1</v>
      </c>
      <c r="Q244" s="13">
        <f t="shared" si="18"/>
        <v>0</v>
      </c>
      <c r="R244" s="13">
        <f>L244*Assumptions!$B$11+M244*Assumptions!$B$12+N244*Assumptions!$B$13+O244*Assumptions!$B$14+P244*Assumptions!$B$15+Q244*Assumptions!$B$16</f>
        <v>4</v>
      </c>
      <c r="S244" s="13" t="str">
        <f>IF(R244&gt;=Assumptions!$B$20,"High",IF(R244&gt;=Assumptions!$B$21,"Medium",IF(R244&gt;=1,"Low","Clear")))</f>
        <v>Medium</v>
      </c>
      <c r="T244" s="13" t="str">
        <f t="shared" si="19"/>
        <v xml:space="preserve">No PO/GRN; </v>
      </c>
    </row>
    <row r="245" spans="1:20" x14ac:dyDescent="0.35">
      <c r="A245" s="13" t="s">
        <v>1126</v>
      </c>
      <c r="B245" s="13" t="s">
        <v>206</v>
      </c>
      <c r="C245" s="13" t="s">
        <v>207</v>
      </c>
      <c r="D245" s="13" t="s">
        <v>1127</v>
      </c>
      <c r="E245" s="14">
        <v>45822</v>
      </c>
      <c r="F245" s="14">
        <v>45842</v>
      </c>
      <c r="G245" s="15">
        <v>197835.87</v>
      </c>
      <c r="H245" s="13" t="s">
        <v>1128</v>
      </c>
      <c r="I245" s="13" t="s">
        <v>1129</v>
      </c>
      <c r="J245" s="13" t="s">
        <v>170</v>
      </c>
      <c r="K245" s="13">
        <f t="shared" si="15"/>
        <v>1</v>
      </c>
      <c r="L245" s="13">
        <f t="shared" si="16"/>
        <v>0</v>
      </c>
      <c r="M245" s="13">
        <f>IF(AND(L245=0,COUNTIFS($B$2:$B$1534,B245,$G$2:$G$1534,G245,$E$2:$E$1534,"&gt;="&amp;(E245-Assumptions!$B$5),$E$2:$E$1534,"&lt;="&amp;(E245+Assumptions!$B$5))&gt;1),1,0)</f>
        <v>0</v>
      </c>
      <c r="N245" s="13">
        <f>IF(AND(G245&gt;=Assumptions!$B$4*(1-Assumptions!$B$6),G245&lt;Assumptions!$B$4),1,0)</f>
        <v>0</v>
      </c>
      <c r="O245" s="13">
        <f>IF(AND(G245&gt;=Assumptions!$B$7,MOD(G245,Assumptions!$B$7)=0),1,0)</f>
        <v>0</v>
      </c>
      <c r="P245" s="13">
        <f t="shared" si="17"/>
        <v>0</v>
      </c>
      <c r="Q245" s="13">
        <f t="shared" si="18"/>
        <v>0</v>
      </c>
      <c r="R245" s="13">
        <f>L245*Assumptions!$B$11+M245*Assumptions!$B$12+N245*Assumptions!$B$13+O245*Assumptions!$B$14+P245*Assumptions!$B$15+Q245*Assumptions!$B$16</f>
        <v>0</v>
      </c>
      <c r="S245" s="13" t="str">
        <f>IF(R245&gt;=Assumptions!$B$20,"High",IF(R245&gt;=Assumptions!$B$21,"Medium",IF(R245&gt;=1,"Low","Clear")))</f>
        <v>Clear</v>
      </c>
      <c r="T245" s="13" t="str">
        <f t="shared" si="19"/>
        <v/>
      </c>
    </row>
    <row r="246" spans="1:20" x14ac:dyDescent="0.35">
      <c r="A246" s="13" t="s">
        <v>1130</v>
      </c>
      <c r="B246" s="13" t="s">
        <v>307</v>
      </c>
      <c r="C246" s="13" t="s">
        <v>308</v>
      </c>
      <c r="D246" s="13" t="s">
        <v>1131</v>
      </c>
      <c r="E246" s="14">
        <v>45809</v>
      </c>
      <c r="F246" s="14">
        <v>45842</v>
      </c>
      <c r="G246" s="15">
        <v>120807.25</v>
      </c>
      <c r="H246" s="13" t="s">
        <v>1132</v>
      </c>
      <c r="I246" s="13" t="s">
        <v>1133</v>
      </c>
      <c r="J246" s="13" t="s">
        <v>143</v>
      </c>
      <c r="K246" s="13">
        <f t="shared" si="15"/>
        <v>1</v>
      </c>
      <c r="L246" s="13">
        <f t="shared" si="16"/>
        <v>0</v>
      </c>
      <c r="M246" s="13">
        <f>IF(AND(L246=0,COUNTIFS($B$2:$B$1534,B246,$G$2:$G$1534,G246,$E$2:$E$1534,"&gt;="&amp;(E246-Assumptions!$B$5),$E$2:$E$1534,"&lt;="&amp;(E246+Assumptions!$B$5))&gt;1),1,0)</f>
        <v>0</v>
      </c>
      <c r="N246" s="13">
        <f>IF(AND(G246&gt;=Assumptions!$B$4*(1-Assumptions!$B$6),G246&lt;Assumptions!$B$4),1,0)</f>
        <v>0</v>
      </c>
      <c r="O246" s="13">
        <f>IF(AND(G246&gt;=Assumptions!$B$7,MOD(G246,Assumptions!$B$7)=0),1,0)</f>
        <v>0</v>
      </c>
      <c r="P246" s="13">
        <f t="shared" si="17"/>
        <v>0</v>
      </c>
      <c r="Q246" s="13">
        <f t="shared" si="18"/>
        <v>0</v>
      </c>
      <c r="R246" s="13">
        <f>L246*Assumptions!$B$11+M246*Assumptions!$B$12+N246*Assumptions!$B$13+O246*Assumptions!$B$14+P246*Assumptions!$B$15+Q246*Assumptions!$B$16</f>
        <v>0</v>
      </c>
      <c r="S246" s="13" t="str">
        <f>IF(R246&gt;=Assumptions!$B$20,"High",IF(R246&gt;=Assumptions!$B$21,"Medium",IF(R246&gt;=1,"Low","Clear")))</f>
        <v>Clear</v>
      </c>
      <c r="T246" s="13" t="str">
        <f t="shared" si="19"/>
        <v/>
      </c>
    </row>
    <row r="247" spans="1:20" x14ac:dyDescent="0.35">
      <c r="A247" s="13" t="s">
        <v>1134</v>
      </c>
      <c r="B247" s="13" t="s">
        <v>279</v>
      </c>
      <c r="C247" s="13" t="s">
        <v>280</v>
      </c>
      <c r="D247" s="13" t="s">
        <v>1135</v>
      </c>
      <c r="E247" s="14">
        <v>45818</v>
      </c>
      <c r="F247" s="14">
        <v>45843</v>
      </c>
      <c r="G247" s="15">
        <v>1704.1</v>
      </c>
      <c r="H247" s="13" t="s">
        <v>1136</v>
      </c>
      <c r="I247" s="13" t="s">
        <v>1137</v>
      </c>
      <c r="J247" s="13" t="s">
        <v>91</v>
      </c>
      <c r="K247" s="13">
        <f t="shared" si="15"/>
        <v>1</v>
      </c>
      <c r="L247" s="13">
        <f t="shared" si="16"/>
        <v>0</v>
      </c>
      <c r="M247" s="13">
        <f>IF(AND(L247=0,COUNTIFS($B$2:$B$1534,B247,$G$2:$G$1534,G247,$E$2:$E$1534,"&gt;="&amp;(E247-Assumptions!$B$5),$E$2:$E$1534,"&lt;="&amp;(E247+Assumptions!$B$5))&gt;1),1,0)</f>
        <v>0</v>
      </c>
      <c r="N247" s="13">
        <f>IF(AND(G247&gt;=Assumptions!$B$4*(1-Assumptions!$B$6),G247&lt;Assumptions!$B$4),1,0)</f>
        <v>0</v>
      </c>
      <c r="O247" s="13">
        <f>IF(AND(G247&gt;=Assumptions!$B$7,MOD(G247,Assumptions!$B$7)=0),1,0)</f>
        <v>0</v>
      </c>
      <c r="P247" s="13">
        <f t="shared" si="17"/>
        <v>0</v>
      </c>
      <c r="Q247" s="13">
        <f t="shared" si="18"/>
        <v>1</v>
      </c>
      <c r="R247" s="13">
        <f>L247*Assumptions!$B$11+M247*Assumptions!$B$12+N247*Assumptions!$B$13+O247*Assumptions!$B$14+P247*Assumptions!$B$15+Q247*Assumptions!$B$16</f>
        <v>1</v>
      </c>
      <c r="S247" s="13" t="str">
        <f>IF(R247&gt;=Assumptions!$B$20,"High",IF(R247&gt;=Assumptions!$B$21,"Medium",IF(R247&gt;=1,"Low","Clear")))</f>
        <v>Low</v>
      </c>
      <c r="T247" s="13" t="str">
        <f t="shared" si="19"/>
        <v xml:space="preserve">Weekend payment; </v>
      </c>
    </row>
    <row r="248" spans="1:20" x14ac:dyDescent="0.35">
      <c r="A248" s="13" t="s">
        <v>1138</v>
      </c>
      <c r="B248" s="13" t="s">
        <v>176</v>
      </c>
      <c r="C248" s="13" t="s">
        <v>177</v>
      </c>
      <c r="D248" s="13" t="s">
        <v>1139</v>
      </c>
      <c r="E248" s="14">
        <v>45805</v>
      </c>
      <c r="F248" s="14">
        <v>45845</v>
      </c>
      <c r="G248" s="15">
        <v>3340.73</v>
      </c>
      <c r="H248" s="13" t="s">
        <v>1140</v>
      </c>
      <c r="I248" s="13" t="s">
        <v>1141</v>
      </c>
      <c r="J248" s="13" t="s">
        <v>136</v>
      </c>
      <c r="K248" s="13">
        <f t="shared" si="15"/>
        <v>3</v>
      </c>
      <c r="L248" s="13">
        <f t="shared" si="16"/>
        <v>0</v>
      </c>
      <c r="M248" s="13">
        <f>IF(AND(L248=0,COUNTIFS($B$2:$B$1534,B248,$G$2:$G$1534,G248,$E$2:$E$1534,"&gt;="&amp;(E248-Assumptions!$B$5),$E$2:$E$1534,"&lt;="&amp;(E248+Assumptions!$B$5))&gt;1),1,0)</f>
        <v>0</v>
      </c>
      <c r="N248" s="13">
        <f>IF(AND(G248&gt;=Assumptions!$B$4*(1-Assumptions!$B$6),G248&lt;Assumptions!$B$4),1,0)</f>
        <v>0</v>
      </c>
      <c r="O248" s="13">
        <f>IF(AND(G248&gt;=Assumptions!$B$7,MOD(G248,Assumptions!$B$7)=0),1,0)</f>
        <v>0</v>
      </c>
      <c r="P248" s="13">
        <f t="shared" si="17"/>
        <v>0</v>
      </c>
      <c r="Q248" s="13">
        <f t="shared" si="18"/>
        <v>0</v>
      </c>
      <c r="R248" s="13">
        <f>L248*Assumptions!$B$11+M248*Assumptions!$B$12+N248*Assumptions!$B$13+O248*Assumptions!$B$14+P248*Assumptions!$B$15+Q248*Assumptions!$B$16</f>
        <v>0</v>
      </c>
      <c r="S248" s="13" t="str">
        <f>IF(R248&gt;=Assumptions!$B$20,"High",IF(R248&gt;=Assumptions!$B$21,"Medium",IF(R248&gt;=1,"Low","Clear")))</f>
        <v>Clear</v>
      </c>
      <c r="T248" s="13" t="str">
        <f t="shared" si="19"/>
        <v/>
      </c>
    </row>
    <row r="249" spans="1:20" x14ac:dyDescent="0.35">
      <c r="A249" s="13" t="s">
        <v>1142</v>
      </c>
      <c r="B249" s="13" t="s">
        <v>176</v>
      </c>
      <c r="C249" s="13" t="s">
        <v>177</v>
      </c>
      <c r="D249" s="13" t="s">
        <v>1143</v>
      </c>
      <c r="E249" s="14">
        <v>45811</v>
      </c>
      <c r="F249" s="14">
        <v>45845</v>
      </c>
      <c r="G249" s="15">
        <v>12925.34</v>
      </c>
      <c r="H249" s="13" t="s">
        <v>1144</v>
      </c>
      <c r="I249" s="13" t="s">
        <v>1145</v>
      </c>
      <c r="J249" s="13" t="s">
        <v>111</v>
      </c>
      <c r="K249" s="13">
        <f t="shared" si="15"/>
        <v>1</v>
      </c>
      <c r="L249" s="13">
        <f t="shared" si="16"/>
        <v>0</v>
      </c>
      <c r="M249" s="13">
        <f>IF(AND(L249=0,COUNTIFS($B$2:$B$1534,B249,$G$2:$G$1534,G249,$E$2:$E$1534,"&gt;="&amp;(E249-Assumptions!$B$5),$E$2:$E$1534,"&lt;="&amp;(E249+Assumptions!$B$5))&gt;1),1,0)</f>
        <v>0</v>
      </c>
      <c r="N249" s="13">
        <f>IF(AND(G249&gt;=Assumptions!$B$4*(1-Assumptions!$B$6),G249&lt;Assumptions!$B$4),1,0)</f>
        <v>0</v>
      </c>
      <c r="O249" s="13">
        <f>IF(AND(G249&gt;=Assumptions!$B$7,MOD(G249,Assumptions!$B$7)=0),1,0)</f>
        <v>0</v>
      </c>
      <c r="P249" s="13">
        <f t="shared" si="17"/>
        <v>0</v>
      </c>
      <c r="Q249" s="13">
        <f t="shared" si="18"/>
        <v>0</v>
      </c>
      <c r="R249" s="13">
        <f>L249*Assumptions!$B$11+M249*Assumptions!$B$12+N249*Assumptions!$B$13+O249*Assumptions!$B$14+P249*Assumptions!$B$15+Q249*Assumptions!$B$16</f>
        <v>0</v>
      </c>
      <c r="S249" s="13" t="str">
        <f>IF(R249&gt;=Assumptions!$B$20,"High",IF(R249&gt;=Assumptions!$B$21,"Medium",IF(R249&gt;=1,"Low","Clear")))</f>
        <v>Clear</v>
      </c>
      <c r="T249" s="13" t="str">
        <f t="shared" si="19"/>
        <v/>
      </c>
    </row>
    <row r="250" spans="1:20" x14ac:dyDescent="0.35">
      <c r="A250" s="13" t="s">
        <v>1146</v>
      </c>
      <c r="B250" s="13" t="s">
        <v>293</v>
      </c>
      <c r="C250" s="13" t="s">
        <v>294</v>
      </c>
      <c r="D250" s="13" t="s">
        <v>1147</v>
      </c>
      <c r="E250" s="14">
        <v>45822</v>
      </c>
      <c r="F250" s="14">
        <v>45845</v>
      </c>
      <c r="G250" s="15">
        <v>100228.13</v>
      </c>
      <c r="H250" s="13" t="s">
        <v>1148</v>
      </c>
      <c r="I250" s="13" t="s">
        <v>1149</v>
      </c>
      <c r="J250" s="13" t="s">
        <v>170</v>
      </c>
      <c r="K250" s="13">
        <f t="shared" si="15"/>
        <v>1</v>
      </c>
      <c r="L250" s="13">
        <f t="shared" si="16"/>
        <v>0</v>
      </c>
      <c r="M250" s="13">
        <f>IF(AND(L250=0,COUNTIFS($B$2:$B$1534,B250,$G$2:$G$1534,G250,$E$2:$E$1534,"&gt;="&amp;(E250-Assumptions!$B$5),$E$2:$E$1534,"&lt;="&amp;(E250+Assumptions!$B$5))&gt;1),1,0)</f>
        <v>0</v>
      </c>
      <c r="N250" s="13">
        <f>IF(AND(G250&gt;=Assumptions!$B$4*(1-Assumptions!$B$6),G250&lt;Assumptions!$B$4),1,0)</f>
        <v>0</v>
      </c>
      <c r="O250" s="13">
        <f>IF(AND(G250&gt;=Assumptions!$B$7,MOD(G250,Assumptions!$B$7)=0),1,0)</f>
        <v>0</v>
      </c>
      <c r="P250" s="13">
        <f t="shared" si="17"/>
        <v>0</v>
      </c>
      <c r="Q250" s="13">
        <f t="shared" si="18"/>
        <v>0</v>
      </c>
      <c r="R250" s="13">
        <f>L250*Assumptions!$B$11+M250*Assumptions!$B$12+N250*Assumptions!$B$13+O250*Assumptions!$B$14+P250*Assumptions!$B$15+Q250*Assumptions!$B$16</f>
        <v>0</v>
      </c>
      <c r="S250" s="13" t="str">
        <f>IF(R250&gt;=Assumptions!$B$20,"High",IF(R250&gt;=Assumptions!$B$21,"Medium",IF(R250&gt;=1,"Low","Clear")))</f>
        <v>Clear</v>
      </c>
      <c r="T250" s="13" t="str">
        <f t="shared" si="19"/>
        <v/>
      </c>
    </row>
    <row r="251" spans="1:20" x14ac:dyDescent="0.35">
      <c r="A251" s="13" t="s">
        <v>1150</v>
      </c>
      <c r="B251" s="13" t="s">
        <v>409</v>
      </c>
      <c r="C251" s="13" t="s">
        <v>410</v>
      </c>
      <c r="D251" s="13" t="s">
        <v>1151</v>
      </c>
      <c r="E251" s="14">
        <v>45825</v>
      </c>
      <c r="F251" s="14">
        <v>45845</v>
      </c>
      <c r="G251" s="15">
        <v>110000</v>
      </c>
      <c r="H251" s="13" t="s">
        <v>1152</v>
      </c>
      <c r="I251" s="13" t="s">
        <v>1153</v>
      </c>
      <c r="J251" s="13" t="s">
        <v>170</v>
      </c>
      <c r="K251" s="13">
        <f t="shared" si="15"/>
        <v>1</v>
      </c>
      <c r="L251" s="13">
        <f t="shared" si="16"/>
        <v>0</v>
      </c>
      <c r="M251" s="13">
        <f>IF(AND(L251=0,COUNTIFS($B$2:$B$1534,B251,$G$2:$G$1534,G251,$E$2:$E$1534,"&gt;="&amp;(E251-Assumptions!$B$5),$E$2:$E$1534,"&lt;="&amp;(E251+Assumptions!$B$5))&gt;1),1,0)</f>
        <v>0</v>
      </c>
      <c r="N251" s="13">
        <f>IF(AND(G251&gt;=Assumptions!$B$4*(1-Assumptions!$B$6),G251&lt;Assumptions!$B$4),1,0)</f>
        <v>0</v>
      </c>
      <c r="O251" s="13">
        <f>IF(AND(G251&gt;=Assumptions!$B$7,MOD(G251,Assumptions!$B$7)=0),1,0)</f>
        <v>1</v>
      </c>
      <c r="P251" s="13">
        <f t="shared" si="17"/>
        <v>0</v>
      </c>
      <c r="Q251" s="13">
        <f t="shared" si="18"/>
        <v>0</v>
      </c>
      <c r="R251" s="13">
        <f>L251*Assumptions!$B$11+M251*Assumptions!$B$12+N251*Assumptions!$B$13+O251*Assumptions!$B$14+P251*Assumptions!$B$15+Q251*Assumptions!$B$16</f>
        <v>1</v>
      </c>
      <c r="S251" s="13" t="str">
        <f>IF(R251&gt;=Assumptions!$B$20,"High",IF(R251&gt;=Assumptions!$B$21,"Medium",IF(R251&gt;=1,"Low","Clear")))</f>
        <v>Low</v>
      </c>
      <c r="T251" s="13" t="str">
        <f t="shared" si="19"/>
        <v xml:space="preserve">Round amount; </v>
      </c>
    </row>
    <row r="252" spans="1:20" x14ac:dyDescent="0.35">
      <c r="A252" s="13" t="s">
        <v>1154</v>
      </c>
      <c r="B252" s="13" t="s">
        <v>252</v>
      </c>
      <c r="C252" s="13" t="s">
        <v>253</v>
      </c>
      <c r="D252" s="13" t="s">
        <v>1155</v>
      </c>
      <c r="E252" s="14">
        <v>45809</v>
      </c>
      <c r="F252" s="14">
        <v>45845</v>
      </c>
      <c r="G252" s="15">
        <v>3300.93</v>
      </c>
      <c r="H252" s="13" t="s">
        <v>1156</v>
      </c>
      <c r="I252" s="13" t="s">
        <v>1157</v>
      </c>
      <c r="J252" s="13" t="s">
        <v>143</v>
      </c>
      <c r="K252" s="13">
        <f t="shared" si="15"/>
        <v>3</v>
      </c>
      <c r="L252" s="13">
        <f t="shared" si="16"/>
        <v>0</v>
      </c>
      <c r="M252" s="13">
        <f>IF(AND(L252=0,COUNTIFS($B$2:$B$1534,B252,$G$2:$G$1534,G252,$E$2:$E$1534,"&gt;="&amp;(E252-Assumptions!$B$5),$E$2:$E$1534,"&lt;="&amp;(E252+Assumptions!$B$5))&gt;1),1,0)</f>
        <v>0</v>
      </c>
      <c r="N252" s="13">
        <f>IF(AND(G252&gt;=Assumptions!$B$4*(1-Assumptions!$B$6),G252&lt;Assumptions!$B$4),1,0)</f>
        <v>0</v>
      </c>
      <c r="O252" s="13">
        <f>IF(AND(G252&gt;=Assumptions!$B$7,MOD(G252,Assumptions!$B$7)=0),1,0)</f>
        <v>0</v>
      </c>
      <c r="P252" s="13">
        <f t="shared" si="17"/>
        <v>0</v>
      </c>
      <c r="Q252" s="13">
        <f t="shared" si="18"/>
        <v>0</v>
      </c>
      <c r="R252" s="13">
        <f>L252*Assumptions!$B$11+M252*Assumptions!$B$12+N252*Assumptions!$B$13+O252*Assumptions!$B$14+P252*Assumptions!$B$15+Q252*Assumptions!$B$16</f>
        <v>0</v>
      </c>
      <c r="S252" s="13" t="str">
        <f>IF(R252&gt;=Assumptions!$B$20,"High",IF(R252&gt;=Assumptions!$B$21,"Medium",IF(R252&gt;=1,"Low","Clear")))</f>
        <v>Clear</v>
      </c>
      <c r="T252" s="13" t="str">
        <f t="shared" si="19"/>
        <v/>
      </c>
    </row>
    <row r="253" spans="1:20" x14ac:dyDescent="0.35">
      <c r="A253" s="13" t="s">
        <v>1158</v>
      </c>
      <c r="B253" s="13" t="s">
        <v>252</v>
      </c>
      <c r="C253" s="13" t="s">
        <v>253</v>
      </c>
      <c r="D253" s="13" t="s">
        <v>1159</v>
      </c>
      <c r="E253" s="14">
        <v>45815</v>
      </c>
      <c r="F253" s="14">
        <v>45845</v>
      </c>
      <c r="G253" s="15">
        <v>1768.62</v>
      </c>
      <c r="H253" s="13" t="s">
        <v>1160</v>
      </c>
      <c r="I253" s="13" t="s">
        <v>1161</v>
      </c>
      <c r="J253" s="13" t="s">
        <v>91</v>
      </c>
      <c r="K253" s="13">
        <f t="shared" si="15"/>
        <v>1</v>
      </c>
      <c r="L253" s="13">
        <f t="shared" si="16"/>
        <v>0</v>
      </c>
      <c r="M253" s="13">
        <f>IF(AND(L253=0,COUNTIFS($B$2:$B$1534,B253,$G$2:$G$1534,G253,$E$2:$E$1534,"&gt;="&amp;(E253-Assumptions!$B$5),$E$2:$E$1534,"&lt;="&amp;(E253+Assumptions!$B$5))&gt;1),1,0)</f>
        <v>0</v>
      </c>
      <c r="N253" s="13">
        <f>IF(AND(G253&gt;=Assumptions!$B$4*(1-Assumptions!$B$6),G253&lt;Assumptions!$B$4),1,0)</f>
        <v>0</v>
      </c>
      <c r="O253" s="13">
        <f>IF(AND(G253&gt;=Assumptions!$B$7,MOD(G253,Assumptions!$B$7)=0),1,0)</f>
        <v>0</v>
      </c>
      <c r="P253" s="13">
        <f t="shared" si="17"/>
        <v>0</v>
      </c>
      <c r="Q253" s="13">
        <f t="shared" si="18"/>
        <v>0</v>
      </c>
      <c r="R253" s="13">
        <f>L253*Assumptions!$B$11+M253*Assumptions!$B$12+N253*Assumptions!$B$13+O253*Assumptions!$B$14+P253*Assumptions!$B$15+Q253*Assumptions!$B$16</f>
        <v>0</v>
      </c>
      <c r="S253" s="13" t="str">
        <f>IF(R253&gt;=Assumptions!$B$20,"High",IF(R253&gt;=Assumptions!$B$21,"Medium",IF(R253&gt;=1,"Low","Clear")))</f>
        <v>Clear</v>
      </c>
      <c r="T253" s="13" t="str">
        <f t="shared" si="19"/>
        <v/>
      </c>
    </row>
    <row r="254" spans="1:20" x14ac:dyDescent="0.35">
      <c r="A254" s="13" t="s">
        <v>1162</v>
      </c>
      <c r="B254" s="13" t="s">
        <v>279</v>
      </c>
      <c r="C254" s="13" t="s">
        <v>280</v>
      </c>
      <c r="D254" s="13" t="s">
        <v>1163</v>
      </c>
      <c r="E254" s="14">
        <v>45816</v>
      </c>
      <c r="F254" s="14">
        <v>45845</v>
      </c>
      <c r="G254" s="15">
        <v>836870.53</v>
      </c>
      <c r="H254" s="13" t="s">
        <v>1164</v>
      </c>
      <c r="I254" s="13" t="s">
        <v>1165</v>
      </c>
      <c r="J254" s="13" t="s">
        <v>170</v>
      </c>
      <c r="K254" s="13">
        <f t="shared" si="15"/>
        <v>8</v>
      </c>
      <c r="L254" s="13">
        <f t="shared" si="16"/>
        <v>0</v>
      </c>
      <c r="M254" s="13">
        <f>IF(AND(L254=0,COUNTIFS($B$2:$B$1534,B254,$G$2:$G$1534,G254,$E$2:$E$1534,"&gt;="&amp;(E254-Assumptions!$B$5),$E$2:$E$1534,"&lt;="&amp;(E254+Assumptions!$B$5))&gt;1),1,0)</f>
        <v>0</v>
      </c>
      <c r="N254" s="13">
        <f>IF(AND(G254&gt;=Assumptions!$B$4*(1-Assumptions!$B$6),G254&lt;Assumptions!$B$4),1,0)</f>
        <v>0</v>
      </c>
      <c r="O254" s="13">
        <f>IF(AND(G254&gt;=Assumptions!$B$7,MOD(G254,Assumptions!$B$7)=0),1,0)</f>
        <v>0</v>
      </c>
      <c r="P254" s="13">
        <f t="shared" si="17"/>
        <v>0</v>
      </c>
      <c r="Q254" s="13">
        <f t="shared" si="18"/>
        <v>0</v>
      </c>
      <c r="R254" s="13">
        <f>L254*Assumptions!$B$11+M254*Assumptions!$B$12+N254*Assumptions!$B$13+O254*Assumptions!$B$14+P254*Assumptions!$B$15+Q254*Assumptions!$B$16</f>
        <v>0</v>
      </c>
      <c r="S254" s="13" t="str">
        <f>IF(R254&gt;=Assumptions!$B$20,"High",IF(R254&gt;=Assumptions!$B$21,"Medium",IF(R254&gt;=1,"Low","Clear")))</f>
        <v>Clear</v>
      </c>
      <c r="T254" s="13" t="str">
        <f t="shared" si="19"/>
        <v/>
      </c>
    </row>
    <row r="255" spans="1:20" x14ac:dyDescent="0.35">
      <c r="A255" s="13" t="s">
        <v>1166</v>
      </c>
      <c r="B255" s="13" t="s">
        <v>774</v>
      </c>
      <c r="C255" s="13" t="s">
        <v>775</v>
      </c>
      <c r="D255" s="13" t="s">
        <v>1167</v>
      </c>
      <c r="E255" s="14">
        <v>45820</v>
      </c>
      <c r="F255" s="14">
        <v>45845</v>
      </c>
      <c r="G255" s="15">
        <v>1418.46</v>
      </c>
      <c r="H255" s="13" t="s">
        <v>1168</v>
      </c>
      <c r="I255" s="13" t="s">
        <v>1169</v>
      </c>
      <c r="J255" s="13" t="s">
        <v>98</v>
      </c>
      <c r="K255" s="13">
        <f t="shared" si="15"/>
        <v>1</v>
      </c>
      <c r="L255" s="13">
        <f t="shared" si="16"/>
        <v>0</v>
      </c>
      <c r="M255" s="13">
        <f>IF(AND(L255=0,COUNTIFS($B$2:$B$1534,B255,$G$2:$G$1534,G255,$E$2:$E$1534,"&gt;="&amp;(E255-Assumptions!$B$5),$E$2:$E$1534,"&lt;="&amp;(E255+Assumptions!$B$5))&gt;1),1,0)</f>
        <v>0</v>
      </c>
      <c r="N255" s="13">
        <f>IF(AND(G255&gt;=Assumptions!$B$4*(1-Assumptions!$B$6),G255&lt;Assumptions!$B$4),1,0)</f>
        <v>0</v>
      </c>
      <c r="O255" s="13">
        <f>IF(AND(G255&gt;=Assumptions!$B$7,MOD(G255,Assumptions!$B$7)=0),1,0)</f>
        <v>0</v>
      </c>
      <c r="P255" s="13">
        <f t="shared" si="17"/>
        <v>0</v>
      </c>
      <c r="Q255" s="13">
        <f t="shared" si="18"/>
        <v>0</v>
      </c>
      <c r="R255" s="13">
        <f>L255*Assumptions!$B$11+M255*Assumptions!$B$12+N255*Assumptions!$B$13+O255*Assumptions!$B$14+P255*Assumptions!$B$15+Q255*Assumptions!$B$16</f>
        <v>0</v>
      </c>
      <c r="S255" s="13" t="str">
        <f>IF(R255&gt;=Assumptions!$B$20,"High",IF(R255&gt;=Assumptions!$B$21,"Medium",IF(R255&gt;=1,"Low","Clear")))</f>
        <v>Clear</v>
      </c>
      <c r="T255" s="13" t="str">
        <f t="shared" si="19"/>
        <v/>
      </c>
    </row>
    <row r="256" spans="1:20" x14ac:dyDescent="0.35">
      <c r="A256" s="13" t="s">
        <v>1170</v>
      </c>
      <c r="B256" s="13" t="s">
        <v>307</v>
      </c>
      <c r="C256" s="13" t="s">
        <v>308</v>
      </c>
      <c r="D256" s="13" t="s">
        <v>1171</v>
      </c>
      <c r="E256" s="14">
        <v>45816</v>
      </c>
      <c r="F256" s="14">
        <v>45845</v>
      </c>
      <c r="G256" s="15">
        <v>8966.36</v>
      </c>
      <c r="H256" s="13" t="s">
        <v>1172</v>
      </c>
      <c r="I256" s="13" t="s">
        <v>1173</v>
      </c>
      <c r="J256" s="13" t="s">
        <v>91</v>
      </c>
      <c r="K256" s="13">
        <f t="shared" si="15"/>
        <v>8</v>
      </c>
      <c r="L256" s="13">
        <f t="shared" si="16"/>
        <v>0</v>
      </c>
      <c r="M256" s="13">
        <f>IF(AND(L256=0,COUNTIFS($B$2:$B$1534,B256,$G$2:$G$1534,G256,$E$2:$E$1534,"&gt;="&amp;(E256-Assumptions!$B$5),$E$2:$E$1534,"&lt;="&amp;(E256+Assumptions!$B$5))&gt;1),1,0)</f>
        <v>0</v>
      </c>
      <c r="N256" s="13">
        <f>IF(AND(G256&gt;=Assumptions!$B$4*(1-Assumptions!$B$6),G256&lt;Assumptions!$B$4),1,0)</f>
        <v>0</v>
      </c>
      <c r="O256" s="13">
        <f>IF(AND(G256&gt;=Assumptions!$B$7,MOD(G256,Assumptions!$B$7)=0),1,0)</f>
        <v>0</v>
      </c>
      <c r="P256" s="13">
        <f t="shared" si="17"/>
        <v>0</v>
      </c>
      <c r="Q256" s="13">
        <f t="shared" si="18"/>
        <v>0</v>
      </c>
      <c r="R256" s="13">
        <f>L256*Assumptions!$B$11+M256*Assumptions!$B$12+N256*Assumptions!$B$13+O256*Assumptions!$B$14+P256*Assumptions!$B$15+Q256*Assumptions!$B$16</f>
        <v>0</v>
      </c>
      <c r="S256" s="13" t="str">
        <f>IF(R256&gt;=Assumptions!$B$20,"High",IF(R256&gt;=Assumptions!$B$21,"Medium",IF(R256&gt;=1,"Low","Clear")))</f>
        <v>Clear</v>
      </c>
      <c r="T256" s="13" t="str">
        <f t="shared" si="19"/>
        <v/>
      </c>
    </row>
    <row r="257" spans="1:20" x14ac:dyDescent="0.35">
      <c r="A257" s="13" t="s">
        <v>1174</v>
      </c>
      <c r="B257" s="13" t="s">
        <v>218</v>
      </c>
      <c r="C257" s="13" t="s">
        <v>219</v>
      </c>
      <c r="D257" s="13" t="s">
        <v>1175</v>
      </c>
      <c r="E257" s="14">
        <v>45822</v>
      </c>
      <c r="F257" s="14">
        <v>45845</v>
      </c>
      <c r="G257" s="15">
        <v>102509.13</v>
      </c>
      <c r="H257" s="13" t="s">
        <v>1176</v>
      </c>
      <c r="I257" s="13" t="s">
        <v>1177</v>
      </c>
      <c r="J257" s="13" t="s">
        <v>143</v>
      </c>
      <c r="K257" s="13">
        <f t="shared" si="15"/>
        <v>1</v>
      </c>
      <c r="L257" s="13">
        <f t="shared" si="16"/>
        <v>0</v>
      </c>
      <c r="M257" s="13">
        <f>IF(AND(L257=0,COUNTIFS($B$2:$B$1534,B257,$G$2:$G$1534,G257,$E$2:$E$1534,"&gt;="&amp;(E257-Assumptions!$B$5),$E$2:$E$1534,"&lt;="&amp;(E257+Assumptions!$B$5))&gt;1),1,0)</f>
        <v>0</v>
      </c>
      <c r="N257" s="13">
        <f>IF(AND(G257&gt;=Assumptions!$B$4*(1-Assumptions!$B$6),G257&lt;Assumptions!$B$4),1,0)</f>
        <v>0</v>
      </c>
      <c r="O257" s="13">
        <f>IF(AND(G257&gt;=Assumptions!$B$7,MOD(G257,Assumptions!$B$7)=0),1,0)</f>
        <v>0</v>
      </c>
      <c r="P257" s="13">
        <f t="shared" si="17"/>
        <v>0</v>
      </c>
      <c r="Q257" s="13">
        <f t="shared" si="18"/>
        <v>0</v>
      </c>
      <c r="R257" s="13">
        <f>L257*Assumptions!$B$11+M257*Assumptions!$B$12+N257*Assumptions!$B$13+O257*Assumptions!$B$14+P257*Assumptions!$B$15+Q257*Assumptions!$B$16</f>
        <v>0</v>
      </c>
      <c r="S257" s="13" t="str">
        <f>IF(R257&gt;=Assumptions!$B$20,"High",IF(R257&gt;=Assumptions!$B$21,"Medium",IF(R257&gt;=1,"Low","Clear")))</f>
        <v>Clear</v>
      </c>
      <c r="T257" s="13" t="str">
        <f t="shared" si="19"/>
        <v/>
      </c>
    </row>
    <row r="258" spans="1:20" x14ac:dyDescent="0.35">
      <c r="A258" s="13" t="s">
        <v>1178</v>
      </c>
      <c r="B258" s="13" t="s">
        <v>329</v>
      </c>
      <c r="C258" s="13" t="s">
        <v>330</v>
      </c>
      <c r="D258" s="13" t="s">
        <v>1179</v>
      </c>
      <c r="E258" s="14">
        <v>45816</v>
      </c>
      <c r="F258" s="14">
        <v>45845</v>
      </c>
      <c r="G258" s="15">
        <v>27003.73</v>
      </c>
      <c r="H258" s="13" t="s">
        <v>1180</v>
      </c>
      <c r="I258" s="13" t="s">
        <v>1181</v>
      </c>
      <c r="J258" s="13" t="s">
        <v>170</v>
      </c>
      <c r="K258" s="13">
        <f t="shared" ref="K258:K321" si="20">VALUE(LEFT(TEXT(G258,"0"),1))</f>
        <v>2</v>
      </c>
      <c r="L258" s="13">
        <f t="shared" ref="L258:L321" si="21">IF(COUNTIFS($B$2:$B$1534,B258,$D$2:$D$1534,D258)&gt;1,1,0)</f>
        <v>0</v>
      </c>
      <c r="M258" s="13">
        <f>IF(AND(L258=0,COUNTIFS($B$2:$B$1534,B258,$G$2:$G$1534,G258,$E$2:$E$1534,"&gt;="&amp;(E258-Assumptions!$B$5),$E$2:$E$1534,"&lt;="&amp;(E258+Assumptions!$B$5))&gt;1),1,0)</f>
        <v>0</v>
      </c>
      <c r="N258" s="13">
        <f>IF(AND(G258&gt;=Assumptions!$B$4*(1-Assumptions!$B$6),G258&lt;Assumptions!$B$4),1,0)</f>
        <v>0</v>
      </c>
      <c r="O258" s="13">
        <f>IF(AND(G258&gt;=Assumptions!$B$7,MOD(G258,Assumptions!$B$7)=0),1,0)</f>
        <v>0</v>
      </c>
      <c r="P258" s="13">
        <f t="shared" ref="P258:P321" si="22">IF(OR(H258="",I258=""),1,0)</f>
        <v>0</v>
      </c>
      <c r="Q258" s="13">
        <f t="shared" ref="Q258:Q321" si="23">IF(WEEKDAY(F258,2)&gt;5,1,0)</f>
        <v>0</v>
      </c>
      <c r="R258" s="13">
        <f>L258*Assumptions!$B$11+M258*Assumptions!$B$12+N258*Assumptions!$B$13+O258*Assumptions!$B$14+P258*Assumptions!$B$15+Q258*Assumptions!$B$16</f>
        <v>0</v>
      </c>
      <c r="S258" s="13" t="str">
        <f>IF(R258&gt;=Assumptions!$B$20,"High",IF(R258&gt;=Assumptions!$B$21,"Medium",IF(R258&gt;=1,"Low","Clear")))</f>
        <v>Clear</v>
      </c>
      <c r="T258" s="13" t="str">
        <f t="shared" ref="T258:T321" si="24">IF(R258=0,"",IF(L258=1,"Duplicate invoice; ","")&amp;IF(M258=1,"Near-duplicate; ","")&amp;IF(N258=1,"Just below limit; ","")&amp;IF(O258=1,"Round amount; ","")&amp;IF(P258=1,"No PO/GRN; ","")&amp;IF(Q258=1,"Weekend payment; ",""))</f>
        <v/>
      </c>
    </row>
    <row r="259" spans="1:20" x14ac:dyDescent="0.35">
      <c r="A259" s="13" t="s">
        <v>1182</v>
      </c>
      <c r="B259" s="13" t="s">
        <v>476</v>
      </c>
      <c r="C259" s="13" t="s">
        <v>477</v>
      </c>
      <c r="D259" s="13" t="s">
        <v>1183</v>
      </c>
      <c r="E259" s="14">
        <v>45819</v>
      </c>
      <c r="F259" s="14">
        <v>45845</v>
      </c>
      <c r="G259" s="15">
        <v>46372.95</v>
      </c>
      <c r="H259" s="13" t="s">
        <v>1184</v>
      </c>
      <c r="I259" s="13" t="s">
        <v>1185</v>
      </c>
      <c r="J259" s="13" t="s">
        <v>143</v>
      </c>
      <c r="K259" s="13">
        <f t="shared" si="20"/>
        <v>4</v>
      </c>
      <c r="L259" s="13">
        <f t="shared" si="21"/>
        <v>0</v>
      </c>
      <c r="M259" s="13">
        <f>IF(AND(L259=0,COUNTIFS($B$2:$B$1534,B259,$G$2:$G$1534,G259,$E$2:$E$1534,"&gt;="&amp;(E259-Assumptions!$B$5),$E$2:$E$1534,"&lt;="&amp;(E259+Assumptions!$B$5))&gt;1),1,0)</f>
        <v>0</v>
      </c>
      <c r="N259" s="13">
        <f>IF(AND(G259&gt;=Assumptions!$B$4*(1-Assumptions!$B$6),G259&lt;Assumptions!$B$4),1,0)</f>
        <v>0</v>
      </c>
      <c r="O259" s="13">
        <f>IF(AND(G259&gt;=Assumptions!$B$7,MOD(G259,Assumptions!$B$7)=0),1,0)</f>
        <v>0</v>
      </c>
      <c r="P259" s="13">
        <f t="shared" si="22"/>
        <v>0</v>
      </c>
      <c r="Q259" s="13">
        <f t="shared" si="23"/>
        <v>0</v>
      </c>
      <c r="R259" s="13">
        <f>L259*Assumptions!$B$11+M259*Assumptions!$B$12+N259*Assumptions!$B$13+O259*Assumptions!$B$14+P259*Assumptions!$B$15+Q259*Assumptions!$B$16</f>
        <v>0</v>
      </c>
      <c r="S259" s="13" t="str">
        <f>IF(R259&gt;=Assumptions!$B$20,"High",IF(R259&gt;=Assumptions!$B$21,"Medium",IF(R259&gt;=1,"Low","Clear")))</f>
        <v>Clear</v>
      </c>
      <c r="T259" s="13" t="str">
        <f t="shared" si="24"/>
        <v/>
      </c>
    </row>
    <row r="260" spans="1:20" x14ac:dyDescent="0.35">
      <c r="A260" s="13" t="s">
        <v>1186</v>
      </c>
      <c r="B260" s="13" t="s">
        <v>339</v>
      </c>
      <c r="C260" s="13" t="s">
        <v>340</v>
      </c>
      <c r="D260" s="13" t="s">
        <v>1187</v>
      </c>
      <c r="E260" s="14">
        <v>45808</v>
      </c>
      <c r="F260" s="14">
        <v>45845</v>
      </c>
      <c r="G260" s="15">
        <v>1050.95</v>
      </c>
      <c r="H260" s="13" t="s">
        <v>1188</v>
      </c>
      <c r="I260" s="13" t="s">
        <v>1189</v>
      </c>
      <c r="J260" s="13" t="s">
        <v>136</v>
      </c>
      <c r="K260" s="13">
        <f t="shared" si="20"/>
        <v>1</v>
      </c>
      <c r="L260" s="13">
        <f t="shared" si="21"/>
        <v>0</v>
      </c>
      <c r="M260" s="13">
        <f>IF(AND(L260=0,COUNTIFS($B$2:$B$1534,B260,$G$2:$G$1534,G260,$E$2:$E$1534,"&gt;="&amp;(E260-Assumptions!$B$5),$E$2:$E$1534,"&lt;="&amp;(E260+Assumptions!$B$5))&gt;1),1,0)</f>
        <v>0</v>
      </c>
      <c r="N260" s="13">
        <f>IF(AND(G260&gt;=Assumptions!$B$4*(1-Assumptions!$B$6),G260&lt;Assumptions!$B$4),1,0)</f>
        <v>0</v>
      </c>
      <c r="O260" s="13">
        <f>IF(AND(G260&gt;=Assumptions!$B$7,MOD(G260,Assumptions!$B$7)=0),1,0)</f>
        <v>0</v>
      </c>
      <c r="P260" s="13">
        <f t="shared" si="22"/>
        <v>0</v>
      </c>
      <c r="Q260" s="13">
        <f t="shared" si="23"/>
        <v>0</v>
      </c>
      <c r="R260" s="13">
        <f>L260*Assumptions!$B$11+M260*Assumptions!$B$12+N260*Assumptions!$B$13+O260*Assumptions!$B$14+P260*Assumptions!$B$15+Q260*Assumptions!$B$16</f>
        <v>0</v>
      </c>
      <c r="S260" s="13" t="str">
        <f>IF(R260&gt;=Assumptions!$B$20,"High",IF(R260&gt;=Assumptions!$B$21,"Medium",IF(R260&gt;=1,"Low","Clear")))</f>
        <v>Clear</v>
      </c>
      <c r="T260" s="13" t="str">
        <f t="shared" si="24"/>
        <v/>
      </c>
    </row>
    <row r="261" spans="1:20" x14ac:dyDescent="0.35">
      <c r="A261" s="13" t="s">
        <v>1190</v>
      </c>
      <c r="B261" s="13" t="s">
        <v>438</v>
      </c>
      <c r="C261" s="13" t="s">
        <v>439</v>
      </c>
      <c r="D261" s="13" t="s">
        <v>1191</v>
      </c>
      <c r="E261" s="14">
        <v>45811</v>
      </c>
      <c r="F261" s="14">
        <v>45845</v>
      </c>
      <c r="G261" s="15">
        <v>12757.25</v>
      </c>
      <c r="H261" s="13" t="s">
        <v>1192</v>
      </c>
      <c r="I261" s="13" t="s">
        <v>1193</v>
      </c>
      <c r="J261" s="13" t="s">
        <v>170</v>
      </c>
      <c r="K261" s="13">
        <f t="shared" si="20"/>
        <v>1</v>
      </c>
      <c r="L261" s="13">
        <f t="shared" si="21"/>
        <v>0</v>
      </c>
      <c r="M261" s="13">
        <f>IF(AND(L261=0,COUNTIFS($B$2:$B$1534,B261,$G$2:$G$1534,G261,$E$2:$E$1534,"&gt;="&amp;(E261-Assumptions!$B$5),$E$2:$E$1534,"&lt;="&amp;(E261+Assumptions!$B$5))&gt;1),1,0)</f>
        <v>0</v>
      </c>
      <c r="N261" s="13">
        <f>IF(AND(G261&gt;=Assumptions!$B$4*(1-Assumptions!$B$6),G261&lt;Assumptions!$B$4),1,0)</f>
        <v>0</v>
      </c>
      <c r="O261" s="13">
        <f>IF(AND(G261&gt;=Assumptions!$B$7,MOD(G261,Assumptions!$B$7)=0),1,0)</f>
        <v>0</v>
      </c>
      <c r="P261" s="13">
        <f t="shared" si="22"/>
        <v>0</v>
      </c>
      <c r="Q261" s="13">
        <f t="shared" si="23"/>
        <v>0</v>
      </c>
      <c r="R261" s="13">
        <f>L261*Assumptions!$B$11+M261*Assumptions!$B$12+N261*Assumptions!$B$13+O261*Assumptions!$B$14+P261*Assumptions!$B$15+Q261*Assumptions!$B$16</f>
        <v>0</v>
      </c>
      <c r="S261" s="13" t="str">
        <f>IF(R261&gt;=Assumptions!$B$20,"High",IF(R261&gt;=Assumptions!$B$21,"Medium",IF(R261&gt;=1,"Low","Clear")))</f>
        <v>Clear</v>
      </c>
      <c r="T261" s="13" t="str">
        <f t="shared" si="24"/>
        <v/>
      </c>
    </row>
    <row r="262" spans="1:20" x14ac:dyDescent="0.35">
      <c r="A262" s="13" t="s">
        <v>1194</v>
      </c>
      <c r="B262" s="13" t="s">
        <v>145</v>
      </c>
      <c r="C262" s="13" t="s">
        <v>146</v>
      </c>
      <c r="D262" s="13" t="s">
        <v>1195</v>
      </c>
      <c r="E262" s="14">
        <v>45815</v>
      </c>
      <c r="F262" s="14">
        <v>45845</v>
      </c>
      <c r="G262" s="15">
        <v>3275</v>
      </c>
      <c r="H262" s="13" t="s">
        <v>1196</v>
      </c>
      <c r="I262" s="13" t="s">
        <v>1197</v>
      </c>
      <c r="J262" s="13" t="s">
        <v>98</v>
      </c>
      <c r="K262" s="13">
        <f t="shared" si="20"/>
        <v>3</v>
      </c>
      <c r="L262" s="13">
        <f t="shared" si="21"/>
        <v>0</v>
      </c>
      <c r="M262" s="13">
        <f>IF(AND(L262=0,COUNTIFS($B$2:$B$1534,B262,$G$2:$G$1534,G262,$E$2:$E$1534,"&gt;="&amp;(E262-Assumptions!$B$5),$E$2:$E$1534,"&lt;="&amp;(E262+Assumptions!$B$5))&gt;1),1,0)</f>
        <v>0</v>
      </c>
      <c r="N262" s="13">
        <f>IF(AND(G262&gt;=Assumptions!$B$4*(1-Assumptions!$B$6),G262&lt;Assumptions!$B$4),1,0)</f>
        <v>0</v>
      </c>
      <c r="O262" s="13">
        <f>IF(AND(G262&gt;=Assumptions!$B$7,MOD(G262,Assumptions!$B$7)=0),1,0)</f>
        <v>0</v>
      </c>
      <c r="P262" s="13">
        <f t="shared" si="22"/>
        <v>0</v>
      </c>
      <c r="Q262" s="13">
        <f t="shared" si="23"/>
        <v>0</v>
      </c>
      <c r="R262" s="13">
        <f>L262*Assumptions!$B$11+M262*Assumptions!$B$12+N262*Assumptions!$B$13+O262*Assumptions!$B$14+P262*Assumptions!$B$15+Q262*Assumptions!$B$16</f>
        <v>0</v>
      </c>
      <c r="S262" s="13" t="str">
        <f>IF(R262&gt;=Assumptions!$B$20,"High",IF(R262&gt;=Assumptions!$B$21,"Medium",IF(R262&gt;=1,"Low","Clear")))</f>
        <v>Clear</v>
      </c>
      <c r="T262" s="13" t="str">
        <f t="shared" si="24"/>
        <v/>
      </c>
    </row>
    <row r="263" spans="1:20" x14ac:dyDescent="0.35">
      <c r="A263" s="13" t="s">
        <v>1198</v>
      </c>
      <c r="B263" s="13" t="s">
        <v>556</v>
      </c>
      <c r="C263" s="13" t="s">
        <v>557</v>
      </c>
      <c r="D263" s="13" t="s">
        <v>1199</v>
      </c>
      <c r="E263" s="14">
        <v>45811</v>
      </c>
      <c r="F263" s="14">
        <v>45845</v>
      </c>
      <c r="G263" s="15">
        <v>23559.37</v>
      </c>
      <c r="H263" s="13" t="s">
        <v>1200</v>
      </c>
      <c r="I263" s="13" t="s">
        <v>1201</v>
      </c>
      <c r="J263" s="13" t="s">
        <v>143</v>
      </c>
      <c r="K263" s="13">
        <f t="shared" si="20"/>
        <v>2</v>
      </c>
      <c r="L263" s="13">
        <f t="shared" si="21"/>
        <v>0</v>
      </c>
      <c r="M263" s="13">
        <f>IF(AND(L263=0,COUNTIFS($B$2:$B$1534,B263,$G$2:$G$1534,G263,$E$2:$E$1534,"&gt;="&amp;(E263-Assumptions!$B$5),$E$2:$E$1534,"&lt;="&amp;(E263+Assumptions!$B$5))&gt;1),1,0)</f>
        <v>0</v>
      </c>
      <c r="N263" s="13">
        <f>IF(AND(G263&gt;=Assumptions!$B$4*(1-Assumptions!$B$6),G263&lt;Assumptions!$B$4),1,0)</f>
        <v>0</v>
      </c>
      <c r="O263" s="13">
        <f>IF(AND(G263&gt;=Assumptions!$B$7,MOD(G263,Assumptions!$B$7)=0),1,0)</f>
        <v>0</v>
      </c>
      <c r="P263" s="13">
        <f t="shared" si="22"/>
        <v>0</v>
      </c>
      <c r="Q263" s="13">
        <f t="shared" si="23"/>
        <v>0</v>
      </c>
      <c r="R263" s="13">
        <f>L263*Assumptions!$B$11+M263*Assumptions!$B$12+N263*Assumptions!$B$13+O263*Assumptions!$B$14+P263*Assumptions!$B$15+Q263*Assumptions!$B$16</f>
        <v>0</v>
      </c>
      <c r="S263" s="13" t="str">
        <f>IF(R263&gt;=Assumptions!$B$20,"High",IF(R263&gt;=Assumptions!$B$21,"Medium",IF(R263&gt;=1,"Low","Clear")))</f>
        <v>Clear</v>
      </c>
      <c r="T263" s="13" t="str">
        <f t="shared" si="24"/>
        <v/>
      </c>
    </row>
    <row r="264" spans="1:20" x14ac:dyDescent="0.35">
      <c r="A264" s="13" t="s">
        <v>1202</v>
      </c>
      <c r="B264" s="13" t="s">
        <v>212</v>
      </c>
      <c r="C264" s="13" t="s">
        <v>213</v>
      </c>
      <c r="D264" s="13" t="s">
        <v>1203</v>
      </c>
      <c r="E264" s="14">
        <v>45816</v>
      </c>
      <c r="F264" s="14">
        <v>45846</v>
      </c>
      <c r="G264" s="15">
        <v>430187.2</v>
      </c>
      <c r="H264" s="13" t="s">
        <v>1204</v>
      </c>
      <c r="I264" s="13" t="s">
        <v>1205</v>
      </c>
      <c r="J264" s="13" t="s">
        <v>170</v>
      </c>
      <c r="K264" s="13">
        <f t="shared" si="20"/>
        <v>4</v>
      </c>
      <c r="L264" s="13">
        <f t="shared" si="21"/>
        <v>0</v>
      </c>
      <c r="M264" s="13">
        <f>IF(AND(L264=0,COUNTIFS($B$2:$B$1534,B264,$G$2:$G$1534,G264,$E$2:$E$1534,"&gt;="&amp;(E264-Assumptions!$B$5),$E$2:$E$1534,"&lt;="&amp;(E264+Assumptions!$B$5))&gt;1),1,0)</f>
        <v>0</v>
      </c>
      <c r="N264" s="13">
        <f>IF(AND(G264&gt;=Assumptions!$B$4*(1-Assumptions!$B$6),G264&lt;Assumptions!$B$4),1,0)</f>
        <v>0</v>
      </c>
      <c r="O264" s="13">
        <f>IF(AND(G264&gt;=Assumptions!$B$7,MOD(G264,Assumptions!$B$7)=0),1,0)</f>
        <v>0</v>
      </c>
      <c r="P264" s="13">
        <f t="shared" si="22"/>
        <v>0</v>
      </c>
      <c r="Q264" s="13">
        <f t="shared" si="23"/>
        <v>0</v>
      </c>
      <c r="R264" s="13">
        <f>L264*Assumptions!$B$11+M264*Assumptions!$B$12+N264*Assumptions!$B$13+O264*Assumptions!$B$14+P264*Assumptions!$B$15+Q264*Assumptions!$B$16</f>
        <v>0</v>
      </c>
      <c r="S264" s="13" t="str">
        <f>IF(R264&gt;=Assumptions!$B$20,"High",IF(R264&gt;=Assumptions!$B$21,"Medium",IF(R264&gt;=1,"Low","Clear")))</f>
        <v>Clear</v>
      </c>
      <c r="T264" s="13" t="str">
        <f t="shared" si="24"/>
        <v/>
      </c>
    </row>
    <row r="265" spans="1:20" x14ac:dyDescent="0.35">
      <c r="A265" s="13" t="s">
        <v>1206</v>
      </c>
      <c r="B265" s="13" t="s">
        <v>138</v>
      </c>
      <c r="C265" s="13" t="s">
        <v>139</v>
      </c>
      <c r="D265" s="13" t="s">
        <v>1207</v>
      </c>
      <c r="E265" s="14">
        <v>45825</v>
      </c>
      <c r="F265" s="14">
        <v>45846</v>
      </c>
      <c r="G265" s="15">
        <v>22468.25</v>
      </c>
      <c r="H265" s="13" t="s">
        <v>1208</v>
      </c>
      <c r="I265" s="13" t="s">
        <v>1209</v>
      </c>
      <c r="J265" s="13" t="s">
        <v>91</v>
      </c>
      <c r="K265" s="13">
        <f t="shared" si="20"/>
        <v>2</v>
      </c>
      <c r="L265" s="13">
        <f t="shared" si="21"/>
        <v>0</v>
      </c>
      <c r="M265" s="13">
        <f>IF(AND(L265=0,COUNTIFS($B$2:$B$1534,B265,$G$2:$G$1534,G265,$E$2:$E$1534,"&gt;="&amp;(E265-Assumptions!$B$5),$E$2:$E$1534,"&lt;="&amp;(E265+Assumptions!$B$5))&gt;1),1,0)</f>
        <v>0</v>
      </c>
      <c r="N265" s="13">
        <f>IF(AND(G265&gt;=Assumptions!$B$4*(1-Assumptions!$B$6),G265&lt;Assumptions!$B$4),1,0)</f>
        <v>0</v>
      </c>
      <c r="O265" s="13">
        <f>IF(AND(G265&gt;=Assumptions!$B$7,MOD(G265,Assumptions!$B$7)=0),1,0)</f>
        <v>0</v>
      </c>
      <c r="P265" s="13">
        <f t="shared" si="22"/>
        <v>0</v>
      </c>
      <c r="Q265" s="13">
        <f t="shared" si="23"/>
        <v>0</v>
      </c>
      <c r="R265" s="13">
        <f>L265*Assumptions!$B$11+M265*Assumptions!$B$12+N265*Assumptions!$B$13+O265*Assumptions!$B$14+P265*Assumptions!$B$15+Q265*Assumptions!$B$16</f>
        <v>0</v>
      </c>
      <c r="S265" s="13" t="str">
        <f>IF(R265&gt;=Assumptions!$B$20,"High",IF(R265&gt;=Assumptions!$B$21,"Medium",IF(R265&gt;=1,"Low","Clear")))</f>
        <v>Clear</v>
      </c>
      <c r="T265" s="13" t="str">
        <f t="shared" si="24"/>
        <v/>
      </c>
    </row>
    <row r="266" spans="1:20" x14ac:dyDescent="0.35">
      <c r="A266" s="13" t="s">
        <v>1210</v>
      </c>
      <c r="B266" s="13" t="s">
        <v>125</v>
      </c>
      <c r="C266" s="13" t="s">
        <v>126</v>
      </c>
      <c r="D266" s="13" t="s">
        <v>1211</v>
      </c>
      <c r="E266" s="14">
        <v>45815</v>
      </c>
      <c r="F266" s="14">
        <v>45846</v>
      </c>
      <c r="G266" s="15">
        <v>99211.24</v>
      </c>
      <c r="H266" s="13" t="s">
        <v>1212</v>
      </c>
      <c r="I266" s="13" t="s">
        <v>1213</v>
      </c>
      <c r="J266" s="13" t="s">
        <v>143</v>
      </c>
      <c r="K266" s="13">
        <f t="shared" si="20"/>
        <v>9</v>
      </c>
      <c r="L266" s="13">
        <f t="shared" si="21"/>
        <v>0</v>
      </c>
      <c r="M266" s="13">
        <f>IF(AND(L266=0,COUNTIFS($B$2:$B$1534,B266,$G$2:$G$1534,G266,$E$2:$E$1534,"&gt;="&amp;(E266-Assumptions!$B$5),$E$2:$E$1534,"&lt;="&amp;(E266+Assumptions!$B$5))&gt;1),1,0)</f>
        <v>0</v>
      </c>
      <c r="N266" s="13">
        <f>IF(AND(G266&gt;=Assumptions!$B$4*(1-Assumptions!$B$6),G266&lt;Assumptions!$B$4),1,0)</f>
        <v>0</v>
      </c>
      <c r="O266" s="13">
        <f>IF(AND(G266&gt;=Assumptions!$B$7,MOD(G266,Assumptions!$B$7)=0),1,0)</f>
        <v>0</v>
      </c>
      <c r="P266" s="13">
        <f t="shared" si="22"/>
        <v>0</v>
      </c>
      <c r="Q266" s="13">
        <f t="shared" si="23"/>
        <v>0</v>
      </c>
      <c r="R266" s="13">
        <f>L266*Assumptions!$B$11+M266*Assumptions!$B$12+N266*Assumptions!$B$13+O266*Assumptions!$B$14+P266*Assumptions!$B$15+Q266*Assumptions!$B$16</f>
        <v>0</v>
      </c>
      <c r="S266" s="13" t="str">
        <f>IF(R266&gt;=Assumptions!$B$20,"High",IF(R266&gt;=Assumptions!$B$21,"Medium",IF(R266&gt;=1,"Low","Clear")))</f>
        <v>Clear</v>
      </c>
      <c r="T266" s="13" t="str">
        <f t="shared" si="24"/>
        <v/>
      </c>
    </row>
    <row r="267" spans="1:20" x14ac:dyDescent="0.35">
      <c r="A267" s="13" t="s">
        <v>1214</v>
      </c>
      <c r="B267" s="13" t="s">
        <v>176</v>
      </c>
      <c r="C267" s="13" t="s">
        <v>177</v>
      </c>
      <c r="D267" s="13" t="s">
        <v>1215</v>
      </c>
      <c r="E267" s="14">
        <v>45823</v>
      </c>
      <c r="F267" s="14">
        <v>45847</v>
      </c>
      <c r="G267" s="15">
        <v>22851.95</v>
      </c>
      <c r="H267" s="13" t="s">
        <v>1216</v>
      </c>
      <c r="I267" s="13" t="s">
        <v>1217</v>
      </c>
      <c r="J267" s="13" t="s">
        <v>91</v>
      </c>
      <c r="K267" s="13">
        <f t="shared" si="20"/>
        <v>2</v>
      </c>
      <c r="L267" s="13">
        <f t="shared" si="21"/>
        <v>0</v>
      </c>
      <c r="M267" s="13">
        <f>IF(AND(L267=0,COUNTIFS($B$2:$B$1534,B267,$G$2:$G$1534,G267,$E$2:$E$1534,"&gt;="&amp;(E267-Assumptions!$B$5),$E$2:$E$1534,"&lt;="&amp;(E267+Assumptions!$B$5))&gt;1),1,0)</f>
        <v>0</v>
      </c>
      <c r="N267" s="13">
        <f>IF(AND(G267&gt;=Assumptions!$B$4*(1-Assumptions!$B$6),G267&lt;Assumptions!$B$4),1,0)</f>
        <v>0</v>
      </c>
      <c r="O267" s="13">
        <f>IF(AND(G267&gt;=Assumptions!$B$7,MOD(G267,Assumptions!$B$7)=0),1,0)</f>
        <v>0</v>
      </c>
      <c r="P267" s="13">
        <f t="shared" si="22"/>
        <v>0</v>
      </c>
      <c r="Q267" s="13">
        <f t="shared" si="23"/>
        <v>0</v>
      </c>
      <c r="R267" s="13">
        <f>L267*Assumptions!$B$11+M267*Assumptions!$B$12+N267*Assumptions!$B$13+O267*Assumptions!$B$14+P267*Assumptions!$B$15+Q267*Assumptions!$B$16</f>
        <v>0</v>
      </c>
      <c r="S267" s="13" t="str">
        <f>IF(R267&gt;=Assumptions!$B$20,"High",IF(R267&gt;=Assumptions!$B$21,"Medium",IF(R267&gt;=1,"Low","Clear")))</f>
        <v>Clear</v>
      </c>
      <c r="T267" s="13" t="str">
        <f t="shared" si="24"/>
        <v/>
      </c>
    </row>
    <row r="268" spans="1:20" x14ac:dyDescent="0.35">
      <c r="A268" s="13" t="s">
        <v>1218</v>
      </c>
      <c r="B268" s="13" t="s">
        <v>200</v>
      </c>
      <c r="C268" s="13" t="s">
        <v>201</v>
      </c>
      <c r="D268" s="13" t="s">
        <v>1219</v>
      </c>
      <c r="E268" s="14">
        <v>45814</v>
      </c>
      <c r="F268" s="14">
        <v>45847</v>
      </c>
      <c r="G268" s="15">
        <v>32254.58</v>
      </c>
      <c r="H268" s="13" t="s">
        <v>1220</v>
      </c>
      <c r="I268" s="13" t="s">
        <v>1221</v>
      </c>
      <c r="J268" s="13" t="s">
        <v>91</v>
      </c>
      <c r="K268" s="13">
        <f t="shared" si="20"/>
        <v>3</v>
      </c>
      <c r="L268" s="13">
        <f t="shared" si="21"/>
        <v>0</v>
      </c>
      <c r="M268" s="13">
        <f>IF(AND(L268=0,COUNTIFS($B$2:$B$1534,B268,$G$2:$G$1534,G268,$E$2:$E$1534,"&gt;="&amp;(E268-Assumptions!$B$5),$E$2:$E$1534,"&lt;="&amp;(E268+Assumptions!$B$5))&gt;1),1,0)</f>
        <v>0</v>
      </c>
      <c r="N268" s="13">
        <f>IF(AND(G268&gt;=Assumptions!$B$4*(1-Assumptions!$B$6),G268&lt;Assumptions!$B$4),1,0)</f>
        <v>0</v>
      </c>
      <c r="O268" s="13">
        <f>IF(AND(G268&gt;=Assumptions!$B$7,MOD(G268,Assumptions!$B$7)=0),1,0)</f>
        <v>0</v>
      </c>
      <c r="P268" s="13">
        <f t="shared" si="22"/>
        <v>0</v>
      </c>
      <c r="Q268" s="13">
        <f t="shared" si="23"/>
        <v>0</v>
      </c>
      <c r="R268" s="13">
        <f>L268*Assumptions!$B$11+M268*Assumptions!$B$12+N268*Assumptions!$B$13+O268*Assumptions!$B$14+P268*Assumptions!$B$15+Q268*Assumptions!$B$16</f>
        <v>0</v>
      </c>
      <c r="S268" s="13" t="str">
        <f>IF(R268&gt;=Assumptions!$B$20,"High",IF(R268&gt;=Assumptions!$B$21,"Medium",IF(R268&gt;=1,"Low","Clear")))</f>
        <v>Clear</v>
      </c>
      <c r="T268" s="13" t="str">
        <f t="shared" si="24"/>
        <v/>
      </c>
    </row>
    <row r="269" spans="1:20" x14ac:dyDescent="0.35">
      <c r="A269" s="13" t="s">
        <v>1222</v>
      </c>
      <c r="B269" s="13" t="s">
        <v>206</v>
      </c>
      <c r="C269" s="13" t="s">
        <v>207</v>
      </c>
      <c r="D269" s="13" t="s">
        <v>1223</v>
      </c>
      <c r="E269" s="14">
        <v>45827</v>
      </c>
      <c r="F269" s="14">
        <v>45847</v>
      </c>
      <c r="G269" s="15">
        <v>813674.1</v>
      </c>
      <c r="H269" s="13" t="s">
        <v>1224</v>
      </c>
      <c r="I269" s="13" t="s">
        <v>1225</v>
      </c>
      <c r="J269" s="13" t="s">
        <v>170</v>
      </c>
      <c r="K269" s="13">
        <f t="shared" si="20"/>
        <v>8</v>
      </c>
      <c r="L269" s="13">
        <f t="shared" si="21"/>
        <v>0</v>
      </c>
      <c r="M269" s="13">
        <f>IF(AND(L269=0,COUNTIFS($B$2:$B$1534,B269,$G$2:$G$1534,G269,$E$2:$E$1534,"&gt;="&amp;(E269-Assumptions!$B$5),$E$2:$E$1534,"&lt;="&amp;(E269+Assumptions!$B$5))&gt;1),1,0)</f>
        <v>0</v>
      </c>
      <c r="N269" s="13">
        <f>IF(AND(G269&gt;=Assumptions!$B$4*(1-Assumptions!$B$6),G269&lt;Assumptions!$B$4),1,0)</f>
        <v>0</v>
      </c>
      <c r="O269" s="13">
        <f>IF(AND(G269&gt;=Assumptions!$B$7,MOD(G269,Assumptions!$B$7)=0),1,0)</f>
        <v>0</v>
      </c>
      <c r="P269" s="13">
        <f t="shared" si="22"/>
        <v>0</v>
      </c>
      <c r="Q269" s="13">
        <f t="shared" si="23"/>
        <v>0</v>
      </c>
      <c r="R269" s="13">
        <f>L269*Assumptions!$B$11+M269*Assumptions!$B$12+N269*Assumptions!$B$13+O269*Assumptions!$B$14+P269*Assumptions!$B$15+Q269*Assumptions!$B$16</f>
        <v>0</v>
      </c>
      <c r="S269" s="13" t="str">
        <f>IF(R269&gt;=Assumptions!$B$20,"High",IF(R269&gt;=Assumptions!$B$21,"Medium",IF(R269&gt;=1,"Low","Clear")))</f>
        <v>Clear</v>
      </c>
      <c r="T269" s="13" t="str">
        <f t="shared" si="24"/>
        <v/>
      </c>
    </row>
    <row r="270" spans="1:20" x14ac:dyDescent="0.35">
      <c r="A270" s="13" t="s">
        <v>1226</v>
      </c>
      <c r="B270" s="13" t="s">
        <v>212</v>
      </c>
      <c r="C270" s="13" t="s">
        <v>213</v>
      </c>
      <c r="D270" s="13" t="s">
        <v>1227</v>
      </c>
      <c r="E270" s="14">
        <v>45808</v>
      </c>
      <c r="F270" s="14">
        <v>45847</v>
      </c>
      <c r="G270" s="15">
        <v>360539.95</v>
      </c>
      <c r="H270" s="13" t="s">
        <v>1228</v>
      </c>
      <c r="I270" s="13" t="s">
        <v>1229</v>
      </c>
      <c r="J270" s="13" t="s">
        <v>170</v>
      </c>
      <c r="K270" s="13">
        <f t="shared" si="20"/>
        <v>3</v>
      </c>
      <c r="L270" s="13">
        <f t="shared" si="21"/>
        <v>0</v>
      </c>
      <c r="M270" s="13">
        <f>IF(AND(L270=0,COUNTIFS($B$2:$B$1534,B270,$G$2:$G$1534,G270,$E$2:$E$1534,"&gt;="&amp;(E270-Assumptions!$B$5),$E$2:$E$1534,"&lt;="&amp;(E270+Assumptions!$B$5))&gt;1),1,0)</f>
        <v>0</v>
      </c>
      <c r="N270" s="13">
        <f>IF(AND(G270&gt;=Assumptions!$B$4*(1-Assumptions!$B$6),G270&lt;Assumptions!$B$4),1,0)</f>
        <v>0</v>
      </c>
      <c r="O270" s="13">
        <f>IF(AND(G270&gt;=Assumptions!$B$7,MOD(G270,Assumptions!$B$7)=0),1,0)</f>
        <v>0</v>
      </c>
      <c r="P270" s="13">
        <f t="shared" si="22"/>
        <v>0</v>
      </c>
      <c r="Q270" s="13">
        <f t="shared" si="23"/>
        <v>0</v>
      </c>
      <c r="R270" s="13">
        <f>L270*Assumptions!$B$11+M270*Assumptions!$B$12+N270*Assumptions!$B$13+O270*Assumptions!$B$14+P270*Assumptions!$B$15+Q270*Assumptions!$B$16</f>
        <v>0</v>
      </c>
      <c r="S270" s="13" t="str">
        <f>IF(R270&gt;=Assumptions!$B$20,"High",IF(R270&gt;=Assumptions!$B$21,"Medium",IF(R270&gt;=1,"Low","Clear")))</f>
        <v>Clear</v>
      </c>
      <c r="T270" s="13" t="str">
        <f t="shared" si="24"/>
        <v/>
      </c>
    </row>
    <row r="271" spans="1:20" x14ac:dyDescent="0.35">
      <c r="A271" s="13" t="s">
        <v>1230</v>
      </c>
      <c r="B271" s="13" t="s">
        <v>293</v>
      </c>
      <c r="C271" s="13" t="s">
        <v>294</v>
      </c>
      <c r="D271" s="13" t="s">
        <v>1231</v>
      </c>
      <c r="E271" s="14">
        <v>45818</v>
      </c>
      <c r="F271" s="14">
        <v>45848</v>
      </c>
      <c r="G271" s="15">
        <v>258165.12</v>
      </c>
      <c r="H271" s="13" t="s">
        <v>1232</v>
      </c>
      <c r="I271" s="13" t="s">
        <v>1233</v>
      </c>
      <c r="J271" s="13" t="s">
        <v>143</v>
      </c>
      <c r="K271" s="13">
        <f t="shared" si="20"/>
        <v>2</v>
      </c>
      <c r="L271" s="13">
        <f t="shared" si="21"/>
        <v>0</v>
      </c>
      <c r="M271" s="13">
        <f>IF(AND(L271=0,COUNTIFS($B$2:$B$1534,B271,$G$2:$G$1534,G271,$E$2:$E$1534,"&gt;="&amp;(E271-Assumptions!$B$5),$E$2:$E$1534,"&lt;="&amp;(E271+Assumptions!$B$5))&gt;1),1,0)</f>
        <v>0</v>
      </c>
      <c r="N271" s="13">
        <f>IF(AND(G271&gt;=Assumptions!$B$4*(1-Assumptions!$B$6),G271&lt;Assumptions!$B$4),1,0)</f>
        <v>0</v>
      </c>
      <c r="O271" s="13">
        <f>IF(AND(G271&gt;=Assumptions!$B$7,MOD(G271,Assumptions!$B$7)=0),1,0)</f>
        <v>0</v>
      </c>
      <c r="P271" s="13">
        <f t="shared" si="22"/>
        <v>0</v>
      </c>
      <c r="Q271" s="13">
        <f t="shared" si="23"/>
        <v>0</v>
      </c>
      <c r="R271" s="13">
        <f>L271*Assumptions!$B$11+M271*Assumptions!$B$12+N271*Assumptions!$B$13+O271*Assumptions!$B$14+P271*Assumptions!$B$15+Q271*Assumptions!$B$16</f>
        <v>0</v>
      </c>
      <c r="S271" s="13" t="str">
        <f>IF(R271&gt;=Assumptions!$B$20,"High",IF(R271&gt;=Assumptions!$B$21,"Medium",IF(R271&gt;=1,"Low","Clear")))</f>
        <v>Clear</v>
      </c>
      <c r="T271" s="13" t="str">
        <f t="shared" si="24"/>
        <v/>
      </c>
    </row>
    <row r="272" spans="1:20" x14ac:dyDescent="0.35">
      <c r="A272" s="13" t="s">
        <v>1234</v>
      </c>
      <c r="B272" s="13" t="s">
        <v>228</v>
      </c>
      <c r="C272" s="13" t="s">
        <v>229</v>
      </c>
      <c r="D272" s="13" t="s">
        <v>1235</v>
      </c>
      <c r="E272" s="14">
        <v>45813</v>
      </c>
      <c r="F272" s="14">
        <v>45848</v>
      </c>
      <c r="G272" s="15">
        <v>49072.86</v>
      </c>
      <c r="H272" s="13" t="s">
        <v>1236</v>
      </c>
      <c r="I272" s="13" t="s">
        <v>1237</v>
      </c>
      <c r="J272" s="13" t="s">
        <v>143</v>
      </c>
      <c r="K272" s="13">
        <f t="shared" si="20"/>
        <v>4</v>
      </c>
      <c r="L272" s="13">
        <f t="shared" si="21"/>
        <v>0</v>
      </c>
      <c r="M272" s="13">
        <f>IF(AND(L272=0,COUNTIFS($B$2:$B$1534,B272,$G$2:$G$1534,G272,$E$2:$E$1534,"&gt;="&amp;(E272-Assumptions!$B$5),$E$2:$E$1534,"&lt;="&amp;(E272+Assumptions!$B$5))&gt;1),1,0)</f>
        <v>0</v>
      </c>
      <c r="N272" s="13">
        <f>IF(AND(G272&gt;=Assumptions!$B$4*(1-Assumptions!$B$6),G272&lt;Assumptions!$B$4),1,0)</f>
        <v>1</v>
      </c>
      <c r="O272" s="13">
        <f>IF(AND(G272&gt;=Assumptions!$B$7,MOD(G272,Assumptions!$B$7)=0),1,0)</f>
        <v>0</v>
      </c>
      <c r="P272" s="13">
        <f t="shared" si="22"/>
        <v>0</v>
      </c>
      <c r="Q272" s="13">
        <f t="shared" si="23"/>
        <v>0</v>
      </c>
      <c r="R272" s="13">
        <f>L272*Assumptions!$B$11+M272*Assumptions!$B$12+N272*Assumptions!$B$13+O272*Assumptions!$B$14+P272*Assumptions!$B$15+Q272*Assumptions!$B$16</f>
        <v>3</v>
      </c>
      <c r="S272" s="13" t="str">
        <f>IF(R272&gt;=Assumptions!$B$20,"High",IF(R272&gt;=Assumptions!$B$21,"Medium",IF(R272&gt;=1,"Low","Clear")))</f>
        <v>Medium</v>
      </c>
      <c r="T272" s="13" t="str">
        <f t="shared" si="24"/>
        <v xml:space="preserve">Just below limit; </v>
      </c>
    </row>
    <row r="273" spans="1:20" x14ac:dyDescent="0.35">
      <c r="A273" s="13" t="s">
        <v>1238</v>
      </c>
      <c r="B273" s="13" t="s">
        <v>131</v>
      </c>
      <c r="C273" s="13" t="s">
        <v>132</v>
      </c>
      <c r="D273" s="13" t="s">
        <v>1239</v>
      </c>
      <c r="E273" s="14">
        <v>45812</v>
      </c>
      <c r="F273" s="14">
        <v>45848</v>
      </c>
      <c r="G273" s="15">
        <v>803809.11</v>
      </c>
      <c r="H273" s="13" t="s">
        <v>1240</v>
      </c>
      <c r="I273" s="13" t="s">
        <v>1241</v>
      </c>
      <c r="J273" s="13" t="s">
        <v>136</v>
      </c>
      <c r="K273" s="13">
        <f t="shared" si="20"/>
        <v>8</v>
      </c>
      <c r="L273" s="13">
        <f t="shared" si="21"/>
        <v>0</v>
      </c>
      <c r="M273" s="13">
        <f>IF(AND(L273=0,COUNTIFS($B$2:$B$1534,B273,$G$2:$G$1534,G273,$E$2:$E$1534,"&gt;="&amp;(E273-Assumptions!$B$5),$E$2:$E$1534,"&lt;="&amp;(E273+Assumptions!$B$5))&gt;1),1,0)</f>
        <v>0</v>
      </c>
      <c r="N273" s="13">
        <f>IF(AND(G273&gt;=Assumptions!$B$4*(1-Assumptions!$B$6),G273&lt;Assumptions!$B$4),1,0)</f>
        <v>0</v>
      </c>
      <c r="O273" s="13">
        <f>IF(AND(G273&gt;=Assumptions!$B$7,MOD(G273,Assumptions!$B$7)=0),1,0)</f>
        <v>0</v>
      </c>
      <c r="P273" s="13">
        <f t="shared" si="22"/>
        <v>0</v>
      </c>
      <c r="Q273" s="13">
        <f t="shared" si="23"/>
        <v>0</v>
      </c>
      <c r="R273" s="13">
        <f>L273*Assumptions!$B$11+M273*Assumptions!$B$12+N273*Assumptions!$B$13+O273*Assumptions!$B$14+P273*Assumptions!$B$15+Q273*Assumptions!$B$16</f>
        <v>0</v>
      </c>
      <c r="S273" s="13" t="str">
        <f>IF(R273&gt;=Assumptions!$B$20,"High",IF(R273&gt;=Assumptions!$B$21,"Medium",IF(R273&gt;=1,"Low","Clear")))</f>
        <v>Clear</v>
      </c>
      <c r="T273" s="13" t="str">
        <f t="shared" si="24"/>
        <v/>
      </c>
    </row>
    <row r="274" spans="1:20" x14ac:dyDescent="0.35">
      <c r="A274" s="13" t="s">
        <v>1242</v>
      </c>
      <c r="B274" s="13" t="s">
        <v>218</v>
      </c>
      <c r="C274" s="13" t="s">
        <v>219</v>
      </c>
      <c r="D274" s="13" t="s">
        <v>1243</v>
      </c>
      <c r="E274" s="14">
        <v>45828</v>
      </c>
      <c r="F274" s="14">
        <v>45848</v>
      </c>
      <c r="G274" s="15">
        <v>435392.38</v>
      </c>
      <c r="H274" s="13" t="s">
        <v>1244</v>
      </c>
      <c r="I274" s="13" t="s">
        <v>1245</v>
      </c>
      <c r="J274" s="13" t="s">
        <v>111</v>
      </c>
      <c r="K274" s="13">
        <f t="shared" si="20"/>
        <v>4</v>
      </c>
      <c r="L274" s="13">
        <f t="shared" si="21"/>
        <v>0</v>
      </c>
      <c r="M274" s="13">
        <f>IF(AND(L274=0,COUNTIFS($B$2:$B$1534,B274,$G$2:$G$1534,G274,$E$2:$E$1534,"&gt;="&amp;(E274-Assumptions!$B$5),$E$2:$E$1534,"&lt;="&amp;(E274+Assumptions!$B$5))&gt;1),1,0)</f>
        <v>0</v>
      </c>
      <c r="N274" s="13">
        <f>IF(AND(G274&gt;=Assumptions!$B$4*(1-Assumptions!$B$6),G274&lt;Assumptions!$B$4),1,0)</f>
        <v>0</v>
      </c>
      <c r="O274" s="13">
        <f>IF(AND(G274&gt;=Assumptions!$B$7,MOD(G274,Assumptions!$B$7)=0),1,0)</f>
        <v>0</v>
      </c>
      <c r="P274" s="13">
        <f t="shared" si="22"/>
        <v>0</v>
      </c>
      <c r="Q274" s="13">
        <f t="shared" si="23"/>
        <v>0</v>
      </c>
      <c r="R274" s="13">
        <f>L274*Assumptions!$B$11+M274*Assumptions!$B$12+N274*Assumptions!$B$13+O274*Assumptions!$B$14+P274*Assumptions!$B$15+Q274*Assumptions!$B$16</f>
        <v>0</v>
      </c>
      <c r="S274" s="13" t="str">
        <f>IF(R274&gt;=Assumptions!$B$20,"High",IF(R274&gt;=Assumptions!$B$21,"Medium",IF(R274&gt;=1,"Low","Clear")))</f>
        <v>Clear</v>
      </c>
      <c r="T274" s="13" t="str">
        <f t="shared" si="24"/>
        <v/>
      </c>
    </row>
    <row r="275" spans="1:20" x14ac:dyDescent="0.35">
      <c r="A275" s="13" t="s">
        <v>1246</v>
      </c>
      <c r="B275" s="13" t="s">
        <v>670</v>
      </c>
      <c r="C275" s="13" t="s">
        <v>671</v>
      </c>
      <c r="D275" s="13" t="s">
        <v>1247</v>
      </c>
      <c r="E275" s="14">
        <v>45820</v>
      </c>
      <c r="F275" s="14">
        <v>45849</v>
      </c>
      <c r="G275" s="15">
        <v>20951.95</v>
      </c>
      <c r="H275" s="13" t="s">
        <v>1248</v>
      </c>
      <c r="I275" s="13" t="s">
        <v>1249</v>
      </c>
      <c r="J275" s="13" t="s">
        <v>170</v>
      </c>
      <c r="K275" s="13">
        <f t="shared" si="20"/>
        <v>2</v>
      </c>
      <c r="L275" s="13">
        <f t="shared" si="21"/>
        <v>0</v>
      </c>
      <c r="M275" s="13">
        <f>IF(AND(L275=0,COUNTIFS($B$2:$B$1534,B275,$G$2:$G$1534,G275,$E$2:$E$1534,"&gt;="&amp;(E275-Assumptions!$B$5),$E$2:$E$1534,"&lt;="&amp;(E275+Assumptions!$B$5))&gt;1),1,0)</f>
        <v>0</v>
      </c>
      <c r="N275" s="13">
        <f>IF(AND(G275&gt;=Assumptions!$B$4*(1-Assumptions!$B$6),G275&lt;Assumptions!$B$4),1,0)</f>
        <v>0</v>
      </c>
      <c r="O275" s="13">
        <f>IF(AND(G275&gt;=Assumptions!$B$7,MOD(G275,Assumptions!$B$7)=0),1,0)</f>
        <v>0</v>
      </c>
      <c r="P275" s="13">
        <f t="shared" si="22"/>
        <v>0</v>
      </c>
      <c r="Q275" s="13">
        <f t="shared" si="23"/>
        <v>0</v>
      </c>
      <c r="R275" s="13">
        <f>L275*Assumptions!$B$11+M275*Assumptions!$B$12+N275*Assumptions!$B$13+O275*Assumptions!$B$14+P275*Assumptions!$B$15+Q275*Assumptions!$B$16</f>
        <v>0</v>
      </c>
      <c r="S275" s="13" t="str">
        <f>IF(R275&gt;=Assumptions!$B$20,"High",IF(R275&gt;=Assumptions!$B$21,"Medium",IF(R275&gt;=1,"Low","Clear")))</f>
        <v>Clear</v>
      </c>
      <c r="T275" s="13" t="str">
        <f t="shared" si="24"/>
        <v/>
      </c>
    </row>
    <row r="276" spans="1:20" x14ac:dyDescent="0.35">
      <c r="A276" s="13" t="s">
        <v>1250</v>
      </c>
      <c r="B276" s="13" t="s">
        <v>680</v>
      </c>
      <c r="C276" s="13" t="s">
        <v>681</v>
      </c>
      <c r="D276" s="13" t="s">
        <v>1251</v>
      </c>
      <c r="E276" s="14">
        <v>45824</v>
      </c>
      <c r="F276" s="14">
        <v>45849</v>
      </c>
      <c r="G276" s="15">
        <v>2965.32</v>
      </c>
      <c r="H276" s="13" t="s">
        <v>1252</v>
      </c>
      <c r="I276" s="13" t="s">
        <v>1253</v>
      </c>
      <c r="J276" s="13" t="s">
        <v>136</v>
      </c>
      <c r="K276" s="13">
        <f t="shared" si="20"/>
        <v>2</v>
      </c>
      <c r="L276" s="13">
        <f t="shared" si="21"/>
        <v>0</v>
      </c>
      <c r="M276" s="13">
        <f>IF(AND(L276=0,COUNTIFS($B$2:$B$1534,B276,$G$2:$G$1534,G276,$E$2:$E$1534,"&gt;="&amp;(E276-Assumptions!$B$5),$E$2:$E$1534,"&lt;="&amp;(E276+Assumptions!$B$5))&gt;1),1,0)</f>
        <v>0</v>
      </c>
      <c r="N276" s="13">
        <f>IF(AND(G276&gt;=Assumptions!$B$4*(1-Assumptions!$B$6),G276&lt;Assumptions!$B$4),1,0)</f>
        <v>0</v>
      </c>
      <c r="O276" s="13">
        <f>IF(AND(G276&gt;=Assumptions!$B$7,MOD(G276,Assumptions!$B$7)=0),1,0)</f>
        <v>0</v>
      </c>
      <c r="P276" s="13">
        <f t="shared" si="22"/>
        <v>0</v>
      </c>
      <c r="Q276" s="13">
        <f t="shared" si="23"/>
        <v>0</v>
      </c>
      <c r="R276" s="13">
        <f>L276*Assumptions!$B$11+M276*Assumptions!$B$12+N276*Assumptions!$B$13+O276*Assumptions!$B$14+P276*Assumptions!$B$15+Q276*Assumptions!$B$16</f>
        <v>0</v>
      </c>
      <c r="S276" s="13" t="str">
        <f>IF(R276&gt;=Assumptions!$B$20,"High",IF(R276&gt;=Assumptions!$B$21,"Medium",IF(R276&gt;=1,"Low","Clear")))</f>
        <v>Clear</v>
      </c>
      <c r="T276" s="13" t="str">
        <f t="shared" si="24"/>
        <v/>
      </c>
    </row>
    <row r="277" spans="1:20" x14ac:dyDescent="0.35">
      <c r="A277" s="13" t="s">
        <v>1254</v>
      </c>
      <c r="B277" s="13" t="s">
        <v>131</v>
      </c>
      <c r="C277" s="13" t="s">
        <v>132</v>
      </c>
      <c r="D277" s="13" t="s">
        <v>1255</v>
      </c>
      <c r="E277" s="14">
        <v>45824</v>
      </c>
      <c r="F277" s="14">
        <v>45849</v>
      </c>
      <c r="G277" s="15">
        <v>6620.8</v>
      </c>
      <c r="H277" s="13" t="s">
        <v>1256</v>
      </c>
      <c r="I277" s="13" t="s">
        <v>1257</v>
      </c>
      <c r="J277" s="13" t="s">
        <v>91</v>
      </c>
      <c r="K277" s="13">
        <f t="shared" si="20"/>
        <v>6</v>
      </c>
      <c r="L277" s="13">
        <f t="shared" si="21"/>
        <v>0</v>
      </c>
      <c r="M277" s="13">
        <f>IF(AND(L277=0,COUNTIFS($B$2:$B$1534,B277,$G$2:$G$1534,G277,$E$2:$E$1534,"&gt;="&amp;(E277-Assumptions!$B$5),$E$2:$E$1534,"&lt;="&amp;(E277+Assumptions!$B$5))&gt;1),1,0)</f>
        <v>0</v>
      </c>
      <c r="N277" s="13">
        <f>IF(AND(G277&gt;=Assumptions!$B$4*(1-Assumptions!$B$6),G277&lt;Assumptions!$B$4),1,0)</f>
        <v>0</v>
      </c>
      <c r="O277" s="13">
        <f>IF(AND(G277&gt;=Assumptions!$B$7,MOD(G277,Assumptions!$B$7)=0),1,0)</f>
        <v>0</v>
      </c>
      <c r="P277" s="13">
        <f t="shared" si="22"/>
        <v>0</v>
      </c>
      <c r="Q277" s="13">
        <f t="shared" si="23"/>
        <v>0</v>
      </c>
      <c r="R277" s="13">
        <f>L277*Assumptions!$B$11+M277*Assumptions!$B$12+N277*Assumptions!$B$13+O277*Assumptions!$B$14+P277*Assumptions!$B$15+Q277*Assumptions!$B$16</f>
        <v>0</v>
      </c>
      <c r="S277" s="13" t="str">
        <f>IF(R277&gt;=Assumptions!$B$20,"High",IF(R277&gt;=Assumptions!$B$21,"Medium",IF(R277&gt;=1,"Low","Clear")))</f>
        <v>Clear</v>
      </c>
      <c r="T277" s="13" t="str">
        <f t="shared" si="24"/>
        <v/>
      </c>
    </row>
    <row r="278" spans="1:20" x14ac:dyDescent="0.35">
      <c r="A278" s="13" t="s">
        <v>1258</v>
      </c>
      <c r="B278" s="13" t="s">
        <v>329</v>
      </c>
      <c r="C278" s="13" t="s">
        <v>330</v>
      </c>
      <c r="D278" s="13" t="s">
        <v>1259</v>
      </c>
      <c r="E278" s="14">
        <v>45828</v>
      </c>
      <c r="F278" s="14">
        <v>45849</v>
      </c>
      <c r="G278" s="15">
        <v>2012.67</v>
      </c>
      <c r="H278" s="13" t="s">
        <v>1260</v>
      </c>
      <c r="I278" s="13" t="s">
        <v>1261</v>
      </c>
      <c r="J278" s="13" t="s">
        <v>98</v>
      </c>
      <c r="K278" s="13">
        <f t="shared" si="20"/>
        <v>2</v>
      </c>
      <c r="L278" s="13">
        <f t="shared" si="21"/>
        <v>0</v>
      </c>
      <c r="M278" s="13">
        <f>IF(AND(L278=0,COUNTIFS($B$2:$B$1534,B278,$G$2:$G$1534,G278,$E$2:$E$1534,"&gt;="&amp;(E278-Assumptions!$B$5),$E$2:$E$1534,"&lt;="&amp;(E278+Assumptions!$B$5))&gt;1),1,0)</f>
        <v>0</v>
      </c>
      <c r="N278" s="13">
        <f>IF(AND(G278&gt;=Assumptions!$B$4*(1-Assumptions!$B$6),G278&lt;Assumptions!$B$4),1,0)</f>
        <v>0</v>
      </c>
      <c r="O278" s="13">
        <f>IF(AND(G278&gt;=Assumptions!$B$7,MOD(G278,Assumptions!$B$7)=0),1,0)</f>
        <v>0</v>
      </c>
      <c r="P278" s="13">
        <f t="shared" si="22"/>
        <v>0</v>
      </c>
      <c r="Q278" s="13">
        <f t="shared" si="23"/>
        <v>0</v>
      </c>
      <c r="R278" s="13">
        <f>L278*Assumptions!$B$11+M278*Assumptions!$B$12+N278*Assumptions!$B$13+O278*Assumptions!$B$14+P278*Assumptions!$B$15+Q278*Assumptions!$B$16</f>
        <v>0</v>
      </c>
      <c r="S278" s="13" t="str">
        <f>IF(R278&gt;=Assumptions!$B$20,"High",IF(R278&gt;=Assumptions!$B$21,"Medium",IF(R278&gt;=1,"Low","Clear")))</f>
        <v>Clear</v>
      </c>
      <c r="T278" s="13" t="str">
        <f t="shared" si="24"/>
        <v/>
      </c>
    </row>
    <row r="279" spans="1:20" x14ac:dyDescent="0.35">
      <c r="A279" s="13" t="s">
        <v>1262</v>
      </c>
      <c r="B279" s="13" t="s">
        <v>329</v>
      </c>
      <c r="C279" s="13" t="s">
        <v>330</v>
      </c>
      <c r="D279" s="13" t="s">
        <v>1263</v>
      </c>
      <c r="E279" s="14">
        <v>45814</v>
      </c>
      <c r="F279" s="14">
        <v>45849</v>
      </c>
      <c r="G279" s="15">
        <v>4409.13</v>
      </c>
      <c r="H279" s="13" t="s">
        <v>1264</v>
      </c>
      <c r="I279" s="13" t="s">
        <v>1265</v>
      </c>
      <c r="J279" s="13" t="s">
        <v>136</v>
      </c>
      <c r="K279" s="13">
        <f t="shared" si="20"/>
        <v>4</v>
      </c>
      <c r="L279" s="13">
        <f t="shared" si="21"/>
        <v>0</v>
      </c>
      <c r="M279" s="13">
        <f>IF(AND(L279=0,COUNTIFS($B$2:$B$1534,B279,$G$2:$G$1534,G279,$E$2:$E$1534,"&gt;="&amp;(E279-Assumptions!$B$5),$E$2:$E$1534,"&lt;="&amp;(E279+Assumptions!$B$5))&gt;1),1,0)</f>
        <v>0</v>
      </c>
      <c r="N279" s="13">
        <f>IF(AND(G279&gt;=Assumptions!$B$4*(1-Assumptions!$B$6),G279&lt;Assumptions!$B$4),1,0)</f>
        <v>0</v>
      </c>
      <c r="O279" s="13">
        <f>IF(AND(G279&gt;=Assumptions!$B$7,MOD(G279,Assumptions!$B$7)=0),1,0)</f>
        <v>0</v>
      </c>
      <c r="P279" s="13">
        <f t="shared" si="22"/>
        <v>0</v>
      </c>
      <c r="Q279" s="13">
        <f t="shared" si="23"/>
        <v>0</v>
      </c>
      <c r="R279" s="13">
        <f>L279*Assumptions!$B$11+M279*Assumptions!$B$12+N279*Assumptions!$B$13+O279*Assumptions!$B$14+P279*Assumptions!$B$15+Q279*Assumptions!$B$16</f>
        <v>0</v>
      </c>
      <c r="S279" s="13" t="str">
        <f>IF(R279&gt;=Assumptions!$B$20,"High",IF(R279&gt;=Assumptions!$B$21,"Medium",IF(R279&gt;=1,"Low","Clear")))</f>
        <v>Clear</v>
      </c>
      <c r="T279" s="13" t="str">
        <f t="shared" si="24"/>
        <v/>
      </c>
    </row>
    <row r="280" spans="1:20" x14ac:dyDescent="0.35">
      <c r="A280" s="13" t="s">
        <v>1266</v>
      </c>
      <c r="B280" s="13" t="s">
        <v>438</v>
      </c>
      <c r="C280" s="13" t="s">
        <v>439</v>
      </c>
      <c r="D280" s="13" t="s">
        <v>1267</v>
      </c>
      <c r="E280" s="14">
        <v>45824</v>
      </c>
      <c r="F280" s="14">
        <v>45849</v>
      </c>
      <c r="G280" s="15">
        <v>9646.1299999999992</v>
      </c>
      <c r="H280" s="13" t="s">
        <v>1268</v>
      </c>
      <c r="I280" s="13" t="s">
        <v>1269</v>
      </c>
      <c r="J280" s="13" t="s">
        <v>111</v>
      </c>
      <c r="K280" s="13">
        <f t="shared" si="20"/>
        <v>9</v>
      </c>
      <c r="L280" s="13">
        <f t="shared" si="21"/>
        <v>0</v>
      </c>
      <c r="M280" s="13">
        <f>IF(AND(L280=0,COUNTIFS($B$2:$B$1534,B280,$G$2:$G$1534,G280,$E$2:$E$1534,"&gt;="&amp;(E280-Assumptions!$B$5),$E$2:$E$1534,"&lt;="&amp;(E280+Assumptions!$B$5))&gt;1),1,0)</f>
        <v>0</v>
      </c>
      <c r="N280" s="13">
        <f>IF(AND(G280&gt;=Assumptions!$B$4*(1-Assumptions!$B$6),G280&lt;Assumptions!$B$4),1,0)</f>
        <v>0</v>
      </c>
      <c r="O280" s="13">
        <f>IF(AND(G280&gt;=Assumptions!$B$7,MOD(G280,Assumptions!$B$7)=0),1,0)</f>
        <v>0</v>
      </c>
      <c r="P280" s="13">
        <f t="shared" si="22"/>
        <v>0</v>
      </c>
      <c r="Q280" s="13">
        <f t="shared" si="23"/>
        <v>0</v>
      </c>
      <c r="R280" s="13">
        <f>L280*Assumptions!$B$11+M280*Assumptions!$B$12+N280*Assumptions!$B$13+O280*Assumptions!$B$14+P280*Assumptions!$B$15+Q280*Assumptions!$B$16</f>
        <v>0</v>
      </c>
      <c r="S280" s="13" t="str">
        <f>IF(R280&gt;=Assumptions!$B$20,"High",IF(R280&gt;=Assumptions!$B$21,"Medium",IF(R280&gt;=1,"Low","Clear")))</f>
        <v>Clear</v>
      </c>
      <c r="T280" s="13" t="str">
        <f t="shared" si="24"/>
        <v/>
      </c>
    </row>
    <row r="281" spans="1:20" x14ac:dyDescent="0.35">
      <c r="A281" s="13" t="s">
        <v>1270</v>
      </c>
      <c r="B281" s="13" t="s">
        <v>145</v>
      </c>
      <c r="C281" s="13" t="s">
        <v>146</v>
      </c>
      <c r="D281" s="13" t="s">
        <v>1271</v>
      </c>
      <c r="E281" s="14">
        <v>45813</v>
      </c>
      <c r="F281" s="14">
        <v>45849</v>
      </c>
      <c r="G281" s="15">
        <v>2036.09</v>
      </c>
      <c r="H281" s="13" t="s">
        <v>1272</v>
      </c>
      <c r="I281" s="13" t="s">
        <v>1273</v>
      </c>
      <c r="J281" s="13" t="s">
        <v>170</v>
      </c>
      <c r="K281" s="13">
        <f t="shared" si="20"/>
        <v>2</v>
      </c>
      <c r="L281" s="13">
        <f t="shared" si="21"/>
        <v>0</v>
      </c>
      <c r="M281" s="13">
        <f>IF(AND(L281=0,COUNTIFS($B$2:$B$1534,B281,$G$2:$G$1534,G281,$E$2:$E$1534,"&gt;="&amp;(E281-Assumptions!$B$5),$E$2:$E$1534,"&lt;="&amp;(E281+Assumptions!$B$5))&gt;1),1,0)</f>
        <v>0</v>
      </c>
      <c r="N281" s="13">
        <f>IF(AND(G281&gt;=Assumptions!$B$4*(1-Assumptions!$B$6),G281&lt;Assumptions!$B$4),1,0)</f>
        <v>0</v>
      </c>
      <c r="O281" s="13">
        <f>IF(AND(G281&gt;=Assumptions!$B$7,MOD(G281,Assumptions!$B$7)=0),1,0)</f>
        <v>0</v>
      </c>
      <c r="P281" s="13">
        <f t="shared" si="22"/>
        <v>0</v>
      </c>
      <c r="Q281" s="13">
        <f t="shared" si="23"/>
        <v>0</v>
      </c>
      <c r="R281" s="13">
        <f>L281*Assumptions!$B$11+M281*Assumptions!$B$12+N281*Assumptions!$B$13+O281*Assumptions!$B$14+P281*Assumptions!$B$15+Q281*Assumptions!$B$16</f>
        <v>0</v>
      </c>
      <c r="S281" s="13" t="str">
        <f>IF(R281&gt;=Assumptions!$B$20,"High",IF(R281&gt;=Assumptions!$B$21,"Medium",IF(R281&gt;=1,"Low","Clear")))</f>
        <v>Clear</v>
      </c>
      <c r="T281" s="13" t="str">
        <f t="shared" si="24"/>
        <v/>
      </c>
    </row>
    <row r="282" spans="1:20" x14ac:dyDescent="0.35">
      <c r="A282" s="13" t="s">
        <v>1274</v>
      </c>
      <c r="B282" s="13" t="s">
        <v>357</v>
      </c>
      <c r="C282" s="13" t="s">
        <v>358</v>
      </c>
      <c r="D282" s="13" t="s">
        <v>1275</v>
      </c>
      <c r="E282" s="14">
        <v>45827</v>
      </c>
      <c r="F282" s="14">
        <v>45849</v>
      </c>
      <c r="G282" s="15">
        <v>92150.57</v>
      </c>
      <c r="H282" s="13" t="s">
        <v>1276</v>
      </c>
      <c r="I282" s="13" t="s">
        <v>1277</v>
      </c>
      <c r="J282" s="13" t="s">
        <v>143</v>
      </c>
      <c r="K282" s="13">
        <f t="shared" si="20"/>
        <v>9</v>
      </c>
      <c r="L282" s="13">
        <f t="shared" si="21"/>
        <v>0</v>
      </c>
      <c r="M282" s="13">
        <f>IF(AND(L282=0,COUNTIFS($B$2:$B$1534,B282,$G$2:$G$1534,G282,$E$2:$E$1534,"&gt;="&amp;(E282-Assumptions!$B$5),$E$2:$E$1534,"&lt;="&amp;(E282+Assumptions!$B$5))&gt;1),1,0)</f>
        <v>0</v>
      </c>
      <c r="N282" s="13">
        <f>IF(AND(G282&gt;=Assumptions!$B$4*(1-Assumptions!$B$6),G282&lt;Assumptions!$B$4),1,0)</f>
        <v>0</v>
      </c>
      <c r="O282" s="13">
        <f>IF(AND(G282&gt;=Assumptions!$B$7,MOD(G282,Assumptions!$B$7)=0),1,0)</f>
        <v>0</v>
      </c>
      <c r="P282" s="13">
        <f t="shared" si="22"/>
        <v>0</v>
      </c>
      <c r="Q282" s="13">
        <f t="shared" si="23"/>
        <v>0</v>
      </c>
      <c r="R282" s="13">
        <f>L282*Assumptions!$B$11+M282*Assumptions!$B$12+N282*Assumptions!$B$13+O282*Assumptions!$B$14+P282*Assumptions!$B$15+Q282*Assumptions!$B$16</f>
        <v>0</v>
      </c>
      <c r="S282" s="13" t="str">
        <f>IF(R282&gt;=Assumptions!$B$20,"High",IF(R282&gt;=Assumptions!$B$21,"Medium",IF(R282&gt;=1,"Low","Clear")))</f>
        <v>Clear</v>
      </c>
      <c r="T282" s="13" t="str">
        <f t="shared" si="24"/>
        <v/>
      </c>
    </row>
    <row r="283" spans="1:20" x14ac:dyDescent="0.35">
      <c r="A283" s="13" t="s">
        <v>1278</v>
      </c>
      <c r="B283" s="13" t="s">
        <v>293</v>
      </c>
      <c r="C283" s="13" t="s">
        <v>294</v>
      </c>
      <c r="D283" s="13" t="s">
        <v>1279</v>
      </c>
      <c r="E283" s="14">
        <v>45813</v>
      </c>
      <c r="F283" s="14">
        <v>45852</v>
      </c>
      <c r="G283" s="15">
        <v>59847.08</v>
      </c>
      <c r="H283" s="13" t="s">
        <v>1280</v>
      </c>
      <c r="I283" s="13" t="s">
        <v>1281</v>
      </c>
      <c r="J283" s="13" t="s">
        <v>91</v>
      </c>
      <c r="K283" s="13">
        <f t="shared" si="20"/>
        <v>5</v>
      </c>
      <c r="L283" s="13">
        <f t="shared" si="21"/>
        <v>0</v>
      </c>
      <c r="M283" s="13">
        <f>IF(AND(L283=0,COUNTIFS($B$2:$B$1534,B283,$G$2:$G$1534,G283,$E$2:$E$1534,"&gt;="&amp;(E283-Assumptions!$B$5),$E$2:$E$1534,"&lt;="&amp;(E283+Assumptions!$B$5))&gt;1),1,0)</f>
        <v>0</v>
      </c>
      <c r="N283" s="13">
        <f>IF(AND(G283&gt;=Assumptions!$B$4*(1-Assumptions!$B$6),G283&lt;Assumptions!$B$4),1,0)</f>
        <v>0</v>
      </c>
      <c r="O283" s="13">
        <f>IF(AND(G283&gt;=Assumptions!$B$7,MOD(G283,Assumptions!$B$7)=0),1,0)</f>
        <v>0</v>
      </c>
      <c r="P283" s="13">
        <f t="shared" si="22"/>
        <v>0</v>
      </c>
      <c r="Q283" s="13">
        <f t="shared" si="23"/>
        <v>0</v>
      </c>
      <c r="R283" s="13">
        <f>L283*Assumptions!$B$11+M283*Assumptions!$B$12+N283*Assumptions!$B$13+O283*Assumptions!$B$14+P283*Assumptions!$B$15+Q283*Assumptions!$B$16</f>
        <v>0</v>
      </c>
      <c r="S283" s="13" t="str">
        <f>IF(R283&gt;=Assumptions!$B$20,"High",IF(R283&gt;=Assumptions!$B$21,"Medium",IF(R283&gt;=1,"Low","Clear")))</f>
        <v>Clear</v>
      </c>
      <c r="T283" s="13" t="str">
        <f t="shared" si="24"/>
        <v/>
      </c>
    </row>
    <row r="284" spans="1:20" x14ac:dyDescent="0.35">
      <c r="A284" s="13" t="s">
        <v>1282</v>
      </c>
      <c r="B284" s="13" t="s">
        <v>391</v>
      </c>
      <c r="C284" s="13" t="s">
        <v>392</v>
      </c>
      <c r="D284" s="13" t="s">
        <v>1283</v>
      </c>
      <c r="E284" s="14">
        <v>45824</v>
      </c>
      <c r="F284" s="14">
        <v>45852</v>
      </c>
      <c r="G284" s="15">
        <v>332826.15999999997</v>
      </c>
      <c r="H284" s="13" t="s">
        <v>1284</v>
      </c>
      <c r="I284" s="13" t="s">
        <v>1285</v>
      </c>
      <c r="J284" s="13" t="s">
        <v>136</v>
      </c>
      <c r="K284" s="13">
        <f t="shared" si="20"/>
        <v>3</v>
      </c>
      <c r="L284" s="13">
        <f t="shared" si="21"/>
        <v>0</v>
      </c>
      <c r="M284" s="13">
        <f>IF(AND(L284=0,COUNTIFS($B$2:$B$1534,B284,$G$2:$G$1534,G284,$E$2:$E$1534,"&gt;="&amp;(E284-Assumptions!$B$5),$E$2:$E$1534,"&lt;="&amp;(E284+Assumptions!$B$5))&gt;1),1,0)</f>
        <v>0</v>
      </c>
      <c r="N284" s="13">
        <f>IF(AND(G284&gt;=Assumptions!$B$4*(1-Assumptions!$B$6),G284&lt;Assumptions!$B$4),1,0)</f>
        <v>0</v>
      </c>
      <c r="O284" s="13">
        <f>IF(AND(G284&gt;=Assumptions!$B$7,MOD(G284,Assumptions!$B$7)=0),1,0)</f>
        <v>0</v>
      </c>
      <c r="P284" s="13">
        <f t="shared" si="22"/>
        <v>0</v>
      </c>
      <c r="Q284" s="13">
        <f t="shared" si="23"/>
        <v>0</v>
      </c>
      <c r="R284" s="13">
        <f>L284*Assumptions!$B$11+M284*Assumptions!$B$12+N284*Assumptions!$B$13+O284*Assumptions!$B$14+P284*Assumptions!$B$15+Q284*Assumptions!$B$16</f>
        <v>0</v>
      </c>
      <c r="S284" s="13" t="str">
        <f>IF(R284&gt;=Assumptions!$B$20,"High",IF(R284&gt;=Assumptions!$B$21,"Medium",IF(R284&gt;=1,"Low","Clear")))</f>
        <v>Clear</v>
      </c>
      <c r="T284" s="13" t="str">
        <f t="shared" si="24"/>
        <v/>
      </c>
    </row>
    <row r="285" spans="1:20" x14ac:dyDescent="0.35">
      <c r="A285" s="13" t="s">
        <v>1286</v>
      </c>
      <c r="B285" s="13" t="s">
        <v>228</v>
      </c>
      <c r="C285" s="13" t="s">
        <v>229</v>
      </c>
      <c r="D285" s="13" t="s">
        <v>1287</v>
      </c>
      <c r="E285" s="14">
        <v>45822</v>
      </c>
      <c r="F285" s="14">
        <v>45852</v>
      </c>
      <c r="G285" s="15">
        <v>30000</v>
      </c>
      <c r="H285" s="13" t="s">
        <v>1288</v>
      </c>
      <c r="I285" s="13" t="s">
        <v>1289</v>
      </c>
      <c r="J285" s="13" t="s">
        <v>136</v>
      </c>
      <c r="K285" s="13">
        <f t="shared" si="20"/>
        <v>3</v>
      </c>
      <c r="L285" s="13">
        <f t="shared" si="21"/>
        <v>0</v>
      </c>
      <c r="M285" s="13">
        <f>IF(AND(L285=0,COUNTIFS($B$2:$B$1534,B285,$G$2:$G$1534,G285,$E$2:$E$1534,"&gt;="&amp;(E285-Assumptions!$B$5),$E$2:$E$1534,"&lt;="&amp;(E285+Assumptions!$B$5))&gt;1),1,0)</f>
        <v>1</v>
      </c>
      <c r="N285" s="13">
        <f>IF(AND(G285&gt;=Assumptions!$B$4*(1-Assumptions!$B$6),G285&lt;Assumptions!$B$4),1,0)</f>
        <v>0</v>
      </c>
      <c r="O285" s="13">
        <f>IF(AND(G285&gt;=Assumptions!$B$7,MOD(G285,Assumptions!$B$7)=0),1,0)</f>
        <v>1</v>
      </c>
      <c r="P285" s="13">
        <f t="shared" si="22"/>
        <v>0</v>
      </c>
      <c r="Q285" s="13">
        <f t="shared" si="23"/>
        <v>0</v>
      </c>
      <c r="R285" s="13">
        <f>L285*Assumptions!$B$11+M285*Assumptions!$B$12+N285*Assumptions!$B$13+O285*Assumptions!$B$14+P285*Assumptions!$B$15+Q285*Assumptions!$B$16</f>
        <v>4</v>
      </c>
      <c r="S285" s="13" t="str">
        <f>IF(R285&gt;=Assumptions!$B$20,"High",IF(R285&gt;=Assumptions!$B$21,"Medium",IF(R285&gt;=1,"Low","Clear")))</f>
        <v>Medium</v>
      </c>
      <c r="T285" s="13" t="str">
        <f t="shared" si="24"/>
        <v xml:space="preserve">Near-duplicate; Round amount; </v>
      </c>
    </row>
    <row r="286" spans="1:20" x14ac:dyDescent="0.35">
      <c r="A286" s="13" t="s">
        <v>1290</v>
      </c>
      <c r="B286" s="13" t="s">
        <v>228</v>
      </c>
      <c r="C286" s="13" t="s">
        <v>229</v>
      </c>
      <c r="D286" s="13" t="s">
        <v>1291</v>
      </c>
      <c r="E286" s="14">
        <v>45827</v>
      </c>
      <c r="F286" s="14">
        <v>45852</v>
      </c>
      <c r="G286" s="15">
        <v>3112.61</v>
      </c>
      <c r="H286" s="13" t="s">
        <v>1292</v>
      </c>
      <c r="I286" s="13" t="s">
        <v>1293</v>
      </c>
      <c r="J286" s="13" t="s">
        <v>98</v>
      </c>
      <c r="K286" s="13">
        <f t="shared" si="20"/>
        <v>3</v>
      </c>
      <c r="L286" s="13">
        <f t="shared" si="21"/>
        <v>0</v>
      </c>
      <c r="M286" s="13">
        <f>IF(AND(L286=0,COUNTIFS($B$2:$B$1534,B286,$G$2:$G$1534,G286,$E$2:$E$1534,"&gt;="&amp;(E286-Assumptions!$B$5),$E$2:$E$1534,"&lt;="&amp;(E286+Assumptions!$B$5))&gt;1),1,0)</f>
        <v>0</v>
      </c>
      <c r="N286" s="13">
        <f>IF(AND(G286&gt;=Assumptions!$B$4*(1-Assumptions!$B$6),G286&lt;Assumptions!$B$4),1,0)</f>
        <v>0</v>
      </c>
      <c r="O286" s="13">
        <f>IF(AND(G286&gt;=Assumptions!$B$7,MOD(G286,Assumptions!$B$7)=0),1,0)</f>
        <v>0</v>
      </c>
      <c r="P286" s="13">
        <f t="shared" si="22"/>
        <v>0</v>
      </c>
      <c r="Q286" s="13">
        <f t="shared" si="23"/>
        <v>0</v>
      </c>
      <c r="R286" s="13">
        <f>L286*Assumptions!$B$11+M286*Assumptions!$B$12+N286*Assumptions!$B$13+O286*Assumptions!$B$14+P286*Assumptions!$B$15+Q286*Assumptions!$B$16</f>
        <v>0</v>
      </c>
      <c r="S286" s="13" t="str">
        <f>IF(R286&gt;=Assumptions!$B$20,"High",IF(R286&gt;=Assumptions!$B$21,"Medium",IF(R286&gt;=1,"Low","Clear")))</f>
        <v>Clear</v>
      </c>
      <c r="T286" s="13" t="str">
        <f t="shared" si="24"/>
        <v/>
      </c>
    </row>
    <row r="287" spans="1:20" x14ac:dyDescent="0.35">
      <c r="A287" s="13" t="s">
        <v>1294</v>
      </c>
      <c r="B287" s="13" t="s">
        <v>670</v>
      </c>
      <c r="C287" s="13" t="s">
        <v>671</v>
      </c>
      <c r="D287" s="13" t="s">
        <v>1295</v>
      </c>
      <c r="E287" s="14">
        <v>45814</v>
      </c>
      <c r="F287" s="14">
        <v>45852</v>
      </c>
      <c r="G287" s="15">
        <v>17998.64</v>
      </c>
      <c r="H287" s="13" t="s">
        <v>1296</v>
      </c>
      <c r="I287" s="13" t="s">
        <v>1297</v>
      </c>
      <c r="J287" s="13" t="s">
        <v>98</v>
      </c>
      <c r="K287" s="13">
        <f t="shared" si="20"/>
        <v>1</v>
      </c>
      <c r="L287" s="13">
        <f t="shared" si="21"/>
        <v>0</v>
      </c>
      <c r="M287" s="13">
        <f>IF(AND(L287=0,COUNTIFS($B$2:$B$1534,B287,$G$2:$G$1534,G287,$E$2:$E$1534,"&gt;="&amp;(E287-Assumptions!$B$5),$E$2:$E$1534,"&lt;="&amp;(E287+Assumptions!$B$5))&gt;1),1,0)</f>
        <v>0</v>
      </c>
      <c r="N287" s="13">
        <f>IF(AND(G287&gt;=Assumptions!$B$4*(1-Assumptions!$B$6),G287&lt;Assumptions!$B$4),1,0)</f>
        <v>0</v>
      </c>
      <c r="O287" s="13">
        <f>IF(AND(G287&gt;=Assumptions!$B$7,MOD(G287,Assumptions!$B$7)=0),1,0)</f>
        <v>0</v>
      </c>
      <c r="P287" s="13">
        <f t="shared" si="22"/>
        <v>0</v>
      </c>
      <c r="Q287" s="13">
        <f t="shared" si="23"/>
        <v>0</v>
      </c>
      <c r="R287" s="13">
        <f>L287*Assumptions!$B$11+M287*Assumptions!$B$12+N287*Assumptions!$B$13+O287*Assumptions!$B$14+P287*Assumptions!$B$15+Q287*Assumptions!$B$16</f>
        <v>0</v>
      </c>
      <c r="S287" s="13" t="str">
        <f>IF(R287&gt;=Assumptions!$B$20,"High",IF(R287&gt;=Assumptions!$B$21,"Medium",IF(R287&gt;=1,"Low","Clear")))</f>
        <v>Clear</v>
      </c>
      <c r="T287" s="13" t="str">
        <f t="shared" si="24"/>
        <v/>
      </c>
    </row>
    <row r="288" spans="1:20" x14ac:dyDescent="0.35">
      <c r="A288" s="13" t="s">
        <v>1298</v>
      </c>
      <c r="B288" s="13" t="s">
        <v>498</v>
      </c>
      <c r="C288" s="13" t="s">
        <v>499</v>
      </c>
      <c r="D288" s="13" t="s">
        <v>1299</v>
      </c>
      <c r="E288" s="14">
        <v>45818</v>
      </c>
      <c r="F288" s="14">
        <v>45852</v>
      </c>
      <c r="G288" s="15">
        <v>64205.67</v>
      </c>
      <c r="H288" s="13" t="s">
        <v>1300</v>
      </c>
      <c r="I288" s="13" t="s">
        <v>1301</v>
      </c>
      <c r="J288" s="13" t="s">
        <v>170</v>
      </c>
      <c r="K288" s="13">
        <f t="shared" si="20"/>
        <v>6</v>
      </c>
      <c r="L288" s="13">
        <f t="shared" si="21"/>
        <v>0</v>
      </c>
      <c r="M288" s="13">
        <f>IF(AND(L288=0,COUNTIFS($B$2:$B$1534,B288,$G$2:$G$1534,G288,$E$2:$E$1534,"&gt;="&amp;(E288-Assumptions!$B$5),$E$2:$E$1534,"&lt;="&amp;(E288+Assumptions!$B$5))&gt;1),1,0)</f>
        <v>0</v>
      </c>
      <c r="N288" s="13">
        <f>IF(AND(G288&gt;=Assumptions!$B$4*(1-Assumptions!$B$6),G288&lt;Assumptions!$B$4),1,0)</f>
        <v>0</v>
      </c>
      <c r="O288" s="13">
        <f>IF(AND(G288&gt;=Assumptions!$B$7,MOD(G288,Assumptions!$B$7)=0),1,0)</f>
        <v>0</v>
      </c>
      <c r="P288" s="13">
        <f t="shared" si="22"/>
        <v>0</v>
      </c>
      <c r="Q288" s="13">
        <f t="shared" si="23"/>
        <v>0</v>
      </c>
      <c r="R288" s="13">
        <f>L288*Assumptions!$B$11+M288*Assumptions!$B$12+N288*Assumptions!$B$13+O288*Assumptions!$B$14+P288*Assumptions!$B$15+Q288*Assumptions!$B$16</f>
        <v>0</v>
      </c>
      <c r="S288" s="13" t="str">
        <f>IF(R288&gt;=Assumptions!$B$20,"High",IF(R288&gt;=Assumptions!$B$21,"Medium",IF(R288&gt;=1,"Low","Clear")))</f>
        <v>Clear</v>
      </c>
      <c r="T288" s="13" t="str">
        <f t="shared" si="24"/>
        <v/>
      </c>
    </row>
    <row r="289" spans="1:20" x14ac:dyDescent="0.35">
      <c r="A289" s="13" t="s">
        <v>1302</v>
      </c>
      <c r="B289" s="13" t="s">
        <v>218</v>
      </c>
      <c r="C289" s="13" t="s">
        <v>219</v>
      </c>
      <c r="D289" s="13" t="s">
        <v>1303</v>
      </c>
      <c r="E289" s="14">
        <v>45830</v>
      </c>
      <c r="F289" s="14">
        <v>45852</v>
      </c>
      <c r="G289" s="15">
        <v>60000</v>
      </c>
      <c r="H289" s="13" t="s">
        <v>1304</v>
      </c>
      <c r="I289" s="13" t="s">
        <v>1305</v>
      </c>
      <c r="J289" s="13" t="s">
        <v>91</v>
      </c>
      <c r="K289" s="13">
        <f t="shared" si="20"/>
        <v>6</v>
      </c>
      <c r="L289" s="13">
        <f t="shared" si="21"/>
        <v>0</v>
      </c>
      <c r="M289" s="13">
        <f>IF(AND(L289=0,COUNTIFS($B$2:$B$1534,B289,$G$2:$G$1534,G289,$E$2:$E$1534,"&gt;="&amp;(E289-Assumptions!$B$5),$E$2:$E$1534,"&lt;="&amp;(E289+Assumptions!$B$5))&gt;1),1,0)</f>
        <v>0</v>
      </c>
      <c r="N289" s="13">
        <f>IF(AND(G289&gt;=Assumptions!$B$4*(1-Assumptions!$B$6),G289&lt;Assumptions!$B$4),1,0)</f>
        <v>0</v>
      </c>
      <c r="O289" s="13">
        <f>IF(AND(G289&gt;=Assumptions!$B$7,MOD(G289,Assumptions!$B$7)=0),1,0)</f>
        <v>1</v>
      </c>
      <c r="P289" s="13">
        <f t="shared" si="22"/>
        <v>0</v>
      </c>
      <c r="Q289" s="13">
        <f t="shared" si="23"/>
        <v>0</v>
      </c>
      <c r="R289" s="13">
        <f>L289*Assumptions!$B$11+M289*Assumptions!$B$12+N289*Assumptions!$B$13+O289*Assumptions!$B$14+P289*Assumptions!$B$15+Q289*Assumptions!$B$16</f>
        <v>1</v>
      </c>
      <c r="S289" s="13" t="str">
        <f>IF(R289&gt;=Assumptions!$B$20,"High",IF(R289&gt;=Assumptions!$B$21,"Medium",IF(R289&gt;=1,"Low","Clear")))</f>
        <v>Low</v>
      </c>
      <c r="T289" s="13" t="str">
        <f t="shared" si="24"/>
        <v xml:space="preserve">Round amount; </v>
      </c>
    </row>
    <row r="290" spans="1:20" x14ac:dyDescent="0.35">
      <c r="A290" s="13" t="s">
        <v>1306</v>
      </c>
      <c r="B290" s="13" t="s">
        <v>161</v>
      </c>
      <c r="C290" s="13" t="s">
        <v>162</v>
      </c>
      <c r="D290" s="13" t="s">
        <v>1307</v>
      </c>
      <c r="E290" s="14">
        <v>45815</v>
      </c>
      <c r="F290" s="14">
        <v>45852</v>
      </c>
      <c r="G290" s="15">
        <v>17630.87</v>
      </c>
      <c r="H290" s="13" t="s">
        <v>1308</v>
      </c>
      <c r="I290" s="13" t="s">
        <v>1309</v>
      </c>
      <c r="J290" s="13" t="s">
        <v>91</v>
      </c>
      <c r="K290" s="13">
        <f t="shared" si="20"/>
        <v>1</v>
      </c>
      <c r="L290" s="13">
        <f t="shared" si="21"/>
        <v>0</v>
      </c>
      <c r="M290" s="13">
        <f>IF(AND(L290=0,COUNTIFS($B$2:$B$1534,B290,$G$2:$G$1534,G290,$E$2:$E$1534,"&gt;="&amp;(E290-Assumptions!$B$5),$E$2:$E$1534,"&lt;="&amp;(E290+Assumptions!$B$5))&gt;1),1,0)</f>
        <v>0</v>
      </c>
      <c r="N290" s="13">
        <f>IF(AND(G290&gt;=Assumptions!$B$4*(1-Assumptions!$B$6),G290&lt;Assumptions!$B$4),1,0)</f>
        <v>0</v>
      </c>
      <c r="O290" s="13">
        <f>IF(AND(G290&gt;=Assumptions!$B$7,MOD(G290,Assumptions!$B$7)=0),1,0)</f>
        <v>0</v>
      </c>
      <c r="P290" s="13">
        <f t="shared" si="22"/>
        <v>0</v>
      </c>
      <c r="Q290" s="13">
        <f t="shared" si="23"/>
        <v>0</v>
      </c>
      <c r="R290" s="13">
        <f>L290*Assumptions!$B$11+M290*Assumptions!$B$12+N290*Assumptions!$B$13+O290*Assumptions!$B$14+P290*Assumptions!$B$15+Q290*Assumptions!$B$16</f>
        <v>0</v>
      </c>
      <c r="S290" s="13" t="str">
        <f>IF(R290&gt;=Assumptions!$B$20,"High",IF(R290&gt;=Assumptions!$B$21,"Medium",IF(R290&gt;=1,"Low","Clear")))</f>
        <v>Clear</v>
      </c>
      <c r="T290" s="13" t="str">
        <f t="shared" si="24"/>
        <v/>
      </c>
    </row>
    <row r="291" spans="1:20" x14ac:dyDescent="0.35">
      <c r="A291" s="13" t="s">
        <v>1310</v>
      </c>
      <c r="B291" s="13" t="s">
        <v>476</v>
      </c>
      <c r="C291" s="13" t="s">
        <v>477</v>
      </c>
      <c r="D291" s="13" t="s">
        <v>1311</v>
      </c>
      <c r="E291" s="14">
        <v>45826</v>
      </c>
      <c r="F291" s="14">
        <v>45852</v>
      </c>
      <c r="G291" s="15">
        <v>47609.94</v>
      </c>
      <c r="H291" s="13" t="s">
        <v>1312</v>
      </c>
      <c r="I291" s="13" t="s">
        <v>1313</v>
      </c>
      <c r="J291" s="13" t="s">
        <v>143</v>
      </c>
      <c r="K291" s="13">
        <f t="shared" si="20"/>
        <v>4</v>
      </c>
      <c r="L291" s="13">
        <f t="shared" si="21"/>
        <v>0</v>
      </c>
      <c r="M291" s="13">
        <f>IF(AND(L291=0,COUNTIFS($B$2:$B$1534,B291,$G$2:$G$1534,G291,$E$2:$E$1534,"&gt;="&amp;(E291-Assumptions!$B$5),$E$2:$E$1534,"&lt;="&amp;(E291+Assumptions!$B$5))&gt;1),1,0)</f>
        <v>0</v>
      </c>
      <c r="N291" s="13">
        <f>IF(AND(G291&gt;=Assumptions!$B$4*(1-Assumptions!$B$6),G291&lt;Assumptions!$B$4),1,0)</f>
        <v>1</v>
      </c>
      <c r="O291" s="13">
        <f>IF(AND(G291&gt;=Assumptions!$B$7,MOD(G291,Assumptions!$B$7)=0),1,0)</f>
        <v>0</v>
      </c>
      <c r="P291" s="13">
        <f t="shared" si="22"/>
        <v>0</v>
      </c>
      <c r="Q291" s="13">
        <f t="shared" si="23"/>
        <v>0</v>
      </c>
      <c r="R291" s="13">
        <f>L291*Assumptions!$B$11+M291*Assumptions!$B$12+N291*Assumptions!$B$13+O291*Assumptions!$B$14+P291*Assumptions!$B$15+Q291*Assumptions!$B$16</f>
        <v>3</v>
      </c>
      <c r="S291" s="13" t="str">
        <f>IF(R291&gt;=Assumptions!$B$20,"High",IF(R291&gt;=Assumptions!$B$21,"Medium",IF(R291&gt;=1,"Low","Clear")))</f>
        <v>Medium</v>
      </c>
      <c r="T291" s="13" t="str">
        <f t="shared" si="24"/>
        <v xml:space="preserve">Just below limit; </v>
      </c>
    </row>
    <row r="292" spans="1:20" x14ac:dyDescent="0.35">
      <c r="A292" s="13" t="s">
        <v>1314</v>
      </c>
      <c r="B292" s="13" t="s">
        <v>476</v>
      </c>
      <c r="C292" s="13" t="s">
        <v>477</v>
      </c>
      <c r="D292" s="13" t="s">
        <v>1315</v>
      </c>
      <c r="E292" s="14">
        <v>45816</v>
      </c>
      <c r="F292" s="14">
        <v>45852</v>
      </c>
      <c r="G292" s="15">
        <v>345473.47</v>
      </c>
      <c r="H292" s="13" t="s">
        <v>1316</v>
      </c>
      <c r="I292" s="13" t="s">
        <v>1317</v>
      </c>
      <c r="J292" s="13" t="s">
        <v>170</v>
      </c>
      <c r="K292" s="13">
        <f t="shared" si="20"/>
        <v>3</v>
      </c>
      <c r="L292" s="13">
        <f t="shared" si="21"/>
        <v>0</v>
      </c>
      <c r="M292" s="13">
        <f>IF(AND(L292=0,COUNTIFS($B$2:$B$1534,B292,$G$2:$G$1534,G292,$E$2:$E$1534,"&gt;="&amp;(E292-Assumptions!$B$5),$E$2:$E$1534,"&lt;="&amp;(E292+Assumptions!$B$5))&gt;1),1,0)</f>
        <v>0</v>
      </c>
      <c r="N292" s="13">
        <f>IF(AND(G292&gt;=Assumptions!$B$4*(1-Assumptions!$B$6),G292&lt;Assumptions!$B$4),1,0)</f>
        <v>0</v>
      </c>
      <c r="O292" s="13">
        <f>IF(AND(G292&gt;=Assumptions!$B$7,MOD(G292,Assumptions!$B$7)=0),1,0)</f>
        <v>0</v>
      </c>
      <c r="P292" s="13">
        <f t="shared" si="22"/>
        <v>0</v>
      </c>
      <c r="Q292" s="13">
        <f t="shared" si="23"/>
        <v>0</v>
      </c>
      <c r="R292" s="13">
        <f>L292*Assumptions!$B$11+M292*Assumptions!$B$12+N292*Assumptions!$B$13+O292*Assumptions!$B$14+P292*Assumptions!$B$15+Q292*Assumptions!$B$16</f>
        <v>0</v>
      </c>
      <c r="S292" s="13" t="str">
        <f>IF(R292&gt;=Assumptions!$B$20,"High",IF(R292&gt;=Assumptions!$B$21,"Medium",IF(R292&gt;=1,"Low","Clear")))</f>
        <v>Clear</v>
      </c>
      <c r="T292" s="13" t="str">
        <f t="shared" si="24"/>
        <v/>
      </c>
    </row>
    <row r="293" spans="1:20" x14ac:dyDescent="0.35">
      <c r="A293" s="13" t="s">
        <v>1318</v>
      </c>
      <c r="B293" s="13" t="s">
        <v>339</v>
      </c>
      <c r="C293" s="13" t="s">
        <v>340</v>
      </c>
      <c r="D293" s="13" t="s">
        <v>1319</v>
      </c>
      <c r="E293" s="14">
        <v>45824</v>
      </c>
      <c r="F293" s="14">
        <v>45852</v>
      </c>
      <c r="G293" s="15">
        <v>3765.27</v>
      </c>
      <c r="H293" s="13" t="s">
        <v>1320</v>
      </c>
      <c r="I293" s="13" t="s">
        <v>1321</v>
      </c>
      <c r="J293" s="13" t="s">
        <v>170</v>
      </c>
      <c r="K293" s="13">
        <f t="shared" si="20"/>
        <v>3</v>
      </c>
      <c r="L293" s="13">
        <f t="shared" si="21"/>
        <v>0</v>
      </c>
      <c r="M293" s="13">
        <f>IF(AND(L293=0,COUNTIFS($B$2:$B$1534,B293,$G$2:$G$1534,G293,$E$2:$E$1534,"&gt;="&amp;(E293-Assumptions!$B$5),$E$2:$E$1534,"&lt;="&amp;(E293+Assumptions!$B$5))&gt;1),1,0)</f>
        <v>0</v>
      </c>
      <c r="N293" s="13">
        <f>IF(AND(G293&gt;=Assumptions!$B$4*(1-Assumptions!$B$6),G293&lt;Assumptions!$B$4),1,0)</f>
        <v>0</v>
      </c>
      <c r="O293" s="13">
        <f>IF(AND(G293&gt;=Assumptions!$B$7,MOD(G293,Assumptions!$B$7)=0),1,0)</f>
        <v>0</v>
      </c>
      <c r="P293" s="13">
        <f t="shared" si="22"/>
        <v>0</v>
      </c>
      <c r="Q293" s="13">
        <f t="shared" si="23"/>
        <v>0</v>
      </c>
      <c r="R293" s="13">
        <f>L293*Assumptions!$B$11+M293*Assumptions!$B$12+N293*Assumptions!$B$13+O293*Assumptions!$B$14+P293*Assumptions!$B$15+Q293*Assumptions!$B$16</f>
        <v>0</v>
      </c>
      <c r="S293" s="13" t="str">
        <f>IF(R293&gt;=Assumptions!$B$20,"High",IF(R293&gt;=Assumptions!$B$21,"Medium",IF(R293&gt;=1,"Low","Clear")))</f>
        <v>Clear</v>
      </c>
      <c r="T293" s="13" t="str">
        <f t="shared" si="24"/>
        <v/>
      </c>
    </row>
    <row r="294" spans="1:20" x14ac:dyDescent="0.35">
      <c r="A294" s="13" t="s">
        <v>1322</v>
      </c>
      <c r="B294" s="13" t="s">
        <v>339</v>
      </c>
      <c r="C294" s="13" t="s">
        <v>340</v>
      </c>
      <c r="D294" s="13" t="s">
        <v>1323</v>
      </c>
      <c r="E294" s="14">
        <v>45817</v>
      </c>
      <c r="F294" s="14">
        <v>45852</v>
      </c>
      <c r="G294" s="15">
        <v>970638.25</v>
      </c>
      <c r="H294" s="13" t="s">
        <v>1324</v>
      </c>
      <c r="I294" s="13" t="s">
        <v>1325</v>
      </c>
      <c r="J294" s="13" t="s">
        <v>91</v>
      </c>
      <c r="K294" s="13">
        <f t="shared" si="20"/>
        <v>9</v>
      </c>
      <c r="L294" s="13">
        <f t="shared" si="21"/>
        <v>0</v>
      </c>
      <c r="M294" s="13">
        <f>IF(AND(L294=0,COUNTIFS($B$2:$B$1534,B294,$G$2:$G$1534,G294,$E$2:$E$1534,"&gt;="&amp;(E294-Assumptions!$B$5),$E$2:$E$1534,"&lt;="&amp;(E294+Assumptions!$B$5))&gt;1),1,0)</f>
        <v>0</v>
      </c>
      <c r="N294" s="13">
        <f>IF(AND(G294&gt;=Assumptions!$B$4*(1-Assumptions!$B$6),G294&lt;Assumptions!$B$4),1,0)</f>
        <v>0</v>
      </c>
      <c r="O294" s="13">
        <f>IF(AND(G294&gt;=Assumptions!$B$7,MOD(G294,Assumptions!$B$7)=0),1,0)</f>
        <v>0</v>
      </c>
      <c r="P294" s="13">
        <f t="shared" si="22"/>
        <v>0</v>
      </c>
      <c r="Q294" s="13">
        <f t="shared" si="23"/>
        <v>0</v>
      </c>
      <c r="R294" s="13">
        <f>L294*Assumptions!$B$11+M294*Assumptions!$B$12+N294*Assumptions!$B$13+O294*Assumptions!$B$14+P294*Assumptions!$B$15+Q294*Assumptions!$B$16</f>
        <v>0</v>
      </c>
      <c r="S294" s="13" t="str">
        <f>IF(R294&gt;=Assumptions!$B$20,"High",IF(R294&gt;=Assumptions!$B$21,"Medium",IF(R294&gt;=1,"Low","Clear")))</f>
        <v>Clear</v>
      </c>
      <c r="T294" s="13" t="str">
        <f t="shared" si="24"/>
        <v/>
      </c>
    </row>
    <row r="295" spans="1:20" x14ac:dyDescent="0.35">
      <c r="A295" s="13" t="s">
        <v>1326</v>
      </c>
      <c r="B295" s="13" t="s">
        <v>106</v>
      </c>
      <c r="C295" s="13" t="s">
        <v>107</v>
      </c>
      <c r="D295" s="13" t="s">
        <v>1327</v>
      </c>
      <c r="E295" s="14">
        <v>45830</v>
      </c>
      <c r="F295" s="14">
        <v>45852</v>
      </c>
      <c r="G295" s="15">
        <v>39211.39</v>
      </c>
      <c r="H295" s="13"/>
      <c r="I295" s="13"/>
      <c r="J295" s="13" t="s">
        <v>170</v>
      </c>
      <c r="K295" s="13">
        <f t="shared" si="20"/>
        <v>3</v>
      </c>
      <c r="L295" s="13">
        <f t="shared" si="21"/>
        <v>0</v>
      </c>
      <c r="M295" s="13">
        <f>IF(AND(L295=0,COUNTIFS($B$2:$B$1534,B295,$G$2:$G$1534,G295,$E$2:$E$1534,"&gt;="&amp;(E295-Assumptions!$B$5),$E$2:$E$1534,"&lt;="&amp;(E295+Assumptions!$B$5))&gt;1),1,0)</f>
        <v>0</v>
      </c>
      <c r="N295" s="13">
        <f>IF(AND(G295&gt;=Assumptions!$B$4*(1-Assumptions!$B$6),G295&lt;Assumptions!$B$4),1,0)</f>
        <v>0</v>
      </c>
      <c r="O295" s="13">
        <f>IF(AND(G295&gt;=Assumptions!$B$7,MOD(G295,Assumptions!$B$7)=0),1,0)</f>
        <v>0</v>
      </c>
      <c r="P295" s="13">
        <f t="shared" si="22"/>
        <v>1</v>
      </c>
      <c r="Q295" s="13">
        <f t="shared" si="23"/>
        <v>0</v>
      </c>
      <c r="R295" s="13">
        <f>L295*Assumptions!$B$11+M295*Assumptions!$B$12+N295*Assumptions!$B$13+O295*Assumptions!$B$14+P295*Assumptions!$B$15+Q295*Assumptions!$B$16</f>
        <v>4</v>
      </c>
      <c r="S295" s="13" t="str">
        <f>IF(R295&gt;=Assumptions!$B$20,"High",IF(R295&gt;=Assumptions!$B$21,"Medium",IF(R295&gt;=1,"Low","Clear")))</f>
        <v>Medium</v>
      </c>
      <c r="T295" s="13" t="str">
        <f t="shared" si="24"/>
        <v xml:space="preserve">No PO/GRN; </v>
      </c>
    </row>
    <row r="296" spans="1:20" x14ac:dyDescent="0.35">
      <c r="A296" s="13" t="s">
        <v>1328</v>
      </c>
      <c r="B296" s="13" t="s">
        <v>556</v>
      </c>
      <c r="C296" s="13" t="s">
        <v>557</v>
      </c>
      <c r="D296" s="13" t="s">
        <v>1329</v>
      </c>
      <c r="E296" s="14">
        <v>45821</v>
      </c>
      <c r="F296" s="14">
        <v>45853</v>
      </c>
      <c r="G296" s="15">
        <v>611821.62</v>
      </c>
      <c r="H296" s="13" t="s">
        <v>1330</v>
      </c>
      <c r="I296" s="13" t="s">
        <v>1331</v>
      </c>
      <c r="J296" s="13" t="s">
        <v>91</v>
      </c>
      <c r="K296" s="13">
        <f t="shared" si="20"/>
        <v>6</v>
      </c>
      <c r="L296" s="13">
        <f t="shared" si="21"/>
        <v>0</v>
      </c>
      <c r="M296" s="13">
        <f>IF(AND(L296=0,COUNTIFS($B$2:$B$1534,B296,$G$2:$G$1534,G296,$E$2:$E$1534,"&gt;="&amp;(E296-Assumptions!$B$5),$E$2:$E$1534,"&lt;="&amp;(E296+Assumptions!$B$5))&gt;1),1,0)</f>
        <v>0</v>
      </c>
      <c r="N296" s="13">
        <f>IF(AND(G296&gt;=Assumptions!$B$4*(1-Assumptions!$B$6),G296&lt;Assumptions!$B$4),1,0)</f>
        <v>0</v>
      </c>
      <c r="O296" s="13">
        <f>IF(AND(G296&gt;=Assumptions!$B$7,MOD(G296,Assumptions!$B$7)=0),1,0)</f>
        <v>0</v>
      </c>
      <c r="P296" s="13">
        <f t="shared" si="22"/>
        <v>0</v>
      </c>
      <c r="Q296" s="13">
        <f t="shared" si="23"/>
        <v>0</v>
      </c>
      <c r="R296" s="13">
        <f>L296*Assumptions!$B$11+M296*Assumptions!$B$12+N296*Assumptions!$B$13+O296*Assumptions!$B$14+P296*Assumptions!$B$15+Q296*Assumptions!$B$16</f>
        <v>0</v>
      </c>
      <c r="S296" s="13" t="str">
        <f>IF(R296&gt;=Assumptions!$B$20,"High",IF(R296&gt;=Assumptions!$B$21,"Medium",IF(R296&gt;=1,"Low","Clear")))</f>
        <v>Clear</v>
      </c>
      <c r="T296" s="13" t="str">
        <f t="shared" si="24"/>
        <v/>
      </c>
    </row>
    <row r="297" spans="1:20" x14ac:dyDescent="0.35">
      <c r="A297" s="13" t="s">
        <v>1332</v>
      </c>
      <c r="B297" s="13" t="s">
        <v>176</v>
      </c>
      <c r="C297" s="13" t="s">
        <v>177</v>
      </c>
      <c r="D297" s="13" t="s">
        <v>1333</v>
      </c>
      <c r="E297" s="14">
        <v>45818</v>
      </c>
      <c r="F297" s="14">
        <v>45854</v>
      </c>
      <c r="G297" s="15">
        <v>6986.4</v>
      </c>
      <c r="H297" s="13" t="s">
        <v>1334</v>
      </c>
      <c r="I297" s="13" t="s">
        <v>1335</v>
      </c>
      <c r="J297" s="13" t="s">
        <v>170</v>
      </c>
      <c r="K297" s="13">
        <f t="shared" si="20"/>
        <v>6</v>
      </c>
      <c r="L297" s="13">
        <f t="shared" si="21"/>
        <v>0</v>
      </c>
      <c r="M297" s="13">
        <f>IF(AND(L297=0,COUNTIFS($B$2:$B$1534,B297,$G$2:$G$1534,G297,$E$2:$E$1534,"&gt;="&amp;(E297-Assumptions!$B$5),$E$2:$E$1534,"&lt;="&amp;(E297+Assumptions!$B$5))&gt;1),1,0)</f>
        <v>0</v>
      </c>
      <c r="N297" s="13">
        <f>IF(AND(G297&gt;=Assumptions!$B$4*(1-Assumptions!$B$6),G297&lt;Assumptions!$B$4),1,0)</f>
        <v>0</v>
      </c>
      <c r="O297" s="13">
        <f>IF(AND(G297&gt;=Assumptions!$B$7,MOD(G297,Assumptions!$B$7)=0),1,0)</f>
        <v>0</v>
      </c>
      <c r="P297" s="13">
        <f t="shared" si="22"/>
        <v>0</v>
      </c>
      <c r="Q297" s="13">
        <f t="shared" si="23"/>
        <v>0</v>
      </c>
      <c r="R297" s="13">
        <f>L297*Assumptions!$B$11+M297*Assumptions!$B$12+N297*Assumptions!$B$13+O297*Assumptions!$B$14+P297*Assumptions!$B$15+Q297*Assumptions!$B$16</f>
        <v>0</v>
      </c>
      <c r="S297" s="13" t="str">
        <f>IF(R297&gt;=Assumptions!$B$20,"High",IF(R297&gt;=Assumptions!$B$21,"Medium",IF(R297&gt;=1,"Low","Clear")))</f>
        <v>Clear</v>
      </c>
      <c r="T297" s="13" t="str">
        <f t="shared" si="24"/>
        <v/>
      </c>
    </row>
    <row r="298" spans="1:20" x14ac:dyDescent="0.35">
      <c r="A298" s="13" t="s">
        <v>1336</v>
      </c>
      <c r="B298" s="13" t="s">
        <v>307</v>
      </c>
      <c r="C298" s="13" t="s">
        <v>308</v>
      </c>
      <c r="D298" s="13" t="s">
        <v>1337</v>
      </c>
      <c r="E298" s="14">
        <v>45831</v>
      </c>
      <c r="F298" s="14">
        <v>45854</v>
      </c>
      <c r="G298" s="15">
        <v>23062.49</v>
      </c>
      <c r="H298" s="13" t="s">
        <v>1338</v>
      </c>
      <c r="I298" s="13" t="s">
        <v>1339</v>
      </c>
      <c r="J298" s="13" t="s">
        <v>143</v>
      </c>
      <c r="K298" s="13">
        <f t="shared" si="20"/>
        <v>2</v>
      </c>
      <c r="L298" s="13">
        <f t="shared" si="21"/>
        <v>0</v>
      </c>
      <c r="M298" s="13">
        <f>IF(AND(L298=0,COUNTIFS($B$2:$B$1534,B298,$G$2:$G$1534,G298,$E$2:$E$1534,"&gt;="&amp;(E298-Assumptions!$B$5),$E$2:$E$1534,"&lt;="&amp;(E298+Assumptions!$B$5))&gt;1),1,0)</f>
        <v>0</v>
      </c>
      <c r="N298" s="13">
        <f>IF(AND(G298&gt;=Assumptions!$B$4*(1-Assumptions!$B$6),G298&lt;Assumptions!$B$4),1,0)</f>
        <v>0</v>
      </c>
      <c r="O298" s="13">
        <f>IF(AND(G298&gt;=Assumptions!$B$7,MOD(G298,Assumptions!$B$7)=0),1,0)</f>
        <v>0</v>
      </c>
      <c r="P298" s="13">
        <f t="shared" si="22"/>
        <v>0</v>
      </c>
      <c r="Q298" s="13">
        <f t="shared" si="23"/>
        <v>0</v>
      </c>
      <c r="R298" s="13">
        <f>L298*Assumptions!$B$11+M298*Assumptions!$B$12+N298*Assumptions!$B$13+O298*Assumptions!$B$14+P298*Assumptions!$B$15+Q298*Assumptions!$B$16</f>
        <v>0</v>
      </c>
      <c r="S298" s="13" t="str">
        <f>IF(R298&gt;=Assumptions!$B$20,"High",IF(R298&gt;=Assumptions!$B$21,"Medium",IF(R298&gt;=1,"Low","Clear")))</f>
        <v>Clear</v>
      </c>
      <c r="T298" s="13" t="str">
        <f t="shared" si="24"/>
        <v/>
      </c>
    </row>
    <row r="299" spans="1:20" x14ac:dyDescent="0.35">
      <c r="A299" s="13" t="s">
        <v>1340</v>
      </c>
      <c r="B299" s="13" t="s">
        <v>155</v>
      </c>
      <c r="C299" s="13" t="s">
        <v>156</v>
      </c>
      <c r="D299" s="13" t="s">
        <v>1341</v>
      </c>
      <c r="E299" s="14">
        <v>45824</v>
      </c>
      <c r="F299" s="14">
        <v>45854</v>
      </c>
      <c r="G299" s="15">
        <v>1853.3</v>
      </c>
      <c r="H299" s="13" t="s">
        <v>1342</v>
      </c>
      <c r="I299" s="13" t="s">
        <v>1343</v>
      </c>
      <c r="J299" s="13" t="s">
        <v>91</v>
      </c>
      <c r="K299" s="13">
        <f t="shared" si="20"/>
        <v>1</v>
      </c>
      <c r="L299" s="13">
        <f t="shared" si="21"/>
        <v>0</v>
      </c>
      <c r="M299" s="13">
        <f>IF(AND(L299=0,COUNTIFS($B$2:$B$1534,B299,$G$2:$G$1534,G299,$E$2:$E$1534,"&gt;="&amp;(E299-Assumptions!$B$5),$E$2:$E$1534,"&lt;="&amp;(E299+Assumptions!$B$5))&gt;1),1,0)</f>
        <v>0</v>
      </c>
      <c r="N299" s="13">
        <f>IF(AND(G299&gt;=Assumptions!$B$4*(1-Assumptions!$B$6),G299&lt;Assumptions!$B$4),1,0)</f>
        <v>0</v>
      </c>
      <c r="O299" s="13">
        <f>IF(AND(G299&gt;=Assumptions!$B$7,MOD(G299,Assumptions!$B$7)=0),1,0)</f>
        <v>0</v>
      </c>
      <c r="P299" s="13">
        <f t="shared" si="22"/>
        <v>0</v>
      </c>
      <c r="Q299" s="13">
        <f t="shared" si="23"/>
        <v>0</v>
      </c>
      <c r="R299" s="13">
        <f>L299*Assumptions!$B$11+M299*Assumptions!$B$12+N299*Assumptions!$B$13+O299*Assumptions!$B$14+P299*Assumptions!$B$15+Q299*Assumptions!$B$16</f>
        <v>0</v>
      </c>
      <c r="S299" s="13" t="str">
        <f>IF(R299&gt;=Assumptions!$B$20,"High",IF(R299&gt;=Assumptions!$B$21,"Medium",IF(R299&gt;=1,"Low","Clear")))</f>
        <v>Clear</v>
      </c>
      <c r="T299" s="13" t="str">
        <f t="shared" si="24"/>
        <v/>
      </c>
    </row>
    <row r="300" spans="1:20" x14ac:dyDescent="0.35">
      <c r="A300" s="13" t="s">
        <v>1344</v>
      </c>
      <c r="B300" s="13" t="s">
        <v>100</v>
      </c>
      <c r="C300" s="13" t="s">
        <v>101</v>
      </c>
      <c r="D300" s="13" t="s">
        <v>1345</v>
      </c>
      <c r="E300" s="14">
        <v>45832</v>
      </c>
      <c r="F300" s="14">
        <v>45854</v>
      </c>
      <c r="G300" s="15">
        <v>179593.25</v>
      </c>
      <c r="H300" s="13" t="s">
        <v>1346</v>
      </c>
      <c r="I300" s="13" t="s">
        <v>1347</v>
      </c>
      <c r="J300" s="13" t="s">
        <v>170</v>
      </c>
      <c r="K300" s="13">
        <f t="shared" si="20"/>
        <v>1</v>
      </c>
      <c r="L300" s="13">
        <f t="shared" si="21"/>
        <v>0</v>
      </c>
      <c r="M300" s="13">
        <f>IF(AND(L300=0,COUNTIFS($B$2:$B$1534,B300,$G$2:$G$1534,G300,$E$2:$E$1534,"&gt;="&amp;(E300-Assumptions!$B$5),$E$2:$E$1534,"&lt;="&amp;(E300+Assumptions!$B$5))&gt;1),1,0)</f>
        <v>0</v>
      </c>
      <c r="N300" s="13">
        <f>IF(AND(G300&gt;=Assumptions!$B$4*(1-Assumptions!$B$6),G300&lt;Assumptions!$B$4),1,0)</f>
        <v>0</v>
      </c>
      <c r="O300" s="13">
        <f>IF(AND(G300&gt;=Assumptions!$B$7,MOD(G300,Assumptions!$B$7)=0),1,0)</f>
        <v>0</v>
      </c>
      <c r="P300" s="13">
        <f t="shared" si="22"/>
        <v>0</v>
      </c>
      <c r="Q300" s="13">
        <f t="shared" si="23"/>
        <v>0</v>
      </c>
      <c r="R300" s="13">
        <f>L300*Assumptions!$B$11+M300*Assumptions!$B$12+N300*Assumptions!$B$13+O300*Assumptions!$B$14+P300*Assumptions!$B$15+Q300*Assumptions!$B$16</f>
        <v>0</v>
      </c>
      <c r="S300" s="13" t="str">
        <f>IF(R300&gt;=Assumptions!$B$20,"High",IF(R300&gt;=Assumptions!$B$21,"Medium",IF(R300&gt;=1,"Low","Clear")))</f>
        <v>Clear</v>
      </c>
      <c r="T300" s="13" t="str">
        <f t="shared" si="24"/>
        <v/>
      </c>
    </row>
    <row r="301" spans="1:20" x14ac:dyDescent="0.35">
      <c r="A301" s="13" t="s">
        <v>1348</v>
      </c>
      <c r="B301" s="13" t="s">
        <v>125</v>
      </c>
      <c r="C301" s="13" t="s">
        <v>126</v>
      </c>
      <c r="D301" s="13" t="s">
        <v>1349</v>
      </c>
      <c r="E301" s="14">
        <v>45824</v>
      </c>
      <c r="F301" s="14">
        <v>45854</v>
      </c>
      <c r="G301" s="15">
        <v>1755.93</v>
      </c>
      <c r="H301" s="13" t="s">
        <v>1350</v>
      </c>
      <c r="I301" s="13" t="s">
        <v>1351</v>
      </c>
      <c r="J301" s="13" t="s">
        <v>170</v>
      </c>
      <c r="K301" s="13">
        <f t="shared" si="20"/>
        <v>1</v>
      </c>
      <c r="L301" s="13">
        <f t="shared" si="21"/>
        <v>0</v>
      </c>
      <c r="M301" s="13">
        <f>IF(AND(L301=0,COUNTIFS($B$2:$B$1534,B301,$G$2:$G$1534,G301,$E$2:$E$1534,"&gt;="&amp;(E301-Assumptions!$B$5),$E$2:$E$1534,"&lt;="&amp;(E301+Assumptions!$B$5))&gt;1),1,0)</f>
        <v>0</v>
      </c>
      <c r="N301" s="13">
        <f>IF(AND(G301&gt;=Assumptions!$B$4*(1-Assumptions!$B$6),G301&lt;Assumptions!$B$4),1,0)</f>
        <v>0</v>
      </c>
      <c r="O301" s="13">
        <f>IF(AND(G301&gt;=Assumptions!$B$7,MOD(G301,Assumptions!$B$7)=0),1,0)</f>
        <v>0</v>
      </c>
      <c r="P301" s="13">
        <f t="shared" si="22"/>
        <v>0</v>
      </c>
      <c r="Q301" s="13">
        <f t="shared" si="23"/>
        <v>0</v>
      </c>
      <c r="R301" s="13">
        <f>L301*Assumptions!$B$11+M301*Assumptions!$B$12+N301*Assumptions!$B$13+O301*Assumptions!$B$14+P301*Assumptions!$B$15+Q301*Assumptions!$B$16</f>
        <v>0</v>
      </c>
      <c r="S301" s="13" t="str">
        <f>IF(R301&gt;=Assumptions!$B$20,"High",IF(R301&gt;=Assumptions!$B$21,"Medium",IF(R301&gt;=1,"Low","Clear")))</f>
        <v>Clear</v>
      </c>
      <c r="T301" s="13" t="str">
        <f t="shared" si="24"/>
        <v/>
      </c>
    </row>
    <row r="302" spans="1:20" x14ac:dyDescent="0.35">
      <c r="A302" s="13" t="s">
        <v>1352</v>
      </c>
      <c r="B302" s="13" t="s">
        <v>252</v>
      </c>
      <c r="C302" s="13" t="s">
        <v>253</v>
      </c>
      <c r="D302" s="13" t="s">
        <v>1353</v>
      </c>
      <c r="E302" s="14">
        <v>45831</v>
      </c>
      <c r="F302" s="14">
        <v>45855</v>
      </c>
      <c r="G302" s="15">
        <v>3440.33</v>
      </c>
      <c r="H302" s="13" t="s">
        <v>1354</v>
      </c>
      <c r="I302" s="13" t="s">
        <v>1355</v>
      </c>
      <c r="J302" s="13" t="s">
        <v>98</v>
      </c>
      <c r="K302" s="13">
        <f t="shared" si="20"/>
        <v>3</v>
      </c>
      <c r="L302" s="13">
        <f t="shared" si="21"/>
        <v>0</v>
      </c>
      <c r="M302" s="13">
        <f>IF(AND(L302=0,COUNTIFS($B$2:$B$1534,B302,$G$2:$G$1534,G302,$E$2:$E$1534,"&gt;="&amp;(E302-Assumptions!$B$5),$E$2:$E$1534,"&lt;="&amp;(E302+Assumptions!$B$5))&gt;1),1,0)</f>
        <v>0</v>
      </c>
      <c r="N302" s="13">
        <f>IF(AND(G302&gt;=Assumptions!$B$4*(1-Assumptions!$B$6),G302&lt;Assumptions!$B$4),1,0)</f>
        <v>0</v>
      </c>
      <c r="O302" s="13">
        <f>IF(AND(G302&gt;=Assumptions!$B$7,MOD(G302,Assumptions!$B$7)=0),1,0)</f>
        <v>0</v>
      </c>
      <c r="P302" s="13">
        <f t="shared" si="22"/>
        <v>0</v>
      </c>
      <c r="Q302" s="13">
        <f t="shared" si="23"/>
        <v>0</v>
      </c>
      <c r="R302" s="13">
        <f>L302*Assumptions!$B$11+M302*Assumptions!$B$12+N302*Assumptions!$B$13+O302*Assumptions!$B$14+P302*Assumptions!$B$15+Q302*Assumptions!$B$16</f>
        <v>0</v>
      </c>
      <c r="S302" s="13" t="str">
        <f>IF(R302&gt;=Assumptions!$B$20,"High",IF(R302&gt;=Assumptions!$B$21,"Medium",IF(R302&gt;=1,"Low","Clear")))</f>
        <v>Clear</v>
      </c>
      <c r="T302" s="13" t="str">
        <f t="shared" si="24"/>
        <v/>
      </c>
    </row>
    <row r="303" spans="1:20" x14ac:dyDescent="0.35">
      <c r="A303" s="13" t="s">
        <v>1356</v>
      </c>
      <c r="B303" s="13" t="s">
        <v>206</v>
      </c>
      <c r="C303" s="13" t="s">
        <v>207</v>
      </c>
      <c r="D303" s="13" t="s">
        <v>1357</v>
      </c>
      <c r="E303" s="14">
        <v>45826</v>
      </c>
      <c r="F303" s="14">
        <v>45855</v>
      </c>
      <c r="G303" s="15">
        <v>73434.52</v>
      </c>
      <c r="H303" s="13" t="s">
        <v>1358</v>
      </c>
      <c r="I303" s="13" t="s">
        <v>1359</v>
      </c>
      <c r="J303" s="13" t="s">
        <v>136</v>
      </c>
      <c r="K303" s="13">
        <f t="shared" si="20"/>
        <v>7</v>
      </c>
      <c r="L303" s="13">
        <f t="shared" si="21"/>
        <v>0</v>
      </c>
      <c r="M303" s="13">
        <f>IF(AND(L303=0,COUNTIFS($B$2:$B$1534,B303,$G$2:$G$1534,G303,$E$2:$E$1534,"&gt;="&amp;(E303-Assumptions!$B$5),$E$2:$E$1534,"&lt;="&amp;(E303+Assumptions!$B$5))&gt;1),1,0)</f>
        <v>0</v>
      </c>
      <c r="N303" s="13">
        <f>IF(AND(G303&gt;=Assumptions!$B$4*(1-Assumptions!$B$6),G303&lt;Assumptions!$B$4),1,0)</f>
        <v>0</v>
      </c>
      <c r="O303" s="13">
        <f>IF(AND(G303&gt;=Assumptions!$B$7,MOD(G303,Assumptions!$B$7)=0),1,0)</f>
        <v>0</v>
      </c>
      <c r="P303" s="13">
        <f t="shared" si="22"/>
        <v>0</v>
      </c>
      <c r="Q303" s="13">
        <f t="shared" si="23"/>
        <v>0</v>
      </c>
      <c r="R303" s="13">
        <f>L303*Assumptions!$B$11+M303*Assumptions!$B$12+N303*Assumptions!$B$13+O303*Assumptions!$B$14+P303*Assumptions!$B$15+Q303*Assumptions!$B$16</f>
        <v>0</v>
      </c>
      <c r="S303" s="13" t="str">
        <f>IF(R303&gt;=Assumptions!$B$20,"High",IF(R303&gt;=Assumptions!$B$21,"Medium",IF(R303&gt;=1,"Low","Clear")))</f>
        <v>Clear</v>
      </c>
      <c r="T303" s="13" t="str">
        <f t="shared" si="24"/>
        <v/>
      </c>
    </row>
    <row r="304" spans="1:20" x14ac:dyDescent="0.35">
      <c r="A304" s="13" t="s">
        <v>1360</v>
      </c>
      <c r="B304" s="13" t="s">
        <v>357</v>
      </c>
      <c r="C304" s="13" t="s">
        <v>358</v>
      </c>
      <c r="D304" s="13" t="s">
        <v>1361</v>
      </c>
      <c r="E304" s="14">
        <v>45823</v>
      </c>
      <c r="F304" s="14">
        <v>45855</v>
      </c>
      <c r="G304" s="15">
        <v>21805.56</v>
      </c>
      <c r="H304" s="13" t="s">
        <v>1362</v>
      </c>
      <c r="I304" s="13" t="s">
        <v>1363</v>
      </c>
      <c r="J304" s="13" t="s">
        <v>91</v>
      </c>
      <c r="K304" s="13">
        <f t="shared" si="20"/>
        <v>2</v>
      </c>
      <c r="L304" s="13">
        <f t="shared" si="21"/>
        <v>0</v>
      </c>
      <c r="M304" s="13">
        <f>IF(AND(L304=0,COUNTIFS($B$2:$B$1534,B304,$G$2:$G$1534,G304,$E$2:$E$1534,"&gt;="&amp;(E304-Assumptions!$B$5),$E$2:$E$1534,"&lt;="&amp;(E304+Assumptions!$B$5))&gt;1),1,0)</f>
        <v>0</v>
      </c>
      <c r="N304" s="13">
        <f>IF(AND(G304&gt;=Assumptions!$B$4*(1-Assumptions!$B$6),G304&lt;Assumptions!$B$4),1,0)</f>
        <v>0</v>
      </c>
      <c r="O304" s="13">
        <f>IF(AND(G304&gt;=Assumptions!$B$7,MOD(G304,Assumptions!$B$7)=0),1,0)</f>
        <v>0</v>
      </c>
      <c r="P304" s="13">
        <f t="shared" si="22"/>
        <v>0</v>
      </c>
      <c r="Q304" s="13">
        <f t="shared" si="23"/>
        <v>0</v>
      </c>
      <c r="R304" s="13">
        <f>L304*Assumptions!$B$11+M304*Assumptions!$B$12+N304*Assumptions!$B$13+O304*Assumptions!$B$14+P304*Assumptions!$B$15+Q304*Assumptions!$B$16</f>
        <v>0</v>
      </c>
      <c r="S304" s="13" t="str">
        <f>IF(R304&gt;=Assumptions!$B$20,"High",IF(R304&gt;=Assumptions!$B$21,"Medium",IF(R304&gt;=1,"Low","Clear")))</f>
        <v>Clear</v>
      </c>
      <c r="T304" s="13" t="str">
        <f t="shared" si="24"/>
        <v/>
      </c>
    </row>
    <row r="305" spans="1:20" x14ac:dyDescent="0.35">
      <c r="A305" s="13" t="s">
        <v>1364</v>
      </c>
      <c r="B305" s="13" t="s">
        <v>409</v>
      </c>
      <c r="C305" s="13" t="s">
        <v>410</v>
      </c>
      <c r="D305" s="13" t="s">
        <v>1365</v>
      </c>
      <c r="E305" s="14">
        <v>45820</v>
      </c>
      <c r="F305" s="14">
        <v>45856</v>
      </c>
      <c r="G305" s="15">
        <v>892765.28</v>
      </c>
      <c r="H305" s="13" t="s">
        <v>1366</v>
      </c>
      <c r="I305" s="13" t="s">
        <v>1367</v>
      </c>
      <c r="J305" s="13" t="s">
        <v>98</v>
      </c>
      <c r="K305" s="13">
        <f t="shared" si="20"/>
        <v>8</v>
      </c>
      <c r="L305" s="13">
        <f t="shared" si="21"/>
        <v>0</v>
      </c>
      <c r="M305" s="13">
        <f>IF(AND(L305=0,COUNTIFS($B$2:$B$1534,B305,$G$2:$G$1534,G305,$E$2:$E$1534,"&gt;="&amp;(E305-Assumptions!$B$5),$E$2:$E$1534,"&lt;="&amp;(E305+Assumptions!$B$5))&gt;1),1,0)</f>
        <v>0</v>
      </c>
      <c r="N305" s="13">
        <f>IF(AND(G305&gt;=Assumptions!$B$4*(1-Assumptions!$B$6),G305&lt;Assumptions!$B$4),1,0)</f>
        <v>0</v>
      </c>
      <c r="O305" s="13">
        <f>IF(AND(G305&gt;=Assumptions!$B$7,MOD(G305,Assumptions!$B$7)=0),1,0)</f>
        <v>0</v>
      </c>
      <c r="P305" s="13">
        <f t="shared" si="22"/>
        <v>0</v>
      </c>
      <c r="Q305" s="13">
        <f t="shared" si="23"/>
        <v>0</v>
      </c>
      <c r="R305" s="13">
        <f>L305*Assumptions!$B$11+M305*Assumptions!$B$12+N305*Assumptions!$B$13+O305*Assumptions!$B$14+P305*Assumptions!$B$15+Q305*Assumptions!$B$16</f>
        <v>0</v>
      </c>
      <c r="S305" s="13" t="str">
        <f>IF(R305&gt;=Assumptions!$B$20,"High",IF(R305&gt;=Assumptions!$B$21,"Medium",IF(R305&gt;=1,"Low","Clear")))</f>
        <v>Clear</v>
      </c>
      <c r="T305" s="13" t="str">
        <f t="shared" si="24"/>
        <v/>
      </c>
    </row>
    <row r="306" spans="1:20" x14ac:dyDescent="0.35">
      <c r="A306" s="13" t="s">
        <v>1368</v>
      </c>
      <c r="B306" s="13" t="s">
        <v>228</v>
      </c>
      <c r="C306" s="13" t="s">
        <v>229</v>
      </c>
      <c r="D306" s="13" t="s">
        <v>1369</v>
      </c>
      <c r="E306" s="14">
        <v>45823</v>
      </c>
      <c r="F306" s="14">
        <v>45856</v>
      </c>
      <c r="G306" s="15">
        <v>305712.28000000003</v>
      </c>
      <c r="H306" s="13" t="s">
        <v>1370</v>
      </c>
      <c r="I306" s="13" t="s">
        <v>1371</v>
      </c>
      <c r="J306" s="13" t="s">
        <v>111</v>
      </c>
      <c r="K306" s="13">
        <f t="shared" si="20"/>
        <v>3</v>
      </c>
      <c r="L306" s="13">
        <f t="shared" si="21"/>
        <v>0</v>
      </c>
      <c r="M306" s="13">
        <f>IF(AND(L306=0,COUNTIFS($B$2:$B$1534,B306,$G$2:$G$1534,G306,$E$2:$E$1534,"&gt;="&amp;(E306-Assumptions!$B$5),$E$2:$E$1534,"&lt;="&amp;(E306+Assumptions!$B$5))&gt;1),1,0)</f>
        <v>0</v>
      </c>
      <c r="N306" s="13">
        <f>IF(AND(G306&gt;=Assumptions!$B$4*(1-Assumptions!$B$6),G306&lt;Assumptions!$B$4),1,0)</f>
        <v>0</v>
      </c>
      <c r="O306" s="13">
        <f>IF(AND(G306&gt;=Assumptions!$B$7,MOD(G306,Assumptions!$B$7)=0),1,0)</f>
        <v>0</v>
      </c>
      <c r="P306" s="13">
        <f t="shared" si="22"/>
        <v>0</v>
      </c>
      <c r="Q306" s="13">
        <f t="shared" si="23"/>
        <v>0</v>
      </c>
      <c r="R306" s="13">
        <f>L306*Assumptions!$B$11+M306*Assumptions!$B$12+N306*Assumptions!$B$13+O306*Assumptions!$B$14+P306*Assumptions!$B$15+Q306*Assumptions!$B$16</f>
        <v>0</v>
      </c>
      <c r="S306" s="13" t="str">
        <f>IF(R306&gt;=Assumptions!$B$20,"High",IF(R306&gt;=Assumptions!$B$21,"Medium",IF(R306&gt;=1,"Low","Clear")))</f>
        <v>Clear</v>
      </c>
      <c r="T306" s="13" t="str">
        <f t="shared" si="24"/>
        <v/>
      </c>
    </row>
    <row r="307" spans="1:20" x14ac:dyDescent="0.35">
      <c r="A307" s="13" t="s">
        <v>1372</v>
      </c>
      <c r="B307" s="13" t="s">
        <v>131</v>
      </c>
      <c r="C307" s="13" t="s">
        <v>132</v>
      </c>
      <c r="D307" s="13" t="s">
        <v>1373</v>
      </c>
      <c r="E307" s="14">
        <v>45819</v>
      </c>
      <c r="F307" s="14">
        <v>45856</v>
      </c>
      <c r="G307" s="15">
        <v>3884.15</v>
      </c>
      <c r="H307" s="13" t="s">
        <v>1374</v>
      </c>
      <c r="I307" s="13" t="s">
        <v>1375</v>
      </c>
      <c r="J307" s="13" t="s">
        <v>111</v>
      </c>
      <c r="K307" s="13">
        <f t="shared" si="20"/>
        <v>3</v>
      </c>
      <c r="L307" s="13">
        <f t="shared" si="21"/>
        <v>0</v>
      </c>
      <c r="M307" s="13">
        <f>IF(AND(L307=0,COUNTIFS($B$2:$B$1534,B307,$G$2:$G$1534,G307,$E$2:$E$1534,"&gt;="&amp;(E307-Assumptions!$B$5),$E$2:$E$1534,"&lt;="&amp;(E307+Assumptions!$B$5))&gt;1),1,0)</f>
        <v>0</v>
      </c>
      <c r="N307" s="13">
        <f>IF(AND(G307&gt;=Assumptions!$B$4*(1-Assumptions!$B$6),G307&lt;Assumptions!$B$4),1,0)</f>
        <v>0</v>
      </c>
      <c r="O307" s="13">
        <f>IF(AND(G307&gt;=Assumptions!$B$7,MOD(G307,Assumptions!$B$7)=0),1,0)</f>
        <v>0</v>
      </c>
      <c r="P307" s="13">
        <f t="shared" si="22"/>
        <v>0</v>
      </c>
      <c r="Q307" s="13">
        <f t="shared" si="23"/>
        <v>0</v>
      </c>
      <c r="R307" s="13">
        <f>L307*Assumptions!$B$11+M307*Assumptions!$B$12+N307*Assumptions!$B$13+O307*Assumptions!$B$14+P307*Assumptions!$B$15+Q307*Assumptions!$B$16</f>
        <v>0</v>
      </c>
      <c r="S307" s="13" t="str">
        <f>IF(R307&gt;=Assumptions!$B$20,"High",IF(R307&gt;=Assumptions!$B$21,"Medium",IF(R307&gt;=1,"Low","Clear")))</f>
        <v>Clear</v>
      </c>
      <c r="T307" s="13" t="str">
        <f t="shared" si="24"/>
        <v/>
      </c>
    </row>
    <row r="308" spans="1:20" x14ac:dyDescent="0.35">
      <c r="A308" s="13" t="s">
        <v>1376</v>
      </c>
      <c r="B308" s="13" t="s">
        <v>307</v>
      </c>
      <c r="C308" s="13" t="s">
        <v>308</v>
      </c>
      <c r="D308" s="13" t="s">
        <v>1377</v>
      </c>
      <c r="E308" s="14">
        <v>45834</v>
      </c>
      <c r="F308" s="14">
        <v>45856</v>
      </c>
      <c r="G308" s="15">
        <v>33997.72</v>
      </c>
      <c r="H308" s="13" t="s">
        <v>1378</v>
      </c>
      <c r="I308" s="13" t="s">
        <v>1379</v>
      </c>
      <c r="J308" s="13" t="s">
        <v>91</v>
      </c>
      <c r="K308" s="13">
        <f t="shared" si="20"/>
        <v>3</v>
      </c>
      <c r="L308" s="13">
        <f t="shared" si="21"/>
        <v>0</v>
      </c>
      <c r="M308" s="13">
        <f>IF(AND(L308=0,COUNTIFS($B$2:$B$1534,B308,$G$2:$G$1534,G308,$E$2:$E$1534,"&gt;="&amp;(E308-Assumptions!$B$5),$E$2:$E$1534,"&lt;="&amp;(E308+Assumptions!$B$5))&gt;1),1,0)</f>
        <v>0</v>
      </c>
      <c r="N308" s="13">
        <f>IF(AND(G308&gt;=Assumptions!$B$4*(1-Assumptions!$B$6),G308&lt;Assumptions!$B$4),1,0)</f>
        <v>0</v>
      </c>
      <c r="O308" s="13">
        <f>IF(AND(G308&gt;=Assumptions!$B$7,MOD(G308,Assumptions!$B$7)=0),1,0)</f>
        <v>0</v>
      </c>
      <c r="P308" s="13">
        <f t="shared" si="22"/>
        <v>0</v>
      </c>
      <c r="Q308" s="13">
        <f t="shared" si="23"/>
        <v>0</v>
      </c>
      <c r="R308" s="13">
        <f>L308*Assumptions!$B$11+M308*Assumptions!$B$12+N308*Assumptions!$B$13+O308*Assumptions!$B$14+P308*Assumptions!$B$15+Q308*Assumptions!$B$16</f>
        <v>0</v>
      </c>
      <c r="S308" s="13" t="str">
        <f>IF(R308&gt;=Assumptions!$B$20,"High",IF(R308&gt;=Assumptions!$B$21,"Medium",IF(R308&gt;=1,"Low","Clear")))</f>
        <v>Clear</v>
      </c>
      <c r="T308" s="13" t="str">
        <f t="shared" si="24"/>
        <v/>
      </c>
    </row>
    <row r="309" spans="1:20" x14ac:dyDescent="0.35">
      <c r="A309" s="13" t="s">
        <v>1380</v>
      </c>
      <c r="B309" s="13" t="s">
        <v>218</v>
      </c>
      <c r="C309" s="13" t="s">
        <v>219</v>
      </c>
      <c r="D309" s="13" t="s">
        <v>1381</v>
      </c>
      <c r="E309" s="14">
        <v>45816</v>
      </c>
      <c r="F309" s="14">
        <v>45856</v>
      </c>
      <c r="G309" s="15">
        <v>952402.37</v>
      </c>
      <c r="H309" s="13" t="s">
        <v>1382</v>
      </c>
      <c r="I309" s="13" t="s">
        <v>1383</v>
      </c>
      <c r="J309" s="13" t="s">
        <v>91</v>
      </c>
      <c r="K309" s="13">
        <f t="shared" si="20"/>
        <v>9</v>
      </c>
      <c r="L309" s="13">
        <f t="shared" si="21"/>
        <v>0</v>
      </c>
      <c r="M309" s="13">
        <f>IF(AND(L309=0,COUNTIFS($B$2:$B$1534,B309,$G$2:$G$1534,G309,$E$2:$E$1534,"&gt;="&amp;(E309-Assumptions!$B$5),$E$2:$E$1534,"&lt;="&amp;(E309+Assumptions!$B$5))&gt;1),1,0)</f>
        <v>0</v>
      </c>
      <c r="N309" s="13">
        <f>IF(AND(G309&gt;=Assumptions!$B$4*(1-Assumptions!$B$6),G309&lt;Assumptions!$B$4),1,0)</f>
        <v>0</v>
      </c>
      <c r="O309" s="13">
        <f>IF(AND(G309&gt;=Assumptions!$B$7,MOD(G309,Assumptions!$B$7)=0),1,0)</f>
        <v>0</v>
      </c>
      <c r="P309" s="13">
        <f t="shared" si="22"/>
        <v>0</v>
      </c>
      <c r="Q309" s="13">
        <f t="shared" si="23"/>
        <v>0</v>
      </c>
      <c r="R309" s="13">
        <f>L309*Assumptions!$B$11+M309*Assumptions!$B$12+N309*Assumptions!$B$13+O309*Assumptions!$B$14+P309*Assumptions!$B$15+Q309*Assumptions!$B$16</f>
        <v>0</v>
      </c>
      <c r="S309" s="13" t="str">
        <f>IF(R309&gt;=Assumptions!$B$20,"High",IF(R309&gt;=Assumptions!$B$21,"Medium",IF(R309&gt;=1,"Low","Clear")))</f>
        <v>Clear</v>
      </c>
      <c r="T309" s="13" t="str">
        <f t="shared" si="24"/>
        <v/>
      </c>
    </row>
    <row r="310" spans="1:20" x14ac:dyDescent="0.35">
      <c r="A310" s="13" t="s">
        <v>1384</v>
      </c>
      <c r="B310" s="13" t="s">
        <v>317</v>
      </c>
      <c r="C310" s="13" t="s">
        <v>318</v>
      </c>
      <c r="D310" s="13" t="s">
        <v>1385</v>
      </c>
      <c r="E310" s="14">
        <v>45834</v>
      </c>
      <c r="F310" s="14">
        <v>45856</v>
      </c>
      <c r="G310" s="15">
        <v>103318.11</v>
      </c>
      <c r="H310" s="13" t="s">
        <v>1386</v>
      </c>
      <c r="I310" s="13" t="s">
        <v>1387</v>
      </c>
      <c r="J310" s="13" t="s">
        <v>170</v>
      </c>
      <c r="K310" s="13">
        <f t="shared" si="20"/>
        <v>1</v>
      </c>
      <c r="L310" s="13">
        <f t="shared" si="21"/>
        <v>0</v>
      </c>
      <c r="M310" s="13">
        <f>IF(AND(L310=0,COUNTIFS($B$2:$B$1534,B310,$G$2:$G$1534,G310,$E$2:$E$1534,"&gt;="&amp;(E310-Assumptions!$B$5),$E$2:$E$1534,"&lt;="&amp;(E310+Assumptions!$B$5))&gt;1),1,0)</f>
        <v>0</v>
      </c>
      <c r="N310" s="13">
        <f>IF(AND(G310&gt;=Assumptions!$B$4*(1-Assumptions!$B$6),G310&lt;Assumptions!$B$4),1,0)</f>
        <v>0</v>
      </c>
      <c r="O310" s="13">
        <f>IF(AND(G310&gt;=Assumptions!$B$7,MOD(G310,Assumptions!$B$7)=0),1,0)</f>
        <v>0</v>
      </c>
      <c r="P310" s="13">
        <f t="shared" si="22"/>
        <v>0</v>
      </c>
      <c r="Q310" s="13">
        <f t="shared" si="23"/>
        <v>0</v>
      </c>
      <c r="R310" s="13">
        <f>L310*Assumptions!$B$11+M310*Assumptions!$B$12+N310*Assumptions!$B$13+O310*Assumptions!$B$14+P310*Assumptions!$B$15+Q310*Assumptions!$B$16</f>
        <v>0</v>
      </c>
      <c r="S310" s="13" t="str">
        <f>IF(R310&gt;=Assumptions!$B$20,"High",IF(R310&gt;=Assumptions!$B$21,"Medium",IF(R310&gt;=1,"Low","Clear")))</f>
        <v>Clear</v>
      </c>
      <c r="T310" s="13" t="str">
        <f t="shared" si="24"/>
        <v/>
      </c>
    </row>
    <row r="311" spans="1:20" x14ac:dyDescent="0.35">
      <c r="A311" s="13" t="s">
        <v>1388</v>
      </c>
      <c r="B311" s="13" t="s">
        <v>138</v>
      </c>
      <c r="C311" s="13" t="s">
        <v>139</v>
      </c>
      <c r="D311" s="13" t="s">
        <v>1389</v>
      </c>
      <c r="E311" s="14">
        <v>45823</v>
      </c>
      <c r="F311" s="14">
        <v>45856</v>
      </c>
      <c r="G311" s="15">
        <v>1884.26</v>
      </c>
      <c r="H311" s="13" t="s">
        <v>1390</v>
      </c>
      <c r="I311" s="13" t="s">
        <v>1391</v>
      </c>
      <c r="J311" s="13" t="s">
        <v>170</v>
      </c>
      <c r="K311" s="13">
        <f t="shared" si="20"/>
        <v>1</v>
      </c>
      <c r="L311" s="13">
        <f t="shared" si="21"/>
        <v>0</v>
      </c>
      <c r="M311" s="13">
        <f>IF(AND(L311=0,COUNTIFS($B$2:$B$1534,B311,$G$2:$G$1534,G311,$E$2:$E$1534,"&gt;="&amp;(E311-Assumptions!$B$5),$E$2:$E$1534,"&lt;="&amp;(E311+Assumptions!$B$5))&gt;1),1,0)</f>
        <v>0</v>
      </c>
      <c r="N311" s="13">
        <f>IF(AND(G311&gt;=Assumptions!$B$4*(1-Assumptions!$B$6),G311&lt;Assumptions!$B$4),1,0)</f>
        <v>0</v>
      </c>
      <c r="O311" s="13">
        <f>IF(AND(G311&gt;=Assumptions!$B$7,MOD(G311,Assumptions!$B$7)=0),1,0)</f>
        <v>0</v>
      </c>
      <c r="P311" s="13">
        <f t="shared" si="22"/>
        <v>0</v>
      </c>
      <c r="Q311" s="13">
        <f t="shared" si="23"/>
        <v>0</v>
      </c>
      <c r="R311" s="13">
        <f>L311*Assumptions!$B$11+M311*Assumptions!$B$12+N311*Assumptions!$B$13+O311*Assumptions!$B$14+P311*Assumptions!$B$15+Q311*Assumptions!$B$16</f>
        <v>0</v>
      </c>
      <c r="S311" s="13" t="str">
        <f>IF(R311&gt;=Assumptions!$B$20,"High",IF(R311&gt;=Assumptions!$B$21,"Medium",IF(R311&gt;=1,"Low","Clear")))</f>
        <v>Clear</v>
      </c>
      <c r="T311" s="13" t="str">
        <f t="shared" si="24"/>
        <v/>
      </c>
    </row>
    <row r="312" spans="1:20" x14ac:dyDescent="0.35">
      <c r="A312" s="13" t="s">
        <v>1392</v>
      </c>
      <c r="B312" s="13" t="s">
        <v>438</v>
      </c>
      <c r="C312" s="13" t="s">
        <v>439</v>
      </c>
      <c r="D312" s="13" t="s">
        <v>1393</v>
      </c>
      <c r="E312" s="14">
        <v>45816</v>
      </c>
      <c r="F312" s="14">
        <v>45856</v>
      </c>
      <c r="G312" s="15">
        <v>380942.78</v>
      </c>
      <c r="H312" s="13" t="s">
        <v>1394</v>
      </c>
      <c r="I312" s="13" t="s">
        <v>1395</v>
      </c>
      <c r="J312" s="13" t="s">
        <v>91</v>
      </c>
      <c r="K312" s="13">
        <f t="shared" si="20"/>
        <v>3</v>
      </c>
      <c r="L312" s="13">
        <f t="shared" si="21"/>
        <v>0</v>
      </c>
      <c r="M312" s="13">
        <f>IF(AND(L312=0,COUNTIFS($B$2:$B$1534,B312,$G$2:$G$1534,G312,$E$2:$E$1534,"&gt;="&amp;(E312-Assumptions!$B$5),$E$2:$E$1534,"&lt;="&amp;(E312+Assumptions!$B$5))&gt;1),1,0)</f>
        <v>0</v>
      </c>
      <c r="N312" s="13">
        <f>IF(AND(G312&gt;=Assumptions!$B$4*(1-Assumptions!$B$6),G312&lt;Assumptions!$B$4),1,0)</f>
        <v>0</v>
      </c>
      <c r="O312" s="13">
        <f>IF(AND(G312&gt;=Assumptions!$B$7,MOD(G312,Assumptions!$B$7)=0),1,0)</f>
        <v>0</v>
      </c>
      <c r="P312" s="13">
        <f t="shared" si="22"/>
        <v>0</v>
      </c>
      <c r="Q312" s="13">
        <f t="shared" si="23"/>
        <v>0</v>
      </c>
      <c r="R312" s="13">
        <f>L312*Assumptions!$B$11+M312*Assumptions!$B$12+N312*Assumptions!$B$13+O312*Assumptions!$B$14+P312*Assumptions!$B$15+Q312*Assumptions!$B$16</f>
        <v>0</v>
      </c>
      <c r="S312" s="13" t="str">
        <f>IF(R312&gt;=Assumptions!$B$20,"High",IF(R312&gt;=Assumptions!$B$21,"Medium",IF(R312&gt;=1,"Low","Clear")))</f>
        <v>Clear</v>
      </c>
      <c r="T312" s="13" t="str">
        <f t="shared" si="24"/>
        <v/>
      </c>
    </row>
    <row r="313" spans="1:20" x14ac:dyDescent="0.35">
      <c r="A313" s="13" t="s">
        <v>1396</v>
      </c>
      <c r="B313" s="13" t="s">
        <v>131</v>
      </c>
      <c r="C313" s="13" t="s">
        <v>132</v>
      </c>
      <c r="D313" s="13" t="s">
        <v>1397</v>
      </c>
      <c r="E313" s="14">
        <v>45820</v>
      </c>
      <c r="F313" s="14">
        <v>45857</v>
      </c>
      <c r="G313" s="15">
        <v>3192.66</v>
      </c>
      <c r="H313" s="13" t="s">
        <v>1398</v>
      </c>
      <c r="I313" s="13" t="s">
        <v>1399</v>
      </c>
      <c r="J313" s="13" t="s">
        <v>143</v>
      </c>
      <c r="K313" s="13">
        <f t="shared" si="20"/>
        <v>3</v>
      </c>
      <c r="L313" s="13">
        <f t="shared" si="21"/>
        <v>0</v>
      </c>
      <c r="M313" s="13">
        <f>IF(AND(L313=0,COUNTIFS($B$2:$B$1534,B313,$G$2:$G$1534,G313,$E$2:$E$1534,"&gt;="&amp;(E313-Assumptions!$B$5),$E$2:$E$1534,"&lt;="&amp;(E313+Assumptions!$B$5))&gt;1),1,0)</f>
        <v>0</v>
      </c>
      <c r="N313" s="13">
        <f>IF(AND(G313&gt;=Assumptions!$B$4*(1-Assumptions!$B$6),G313&lt;Assumptions!$B$4),1,0)</f>
        <v>0</v>
      </c>
      <c r="O313" s="13">
        <f>IF(AND(G313&gt;=Assumptions!$B$7,MOD(G313,Assumptions!$B$7)=0),1,0)</f>
        <v>0</v>
      </c>
      <c r="P313" s="13">
        <f t="shared" si="22"/>
        <v>0</v>
      </c>
      <c r="Q313" s="13">
        <f t="shared" si="23"/>
        <v>1</v>
      </c>
      <c r="R313" s="13">
        <f>L313*Assumptions!$B$11+M313*Assumptions!$B$12+N313*Assumptions!$B$13+O313*Assumptions!$B$14+P313*Assumptions!$B$15+Q313*Assumptions!$B$16</f>
        <v>1</v>
      </c>
      <c r="S313" s="13" t="str">
        <f>IF(R313&gt;=Assumptions!$B$20,"High",IF(R313&gt;=Assumptions!$B$21,"Medium",IF(R313&gt;=1,"Low","Clear")))</f>
        <v>Low</v>
      </c>
      <c r="T313" s="13" t="str">
        <f t="shared" si="24"/>
        <v xml:space="preserve">Weekend payment; </v>
      </c>
    </row>
    <row r="314" spans="1:20" x14ac:dyDescent="0.35">
      <c r="A314" s="13" t="s">
        <v>1400</v>
      </c>
      <c r="B314" s="13" t="s">
        <v>409</v>
      </c>
      <c r="C314" s="13" t="s">
        <v>410</v>
      </c>
      <c r="D314" s="13" t="s">
        <v>1401</v>
      </c>
      <c r="E314" s="14">
        <v>45835</v>
      </c>
      <c r="F314" s="14">
        <v>45859</v>
      </c>
      <c r="G314" s="15">
        <v>105841.65</v>
      </c>
      <c r="H314" s="13" t="s">
        <v>1402</v>
      </c>
      <c r="I314" s="13" t="s">
        <v>1403</v>
      </c>
      <c r="J314" s="13" t="s">
        <v>136</v>
      </c>
      <c r="K314" s="13">
        <f t="shared" si="20"/>
        <v>1</v>
      </c>
      <c r="L314" s="13">
        <f t="shared" si="21"/>
        <v>0</v>
      </c>
      <c r="M314" s="13">
        <f>IF(AND(L314=0,COUNTIFS($B$2:$B$1534,B314,$G$2:$G$1534,G314,$E$2:$E$1534,"&gt;="&amp;(E314-Assumptions!$B$5),$E$2:$E$1534,"&lt;="&amp;(E314+Assumptions!$B$5))&gt;1),1,0)</f>
        <v>0</v>
      </c>
      <c r="N314" s="13">
        <f>IF(AND(G314&gt;=Assumptions!$B$4*(1-Assumptions!$B$6),G314&lt;Assumptions!$B$4),1,0)</f>
        <v>0</v>
      </c>
      <c r="O314" s="13">
        <f>IF(AND(G314&gt;=Assumptions!$B$7,MOD(G314,Assumptions!$B$7)=0),1,0)</f>
        <v>0</v>
      </c>
      <c r="P314" s="13">
        <f t="shared" si="22"/>
        <v>0</v>
      </c>
      <c r="Q314" s="13">
        <f t="shared" si="23"/>
        <v>0</v>
      </c>
      <c r="R314" s="13">
        <f>L314*Assumptions!$B$11+M314*Assumptions!$B$12+N314*Assumptions!$B$13+O314*Assumptions!$B$14+P314*Assumptions!$B$15+Q314*Assumptions!$B$16</f>
        <v>0</v>
      </c>
      <c r="S314" s="13" t="str">
        <f>IF(R314&gt;=Assumptions!$B$20,"High",IF(R314&gt;=Assumptions!$B$21,"Medium",IF(R314&gt;=1,"Low","Clear")))</f>
        <v>Clear</v>
      </c>
      <c r="T314" s="13" t="str">
        <f t="shared" si="24"/>
        <v/>
      </c>
    </row>
    <row r="315" spans="1:20" x14ac:dyDescent="0.35">
      <c r="A315" s="13" t="s">
        <v>1404</v>
      </c>
      <c r="B315" s="13" t="s">
        <v>228</v>
      </c>
      <c r="C315" s="13" t="s">
        <v>229</v>
      </c>
      <c r="D315" s="13" t="s">
        <v>1405</v>
      </c>
      <c r="E315" s="14">
        <v>45821</v>
      </c>
      <c r="F315" s="14">
        <v>45859</v>
      </c>
      <c r="G315" s="15">
        <v>30000</v>
      </c>
      <c r="H315" s="13" t="s">
        <v>1406</v>
      </c>
      <c r="I315" s="13" t="s">
        <v>1407</v>
      </c>
      <c r="J315" s="13" t="s">
        <v>136</v>
      </c>
      <c r="K315" s="13">
        <f t="shared" si="20"/>
        <v>3</v>
      </c>
      <c r="L315" s="13">
        <f t="shared" si="21"/>
        <v>0</v>
      </c>
      <c r="M315" s="13">
        <f>IF(AND(L315=0,COUNTIFS($B$2:$B$1534,B315,$G$2:$G$1534,G315,$E$2:$E$1534,"&gt;="&amp;(E315-Assumptions!$B$5),$E$2:$E$1534,"&lt;="&amp;(E315+Assumptions!$B$5))&gt;1),1,0)</f>
        <v>1</v>
      </c>
      <c r="N315" s="13">
        <f>IF(AND(G315&gt;=Assumptions!$B$4*(1-Assumptions!$B$6),G315&lt;Assumptions!$B$4),1,0)</f>
        <v>0</v>
      </c>
      <c r="O315" s="13">
        <f>IF(AND(G315&gt;=Assumptions!$B$7,MOD(G315,Assumptions!$B$7)=0),1,0)</f>
        <v>1</v>
      </c>
      <c r="P315" s="13">
        <f t="shared" si="22"/>
        <v>0</v>
      </c>
      <c r="Q315" s="13">
        <f t="shared" si="23"/>
        <v>0</v>
      </c>
      <c r="R315" s="13">
        <f>L315*Assumptions!$B$11+M315*Assumptions!$B$12+N315*Assumptions!$B$13+O315*Assumptions!$B$14+P315*Assumptions!$B$15+Q315*Assumptions!$B$16</f>
        <v>4</v>
      </c>
      <c r="S315" s="13" t="str">
        <f>IF(R315&gt;=Assumptions!$B$20,"High",IF(R315&gt;=Assumptions!$B$21,"Medium",IF(R315&gt;=1,"Low","Clear")))</f>
        <v>Medium</v>
      </c>
      <c r="T315" s="13" t="str">
        <f t="shared" si="24"/>
        <v xml:space="preserve">Near-duplicate; Round amount; </v>
      </c>
    </row>
    <row r="316" spans="1:20" x14ac:dyDescent="0.35">
      <c r="A316" s="13" t="s">
        <v>1408</v>
      </c>
      <c r="B316" s="13" t="s">
        <v>93</v>
      </c>
      <c r="C316" s="13" t="s">
        <v>94</v>
      </c>
      <c r="D316" s="13" t="s">
        <v>1409</v>
      </c>
      <c r="E316" s="14">
        <v>45829</v>
      </c>
      <c r="F316" s="14">
        <v>45859</v>
      </c>
      <c r="G316" s="15">
        <v>2566.21</v>
      </c>
      <c r="H316" s="13" t="s">
        <v>1410</v>
      </c>
      <c r="I316" s="13" t="s">
        <v>1411</v>
      </c>
      <c r="J316" s="13" t="s">
        <v>136</v>
      </c>
      <c r="K316" s="13">
        <f t="shared" si="20"/>
        <v>2</v>
      </c>
      <c r="L316" s="13">
        <f t="shared" si="21"/>
        <v>0</v>
      </c>
      <c r="M316" s="13">
        <f>IF(AND(L316=0,COUNTIFS($B$2:$B$1534,B316,$G$2:$G$1534,G316,$E$2:$E$1534,"&gt;="&amp;(E316-Assumptions!$B$5),$E$2:$E$1534,"&lt;="&amp;(E316+Assumptions!$B$5))&gt;1),1,0)</f>
        <v>0</v>
      </c>
      <c r="N316" s="13">
        <f>IF(AND(G316&gt;=Assumptions!$B$4*(1-Assumptions!$B$6),G316&lt;Assumptions!$B$4),1,0)</f>
        <v>0</v>
      </c>
      <c r="O316" s="13">
        <f>IF(AND(G316&gt;=Assumptions!$B$7,MOD(G316,Assumptions!$B$7)=0),1,0)</f>
        <v>0</v>
      </c>
      <c r="P316" s="13">
        <f t="shared" si="22"/>
        <v>0</v>
      </c>
      <c r="Q316" s="13">
        <f t="shared" si="23"/>
        <v>0</v>
      </c>
      <c r="R316" s="13">
        <f>L316*Assumptions!$B$11+M316*Assumptions!$B$12+N316*Assumptions!$B$13+O316*Assumptions!$B$14+P316*Assumptions!$B$15+Q316*Assumptions!$B$16</f>
        <v>0</v>
      </c>
      <c r="S316" s="13" t="str">
        <f>IF(R316&gt;=Assumptions!$B$20,"High",IF(R316&gt;=Assumptions!$B$21,"Medium",IF(R316&gt;=1,"Low","Clear")))</f>
        <v>Clear</v>
      </c>
      <c r="T316" s="13" t="str">
        <f t="shared" si="24"/>
        <v/>
      </c>
    </row>
    <row r="317" spans="1:20" x14ac:dyDescent="0.35">
      <c r="A317" s="13" t="s">
        <v>1412</v>
      </c>
      <c r="B317" s="13" t="s">
        <v>774</v>
      </c>
      <c r="C317" s="13" t="s">
        <v>775</v>
      </c>
      <c r="D317" s="13" t="s">
        <v>1413</v>
      </c>
      <c r="E317" s="14">
        <v>45829</v>
      </c>
      <c r="F317" s="14">
        <v>45859</v>
      </c>
      <c r="G317" s="15">
        <v>632782.71</v>
      </c>
      <c r="H317" s="13" t="s">
        <v>1414</v>
      </c>
      <c r="I317" s="13" t="s">
        <v>1415</v>
      </c>
      <c r="J317" s="13" t="s">
        <v>143</v>
      </c>
      <c r="K317" s="13">
        <f t="shared" si="20"/>
        <v>6</v>
      </c>
      <c r="L317" s="13">
        <f t="shared" si="21"/>
        <v>0</v>
      </c>
      <c r="M317" s="13">
        <f>IF(AND(L317=0,COUNTIFS($B$2:$B$1534,B317,$G$2:$G$1534,G317,$E$2:$E$1534,"&gt;="&amp;(E317-Assumptions!$B$5),$E$2:$E$1534,"&lt;="&amp;(E317+Assumptions!$B$5))&gt;1),1,0)</f>
        <v>0</v>
      </c>
      <c r="N317" s="13">
        <f>IF(AND(G317&gt;=Assumptions!$B$4*(1-Assumptions!$B$6),G317&lt;Assumptions!$B$4),1,0)</f>
        <v>0</v>
      </c>
      <c r="O317" s="13">
        <f>IF(AND(G317&gt;=Assumptions!$B$7,MOD(G317,Assumptions!$B$7)=0),1,0)</f>
        <v>0</v>
      </c>
      <c r="P317" s="13">
        <f t="shared" si="22"/>
        <v>0</v>
      </c>
      <c r="Q317" s="13">
        <f t="shared" si="23"/>
        <v>0</v>
      </c>
      <c r="R317" s="13">
        <f>L317*Assumptions!$B$11+M317*Assumptions!$B$12+N317*Assumptions!$B$13+O317*Assumptions!$B$14+P317*Assumptions!$B$15+Q317*Assumptions!$B$16</f>
        <v>0</v>
      </c>
      <c r="S317" s="13" t="str">
        <f>IF(R317&gt;=Assumptions!$B$20,"High",IF(R317&gt;=Assumptions!$B$21,"Medium",IF(R317&gt;=1,"Low","Clear")))</f>
        <v>Clear</v>
      </c>
      <c r="T317" s="13" t="str">
        <f t="shared" si="24"/>
        <v/>
      </c>
    </row>
    <row r="318" spans="1:20" x14ac:dyDescent="0.35">
      <c r="A318" s="13" t="s">
        <v>1416</v>
      </c>
      <c r="B318" s="13" t="s">
        <v>234</v>
      </c>
      <c r="C318" s="13" t="s">
        <v>235</v>
      </c>
      <c r="D318" s="13" t="s">
        <v>1417</v>
      </c>
      <c r="E318" s="14">
        <v>45822</v>
      </c>
      <c r="F318" s="14">
        <v>45859</v>
      </c>
      <c r="G318" s="15">
        <v>408162.6</v>
      </c>
      <c r="H318" s="13" t="s">
        <v>1418</v>
      </c>
      <c r="I318" s="13" t="s">
        <v>1419</v>
      </c>
      <c r="J318" s="13" t="s">
        <v>98</v>
      </c>
      <c r="K318" s="13">
        <f t="shared" si="20"/>
        <v>4</v>
      </c>
      <c r="L318" s="13">
        <f t="shared" si="21"/>
        <v>0</v>
      </c>
      <c r="M318" s="13">
        <f>IF(AND(L318=0,COUNTIFS($B$2:$B$1534,B318,$G$2:$G$1534,G318,$E$2:$E$1534,"&gt;="&amp;(E318-Assumptions!$B$5),$E$2:$E$1534,"&lt;="&amp;(E318+Assumptions!$B$5))&gt;1),1,0)</f>
        <v>0</v>
      </c>
      <c r="N318" s="13">
        <f>IF(AND(G318&gt;=Assumptions!$B$4*(1-Assumptions!$B$6),G318&lt;Assumptions!$B$4),1,0)</f>
        <v>0</v>
      </c>
      <c r="O318" s="13">
        <f>IF(AND(G318&gt;=Assumptions!$B$7,MOD(G318,Assumptions!$B$7)=0),1,0)</f>
        <v>0</v>
      </c>
      <c r="P318" s="13">
        <f t="shared" si="22"/>
        <v>0</v>
      </c>
      <c r="Q318" s="13">
        <f t="shared" si="23"/>
        <v>0</v>
      </c>
      <c r="R318" s="13">
        <f>L318*Assumptions!$B$11+M318*Assumptions!$B$12+N318*Assumptions!$B$13+O318*Assumptions!$B$14+P318*Assumptions!$B$15+Q318*Assumptions!$B$16</f>
        <v>0</v>
      </c>
      <c r="S318" s="13" t="str">
        <f>IF(R318&gt;=Assumptions!$B$20,"High",IF(R318&gt;=Assumptions!$B$21,"Medium",IF(R318&gt;=1,"Low","Clear")))</f>
        <v>Clear</v>
      </c>
      <c r="T318" s="13" t="str">
        <f t="shared" si="24"/>
        <v/>
      </c>
    </row>
    <row r="319" spans="1:20" x14ac:dyDescent="0.35">
      <c r="A319" s="13" t="s">
        <v>1420</v>
      </c>
      <c r="B319" s="13" t="s">
        <v>131</v>
      </c>
      <c r="C319" s="13" t="s">
        <v>132</v>
      </c>
      <c r="D319" s="13" t="s">
        <v>1421</v>
      </c>
      <c r="E319" s="14">
        <v>45826</v>
      </c>
      <c r="F319" s="14">
        <v>45859</v>
      </c>
      <c r="G319" s="15">
        <v>136468.20000000001</v>
      </c>
      <c r="H319" s="13" t="s">
        <v>1422</v>
      </c>
      <c r="I319" s="13" t="s">
        <v>1423</v>
      </c>
      <c r="J319" s="13" t="s">
        <v>136</v>
      </c>
      <c r="K319" s="13">
        <f t="shared" si="20"/>
        <v>1</v>
      </c>
      <c r="L319" s="13">
        <f t="shared" si="21"/>
        <v>0</v>
      </c>
      <c r="M319" s="13">
        <f>IF(AND(L319=0,COUNTIFS($B$2:$B$1534,B319,$G$2:$G$1534,G319,$E$2:$E$1534,"&gt;="&amp;(E319-Assumptions!$B$5),$E$2:$E$1534,"&lt;="&amp;(E319+Assumptions!$B$5))&gt;1),1,0)</f>
        <v>0</v>
      </c>
      <c r="N319" s="13">
        <f>IF(AND(G319&gt;=Assumptions!$B$4*(1-Assumptions!$B$6),G319&lt;Assumptions!$B$4),1,0)</f>
        <v>0</v>
      </c>
      <c r="O319" s="13">
        <f>IF(AND(G319&gt;=Assumptions!$B$7,MOD(G319,Assumptions!$B$7)=0),1,0)</f>
        <v>0</v>
      </c>
      <c r="P319" s="13">
        <f t="shared" si="22"/>
        <v>0</v>
      </c>
      <c r="Q319" s="13">
        <f t="shared" si="23"/>
        <v>0</v>
      </c>
      <c r="R319" s="13">
        <f>L319*Assumptions!$B$11+M319*Assumptions!$B$12+N319*Assumptions!$B$13+O319*Assumptions!$B$14+P319*Assumptions!$B$15+Q319*Assumptions!$B$16</f>
        <v>0</v>
      </c>
      <c r="S319" s="13" t="str">
        <f>IF(R319&gt;=Assumptions!$B$20,"High",IF(R319&gt;=Assumptions!$B$21,"Medium",IF(R319&gt;=1,"Low","Clear")))</f>
        <v>Clear</v>
      </c>
      <c r="T319" s="13" t="str">
        <f t="shared" si="24"/>
        <v/>
      </c>
    </row>
    <row r="320" spans="1:20" x14ac:dyDescent="0.35">
      <c r="A320" s="13" t="s">
        <v>1424</v>
      </c>
      <c r="B320" s="13" t="s">
        <v>131</v>
      </c>
      <c r="C320" s="13" t="s">
        <v>132</v>
      </c>
      <c r="D320" s="13" t="s">
        <v>1425</v>
      </c>
      <c r="E320" s="14">
        <v>45823</v>
      </c>
      <c r="F320" s="14">
        <v>45859</v>
      </c>
      <c r="G320" s="15">
        <v>2109.16</v>
      </c>
      <c r="H320" s="13" t="s">
        <v>1426</v>
      </c>
      <c r="I320" s="13" t="s">
        <v>1427</v>
      </c>
      <c r="J320" s="13" t="s">
        <v>98</v>
      </c>
      <c r="K320" s="13">
        <f t="shared" si="20"/>
        <v>2</v>
      </c>
      <c r="L320" s="13">
        <f t="shared" si="21"/>
        <v>0</v>
      </c>
      <c r="M320" s="13">
        <f>IF(AND(L320=0,COUNTIFS($B$2:$B$1534,B320,$G$2:$G$1534,G320,$E$2:$E$1534,"&gt;="&amp;(E320-Assumptions!$B$5),$E$2:$E$1534,"&lt;="&amp;(E320+Assumptions!$B$5))&gt;1),1,0)</f>
        <v>0</v>
      </c>
      <c r="N320" s="13">
        <f>IF(AND(G320&gt;=Assumptions!$B$4*(1-Assumptions!$B$6),G320&lt;Assumptions!$B$4),1,0)</f>
        <v>0</v>
      </c>
      <c r="O320" s="13">
        <f>IF(AND(G320&gt;=Assumptions!$B$7,MOD(G320,Assumptions!$B$7)=0),1,0)</f>
        <v>0</v>
      </c>
      <c r="P320" s="13">
        <f t="shared" si="22"/>
        <v>0</v>
      </c>
      <c r="Q320" s="13">
        <f t="shared" si="23"/>
        <v>0</v>
      </c>
      <c r="R320" s="13">
        <f>L320*Assumptions!$B$11+M320*Assumptions!$B$12+N320*Assumptions!$B$13+O320*Assumptions!$B$14+P320*Assumptions!$B$15+Q320*Assumptions!$B$16</f>
        <v>0</v>
      </c>
      <c r="S320" s="13" t="str">
        <f>IF(R320&gt;=Assumptions!$B$20,"High",IF(R320&gt;=Assumptions!$B$21,"Medium",IF(R320&gt;=1,"Low","Clear")))</f>
        <v>Clear</v>
      </c>
      <c r="T320" s="13" t="str">
        <f t="shared" si="24"/>
        <v/>
      </c>
    </row>
    <row r="321" spans="1:20" x14ac:dyDescent="0.35">
      <c r="A321" s="13" t="s">
        <v>1428</v>
      </c>
      <c r="B321" s="13" t="s">
        <v>206</v>
      </c>
      <c r="C321" s="13" t="s">
        <v>207</v>
      </c>
      <c r="D321" s="13" t="s">
        <v>1429</v>
      </c>
      <c r="E321" s="14">
        <v>45825</v>
      </c>
      <c r="F321" s="14">
        <v>45859</v>
      </c>
      <c r="G321" s="15">
        <v>1602.72</v>
      </c>
      <c r="H321" s="13" t="s">
        <v>1430</v>
      </c>
      <c r="I321" s="13" t="s">
        <v>1431</v>
      </c>
      <c r="J321" s="13" t="s">
        <v>170</v>
      </c>
      <c r="K321" s="13">
        <f t="shared" si="20"/>
        <v>1</v>
      </c>
      <c r="L321" s="13">
        <f t="shared" si="21"/>
        <v>0</v>
      </c>
      <c r="M321" s="13">
        <f>IF(AND(L321=0,COUNTIFS($B$2:$B$1534,B321,$G$2:$G$1534,G321,$E$2:$E$1534,"&gt;="&amp;(E321-Assumptions!$B$5),$E$2:$E$1534,"&lt;="&amp;(E321+Assumptions!$B$5))&gt;1),1,0)</f>
        <v>0</v>
      </c>
      <c r="N321" s="13">
        <f>IF(AND(G321&gt;=Assumptions!$B$4*(1-Assumptions!$B$6),G321&lt;Assumptions!$B$4),1,0)</f>
        <v>0</v>
      </c>
      <c r="O321" s="13">
        <f>IF(AND(G321&gt;=Assumptions!$B$7,MOD(G321,Assumptions!$B$7)=0),1,0)</f>
        <v>0</v>
      </c>
      <c r="P321" s="13">
        <f t="shared" si="22"/>
        <v>0</v>
      </c>
      <c r="Q321" s="13">
        <f t="shared" si="23"/>
        <v>0</v>
      </c>
      <c r="R321" s="13">
        <f>L321*Assumptions!$B$11+M321*Assumptions!$B$12+N321*Assumptions!$B$13+O321*Assumptions!$B$14+P321*Assumptions!$B$15+Q321*Assumptions!$B$16</f>
        <v>0</v>
      </c>
      <c r="S321" s="13" t="str">
        <f>IF(R321&gt;=Assumptions!$B$20,"High",IF(R321&gt;=Assumptions!$B$21,"Medium",IF(R321&gt;=1,"Low","Clear")))</f>
        <v>Clear</v>
      </c>
      <c r="T321" s="13" t="str">
        <f t="shared" si="24"/>
        <v/>
      </c>
    </row>
    <row r="322" spans="1:20" x14ac:dyDescent="0.35">
      <c r="A322" s="13" t="s">
        <v>1432</v>
      </c>
      <c r="B322" s="13" t="s">
        <v>323</v>
      </c>
      <c r="C322" s="13" t="s">
        <v>324</v>
      </c>
      <c r="D322" s="13" t="s">
        <v>1433</v>
      </c>
      <c r="E322" s="14">
        <v>45818</v>
      </c>
      <c r="F322" s="14">
        <v>45859</v>
      </c>
      <c r="G322" s="15">
        <v>4946.5200000000004</v>
      </c>
      <c r="H322" s="13" t="s">
        <v>1434</v>
      </c>
      <c r="I322" s="13" t="s">
        <v>1435</v>
      </c>
      <c r="J322" s="13" t="s">
        <v>111</v>
      </c>
      <c r="K322" s="13">
        <f t="shared" ref="K322:K385" si="25">VALUE(LEFT(TEXT(G322,"0"),1))</f>
        <v>4</v>
      </c>
      <c r="L322" s="13">
        <f t="shared" ref="L322:L385" si="26">IF(COUNTIFS($B$2:$B$1534,B322,$D$2:$D$1534,D322)&gt;1,1,0)</f>
        <v>0</v>
      </c>
      <c r="M322" s="13">
        <f>IF(AND(L322=0,COUNTIFS($B$2:$B$1534,B322,$G$2:$G$1534,G322,$E$2:$E$1534,"&gt;="&amp;(E322-Assumptions!$B$5),$E$2:$E$1534,"&lt;="&amp;(E322+Assumptions!$B$5))&gt;1),1,0)</f>
        <v>0</v>
      </c>
      <c r="N322" s="13">
        <f>IF(AND(G322&gt;=Assumptions!$B$4*(1-Assumptions!$B$6),G322&lt;Assumptions!$B$4),1,0)</f>
        <v>0</v>
      </c>
      <c r="O322" s="13">
        <f>IF(AND(G322&gt;=Assumptions!$B$7,MOD(G322,Assumptions!$B$7)=0),1,0)</f>
        <v>0</v>
      </c>
      <c r="P322" s="13">
        <f t="shared" ref="P322:P385" si="27">IF(OR(H322="",I322=""),1,0)</f>
        <v>0</v>
      </c>
      <c r="Q322" s="13">
        <f t="shared" ref="Q322:Q385" si="28">IF(WEEKDAY(F322,2)&gt;5,1,0)</f>
        <v>0</v>
      </c>
      <c r="R322" s="13">
        <f>L322*Assumptions!$B$11+M322*Assumptions!$B$12+N322*Assumptions!$B$13+O322*Assumptions!$B$14+P322*Assumptions!$B$15+Q322*Assumptions!$B$16</f>
        <v>0</v>
      </c>
      <c r="S322" s="13" t="str">
        <f>IF(R322&gt;=Assumptions!$B$20,"High",IF(R322&gt;=Assumptions!$B$21,"Medium",IF(R322&gt;=1,"Low","Clear")))</f>
        <v>Clear</v>
      </c>
      <c r="T322" s="13" t="str">
        <f t="shared" ref="T322:T385" si="29">IF(R322=0,"",IF(L322=1,"Duplicate invoice; ","")&amp;IF(M322=1,"Near-duplicate; ","")&amp;IF(N322=1,"Just below limit; ","")&amp;IF(O322=1,"Round amount; ","")&amp;IF(P322=1,"No PO/GRN; ","")&amp;IF(Q322=1,"Weekend payment; ",""))</f>
        <v/>
      </c>
    </row>
    <row r="323" spans="1:20" x14ac:dyDescent="0.35">
      <c r="A323" s="13" t="s">
        <v>1436</v>
      </c>
      <c r="B323" s="13" t="s">
        <v>100</v>
      </c>
      <c r="C323" s="13" t="s">
        <v>101</v>
      </c>
      <c r="D323" s="13" t="s">
        <v>1437</v>
      </c>
      <c r="E323" s="14">
        <v>45824</v>
      </c>
      <c r="F323" s="14">
        <v>45859</v>
      </c>
      <c r="G323" s="15">
        <v>41280.19</v>
      </c>
      <c r="H323" s="13" t="s">
        <v>1438</v>
      </c>
      <c r="I323" s="13" t="s">
        <v>1439</v>
      </c>
      <c r="J323" s="13" t="s">
        <v>91</v>
      </c>
      <c r="K323" s="13">
        <f t="shared" si="25"/>
        <v>4</v>
      </c>
      <c r="L323" s="13">
        <f t="shared" si="26"/>
        <v>0</v>
      </c>
      <c r="M323" s="13">
        <f>IF(AND(L323=0,COUNTIFS($B$2:$B$1534,B323,$G$2:$G$1534,G323,$E$2:$E$1534,"&gt;="&amp;(E323-Assumptions!$B$5),$E$2:$E$1534,"&lt;="&amp;(E323+Assumptions!$B$5))&gt;1),1,0)</f>
        <v>0</v>
      </c>
      <c r="N323" s="13">
        <f>IF(AND(G323&gt;=Assumptions!$B$4*(1-Assumptions!$B$6),G323&lt;Assumptions!$B$4),1,0)</f>
        <v>0</v>
      </c>
      <c r="O323" s="13">
        <f>IF(AND(G323&gt;=Assumptions!$B$7,MOD(G323,Assumptions!$B$7)=0),1,0)</f>
        <v>0</v>
      </c>
      <c r="P323" s="13">
        <f t="shared" si="27"/>
        <v>0</v>
      </c>
      <c r="Q323" s="13">
        <f t="shared" si="28"/>
        <v>0</v>
      </c>
      <c r="R323" s="13">
        <f>L323*Assumptions!$B$11+M323*Assumptions!$B$12+N323*Assumptions!$B$13+O323*Assumptions!$B$14+P323*Assumptions!$B$15+Q323*Assumptions!$B$16</f>
        <v>0</v>
      </c>
      <c r="S323" s="13" t="str">
        <f>IF(R323&gt;=Assumptions!$B$20,"High",IF(R323&gt;=Assumptions!$B$21,"Medium",IF(R323&gt;=1,"Low","Clear")))</f>
        <v>Clear</v>
      </c>
      <c r="T323" s="13" t="str">
        <f t="shared" si="29"/>
        <v/>
      </c>
    </row>
    <row r="324" spans="1:20" x14ac:dyDescent="0.35">
      <c r="A324" s="13" t="s">
        <v>1440</v>
      </c>
      <c r="B324" s="13" t="s">
        <v>100</v>
      </c>
      <c r="C324" s="13" t="s">
        <v>101</v>
      </c>
      <c r="D324" s="13" t="s">
        <v>1441</v>
      </c>
      <c r="E324" s="14">
        <v>45819</v>
      </c>
      <c r="F324" s="14">
        <v>45859</v>
      </c>
      <c r="G324" s="15">
        <v>8100.24</v>
      </c>
      <c r="H324" s="13" t="s">
        <v>1442</v>
      </c>
      <c r="I324" s="13" t="s">
        <v>1443</v>
      </c>
      <c r="J324" s="13" t="s">
        <v>143</v>
      </c>
      <c r="K324" s="13">
        <f t="shared" si="25"/>
        <v>8</v>
      </c>
      <c r="L324" s="13">
        <f t="shared" si="26"/>
        <v>0</v>
      </c>
      <c r="M324" s="13">
        <f>IF(AND(L324=0,COUNTIFS($B$2:$B$1534,B324,$G$2:$G$1534,G324,$E$2:$E$1534,"&gt;="&amp;(E324-Assumptions!$B$5),$E$2:$E$1534,"&lt;="&amp;(E324+Assumptions!$B$5))&gt;1),1,0)</f>
        <v>0</v>
      </c>
      <c r="N324" s="13">
        <f>IF(AND(G324&gt;=Assumptions!$B$4*(1-Assumptions!$B$6),G324&lt;Assumptions!$B$4),1,0)</f>
        <v>0</v>
      </c>
      <c r="O324" s="13">
        <f>IF(AND(G324&gt;=Assumptions!$B$7,MOD(G324,Assumptions!$B$7)=0),1,0)</f>
        <v>0</v>
      </c>
      <c r="P324" s="13">
        <f t="shared" si="27"/>
        <v>0</v>
      </c>
      <c r="Q324" s="13">
        <f t="shared" si="28"/>
        <v>0</v>
      </c>
      <c r="R324" s="13">
        <f>L324*Assumptions!$B$11+M324*Assumptions!$B$12+N324*Assumptions!$B$13+O324*Assumptions!$B$14+P324*Assumptions!$B$15+Q324*Assumptions!$B$16</f>
        <v>0</v>
      </c>
      <c r="S324" s="13" t="str">
        <f>IF(R324&gt;=Assumptions!$B$20,"High",IF(R324&gt;=Assumptions!$B$21,"Medium",IF(R324&gt;=1,"Low","Clear")))</f>
        <v>Clear</v>
      </c>
      <c r="T324" s="13" t="str">
        <f t="shared" si="29"/>
        <v/>
      </c>
    </row>
    <row r="325" spans="1:20" x14ac:dyDescent="0.35">
      <c r="A325" s="13" t="s">
        <v>1444</v>
      </c>
      <c r="B325" s="13" t="s">
        <v>100</v>
      </c>
      <c r="C325" s="13" t="s">
        <v>101</v>
      </c>
      <c r="D325" s="13" t="s">
        <v>1445</v>
      </c>
      <c r="E325" s="14">
        <v>45820</v>
      </c>
      <c r="F325" s="14">
        <v>45859</v>
      </c>
      <c r="G325" s="15">
        <v>78923.429999999993</v>
      </c>
      <c r="H325" s="13" t="s">
        <v>1446</v>
      </c>
      <c r="I325" s="13" t="s">
        <v>1447</v>
      </c>
      <c r="J325" s="13" t="s">
        <v>98</v>
      </c>
      <c r="K325" s="13">
        <f t="shared" si="25"/>
        <v>7</v>
      </c>
      <c r="L325" s="13">
        <f t="shared" si="26"/>
        <v>0</v>
      </c>
      <c r="M325" s="13">
        <f>IF(AND(L325=0,COUNTIFS($B$2:$B$1534,B325,$G$2:$G$1534,G325,$E$2:$E$1534,"&gt;="&amp;(E325-Assumptions!$B$5),$E$2:$E$1534,"&lt;="&amp;(E325+Assumptions!$B$5))&gt;1),1,0)</f>
        <v>0</v>
      </c>
      <c r="N325" s="13">
        <f>IF(AND(G325&gt;=Assumptions!$B$4*(1-Assumptions!$B$6),G325&lt;Assumptions!$B$4),1,0)</f>
        <v>0</v>
      </c>
      <c r="O325" s="13">
        <f>IF(AND(G325&gt;=Assumptions!$B$7,MOD(G325,Assumptions!$B$7)=0),1,0)</f>
        <v>0</v>
      </c>
      <c r="P325" s="13">
        <f t="shared" si="27"/>
        <v>0</v>
      </c>
      <c r="Q325" s="13">
        <f t="shared" si="28"/>
        <v>0</v>
      </c>
      <c r="R325" s="13">
        <f>L325*Assumptions!$B$11+M325*Assumptions!$B$12+N325*Assumptions!$B$13+O325*Assumptions!$B$14+P325*Assumptions!$B$15+Q325*Assumptions!$B$16</f>
        <v>0</v>
      </c>
      <c r="S325" s="13" t="str">
        <f>IF(R325&gt;=Assumptions!$B$20,"High",IF(R325&gt;=Assumptions!$B$21,"Medium",IF(R325&gt;=1,"Low","Clear")))</f>
        <v>Clear</v>
      </c>
      <c r="T325" s="13" t="str">
        <f t="shared" si="29"/>
        <v/>
      </c>
    </row>
    <row r="326" spans="1:20" x14ac:dyDescent="0.35">
      <c r="A326" s="13" t="s">
        <v>1448</v>
      </c>
      <c r="B326" s="13" t="s">
        <v>145</v>
      </c>
      <c r="C326" s="13" t="s">
        <v>146</v>
      </c>
      <c r="D326" s="13" t="s">
        <v>1449</v>
      </c>
      <c r="E326" s="14">
        <v>45831</v>
      </c>
      <c r="F326" s="14">
        <v>45859</v>
      </c>
      <c r="G326" s="15">
        <v>194469.98</v>
      </c>
      <c r="H326" s="13" t="s">
        <v>1450</v>
      </c>
      <c r="I326" s="13" t="s">
        <v>1451</v>
      </c>
      <c r="J326" s="13" t="s">
        <v>91</v>
      </c>
      <c r="K326" s="13">
        <f t="shared" si="25"/>
        <v>1</v>
      </c>
      <c r="L326" s="13">
        <f t="shared" si="26"/>
        <v>0</v>
      </c>
      <c r="M326" s="13">
        <f>IF(AND(L326=0,COUNTIFS($B$2:$B$1534,B326,$G$2:$G$1534,G326,$E$2:$E$1534,"&gt;="&amp;(E326-Assumptions!$B$5),$E$2:$E$1534,"&lt;="&amp;(E326+Assumptions!$B$5))&gt;1),1,0)</f>
        <v>0</v>
      </c>
      <c r="N326" s="13">
        <f>IF(AND(G326&gt;=Assumptions!$B$4*(1-Assumptions!$B$6),G326&lt;Assumptions!$B$4),1,0)</f>
        <v>0</v>
      </c>
      <c r="O326" s="13">
        <f>IF(AND(G326&gt;=Assumptions!$B$7,MOD(G326,Assumptions!$B$7)=0),1,0)</f>
        <v>0</v>
      </c>
      <c r="P326" s="13">
        <f t="shared" si="27"/>
        <v>0</v>
      </c>
      <c r="Q326" s="13">
        <f t="shared" si="28"/>
        <v>0</v>
      </c>
      <c r="R326" s="13">
        <f>L326*Assumptions!$B$11+M326*Assumptions!$B$12+N326*Assumptions!$B$13+O326*Assumptions!$B$14+P326*Assumptions!$B$15+Q326*Assumptions!$B$16</f>
        <v>0</v>
      </c>
      <c r="S326" s="13" t="str">
        <f>IF(R326&gt;=Assumptions!$B$20,"High",IF(R326&gt;=Assumptions!$B$21,"Medium",IF(R326&gt;=1,"Low","Clear")))</f>
        <v>Clear</v>
      </c>
      <c r="T326" s="13" t="str">
        <f t="shared" si="29"/>
        <v/>
      </c>
    </row>
    <row r="327" spans="1:20" x14ac:dyDescent="0.35">
      <c r="A327" s="13" t="s">
        <v>1452</v>
      </c>
      <c r="B327" s="13" t="s">
        <v>391</v>
      </c>
      <c r="C327" s="13" t="s">
        <v>392</v>
      </c>
      <c r="D327" s="13" t="s">
        <v>1453</v>
      </c>
      <c r="E327" s="14">
        <v>45820</v>
      </c>
      <c r="F327" s="14">
        <v>45860</v>
      </c>
      <c r="G327" s="15">
        <v>823058.98</v>
      </c>
      <c r="H327" s="13" t="s">
        <v>1454</v>
      </c>
      <c r="I327" s="13" t="s">
        <v>1455</v>
      </c>
      <c r="J327" s="13" t="s">
        <v>143</v>
      </c>
      <c r="K327" s="13">
        <f t="shared" si="25"/>
        <v>8</v>
      </c>
      <c r="L327" s="13">
        <f t="shared" si="26"/>
        <v>0</v>
      </c>
      <c r="M327" s="13">
        <f>IF(AND(L327=0,COUNTIFS($B$2:$B$1534,B327,$G$2:$G$1534,G327,$E$2:$E$1534,"&gt;="&amp;(E327-Assumptions!$B$5),$E$2:$E$1534,"&lt;="&amp;(E327+Assumptions!$B$5))&gt;1),1,0)</f>
        <v>0</v>
      </c>
      <c r="N327" s="13">
        <f>IF(AND(G327&gt;=Assumptions!$B$4*(1-Assumptions!$B$6),G327&lt;Assumptions!$B$4),1,0)</f>
        <v>0</v>
      </c>
      <c r="O327" s="13">
        <f>IF(AND(G327&gt;=Assumptions!$B$7,MOD(G327,Assumptions!$B$7)=0),1,0)</f>
        <v>0</v>
      </c>
      <c r="P327" s="13">
        <f t="shared" si="27"/>
        <v>0</v>
      </c>
      <c r="Q327" s="13">
        <f t="shared" si="28"/>
        <v>0</v>
      </c>
      <c r="R327" s="13">
        <f>L327*Assumptions!$B$11+M327*Assumptions!$B$12+N327*Assumptions!$B$13+O327*Assumptions!$B$14+P327*Assumptions!$B$15+Q327*Assumptions!$B$16</f>
        <v>0</v>
      </c>
      <c r="S327" s="13" t="str">
        <f>IF(R327&gt;=Assumptions!$B$20,"High",IF(R327&gt;=Assumptions!$B$21,"Medium",IF(R327&gt;=1,"Low","Clear")))</f>
        <v>Clear</v>
      </c>
      <c r="T327" s="13" t="str">
        <f t="shared" si="29"/>
        <v/>
      </c>
    </row>
    <row r="328" spans="1:20" x14ac:dyDescent="0.35">
      <c r="A328" s="13" t="s">
        <v>1456</v>
      </c>
      <c r="B328" s="13" t="s">
        <v>228</v>
      </c>
      <c r="C328" s="13" t="s">
        <v>229</v>
      </c>
      <c r="D328" s="13" t="s">
        <v>1457</v>
      </c>
      <c r="E328" s="14">
        <v>45830</v>
      </c>
      <c r="F328" s="14">
        <v>45860</v>
      </c>
      <c r="G328" s="15">
        <v>17176.52</v>
      </c>
      <c r="H328" s="13" t="s">
        <v>1458</v>
      </c>
      <c r="I328" s="13" t="s">
        <v>1459</v>
      </c>
      <c r="J328" s="13" t="s">
        <v>136</v>
      </c>
      <c r="K328" s="13">
        <f t="shared" si="25"/>
        <v>1</v>
      </c>
      <c r="L328" s="13">
        <f t="shared" si="26"/>
        <v>0</v>
      </c>
      <c r="M328" s="13">
        <f>IF(AND(L328=0,COUNTIFS($B$2:$B$1534,B328,$G$2:$G$1534,G328,$E$2:$E$1534,"&gt;="&amp;(E328-Assumptions!$B$5),$E$2:$E$1534,"&lt;="&amp;(E328+Assumptions!$B$5))&gt;1),1,0)</f>
        <v>0</v>
      </c>
      <c r="N328" s="13">
        <f>IF(AND(G328&gt;=Assumptions!$B$4*(1-Assumptions!$B$6),G328&lt;Assumptions!$B$4),1,0)</f>
        <v>0</v>
      </c>
      <c r="O328" s="13">
        <f>IF(AND(G328&gt;=Assumptions!$B$7,MOD(G328,Assumptions!$B$7)=0),1,0)</f>
        <v>0</v>
      </c>
      <c r="P328" s="13">
        <f t="shared" si="27"/>
        <v>0</v>
      </c>
      <c r="Q328" s="13">
        <f t="shared" si="28"/>
        <v>0</v>
      </c>
      <c r="R328" s="13">
        <f>L328*Assumptions!$B$11+M328*Assumptions!$B$12+N328*Assumptions!$B$13+O328*Assumptions!$B$14+P328*Assumptions!$B$15+Q328*Assumptions!$B$16</f>
        <v>0</v>
      </c>
      <c r="S328" s="13" t="str">
        <f>IF(R328&gt;=Assumptions!$B$20,"High",IF(R328&gt;=Assumptions!$B$21,"Medium",IF(R328&gt;=1,"Low","Clear")))</f>
        <v>Clear</v>
      </c>
      <c r="T328" s="13" t="str">
        <f t="shared" si="29"/>
        <v/>
      </c>
    </row>
    <row r="329" spans="1:20" x14ac:dyDescent="0.35">
      <c r="A329" s="13" t="s">
        <v>1460</v>
      </c>
      <c r="B329" s="13" t="s">
        <v>228</v>
      </c>
      <c r="C329" s="13" t="s">
        <v>229</v>
      </c>
      <c r="D329" s="13" t="s">
        <v>1461</v>
      </c>
      <c r="E329" s="14">
        <v>45832</v>
      </c>
      <c r="F329" s="14">
        <v>45860</v>
      </c>
      <c r="G329" s="15">
        <v>2168.0700000000002</v>
      </c>
      <c r="H329" s="13"/>
      <c r="I329" s="13"/>
      <c r="J329" s="13" t="s">
        <v>143</v>
      </c>
      <c r="K329" s="13">
        <f t="shared" si="25"/>
        <v>2</v>
      </c>
      <c r="L329" s="13">
        <f t="shared" si="26"/>
        <v>0</v>
      </c>
      <c r="M329" s="13">
        <f>IF(AND(L329=0,COUNTIFS($B$2:$B$1534,B329,$G$2:$G$1534,G329,$E$2:$E$1534,"&gt;="&amp;(E329-Assumptions!$B$5),$E$2:$E$1534,"&lt;="&amp;(E329+Assumptions!$B$5))&gt;1),1,0)</f>
        <v>0</v>
      </c>
      <c r="N329" s="13">
        <f>IF(AND(G329&gt;=Assumptions!$B$4*(1-Assumptions!$B$6),G329&lt;Assumptions!$B$4),1,0)</f>
        <v>0</v>
      </c>
      <c r="O329" s="13">
        <f>IF(AND(G329&gt;=Assumptions!$B$7,MOD(G329,Assumptions!$B$7)=0),1,0)</f>
        <v>0</v>
      </c>
      <c r="P329" s="13">
        <f t="shared" si="27"/>
        <v>1</v>
      </c>
      <c r="Q329" s="13">
        <f t="shared" si="28"/>
        <v>0</v>
      </c>
      <c r="R329" s="13">
        <f>L329*Assumptions!$B$11+M329*Assumptions!$B$12+N329*Assumptions!$B$13+O329*Assumptions!$B$14+P329*Assumptions!$B$15+Q329*Assumptions!$B$16</f>
        <v>4</v>
      </c>
      <c r="S329" s="13" t="str">
        <f>IF(R329&gt;=Assumptions!$B$20,"High",IF(R329&gt;=Assumptions!$B$21,"Medium",IF(R329&gt;=1,"Low","Clear")))</f>
        <v>Medium</v>
      </c>
      <c r="T329" s="13" t="str">
        <f t="shared" si="29"/>
        <v xml:space="preserve">No PO/GRN; </v>
      </c>
    </row>
    <row r="330" spans="1:20" x14ac:dyDescent="0.35">
      <c r="A330" s="13" t="s">
        <v>1462</v>
      </c>
      <c r="B330" s="13" t="s">
        <v>279</v>
      </c>
      <c r="C330" s="13" t="s">
        <v>280</v>
      </c>
      <c r="D330" s="13" t="s">
        <v>1463</v>
      </c>
      <c r="E330" s="14">
        <v>45821</v>
      </c>
      <c r="F330" s="14">
        <v>45860</v>
      </c>
      <c r="G330" s="15">
        <v>5945.09</v>
      </c>
      <c r="H330" s="13" t="s">
        <v>1464</v>
      </c>
      <c r="I330" s="13" t="s">
        <v>1465</v>
      </c>
      <c r="J330" s="13" t="s">
        <v>143</v>
      </c>
      <c r="K330" s="13">
        <f t="shared" si="25"/>
        <v>5</v>
      </c>
      <c r="L330" s="13">
        <f t="shared" si="26"/>
        <v>0</v>
      </c>
      <c r="M330" s="13">
        <f>IF(AND(L330=0,COUNTIFS($B$2:$B$1534,B330,$G$2:$G$1534,G330,$E$2:$E$1534,"&gt;="&amp;(E330-Assumptions!$B$5),$E$2:$E$1534,"&lt;="&amp;(E330+Assumptions!$B$5))&gt;1),1,0)</f>
        <v>0</v>
      </c>
      <c r="N330" s="13">
        <f>IF(AND(G330&gt;=Assumptions!$B$4*(1-Assumptions!$B$6),G330&lt;Assumptions!$B$4),1,0)</f>
        <v>0</v>
      </c>
      <c r="O330" s="13">
        <f>IF(AND(G330&gt;=Assumptions!$B$7,MOD(G330,Assumptions!$B$7)=0),1,0)</f>
        <v>0</v>
      </c>
      <c r="P330" s="13">
        <f t="shared" si="27"/>
        <v>0</v>
      </c>
      <c r="Q330" s="13">
        <f t="shared" si="28"/>
        <v>0</v>
      </c>
      <c r="R330" s="13">
        <f>L330*Assumptions!$B$11+M330*Assumptions!$B$12+N330*Assumptions!$B$13+O330*Assumptions!$B$14+P330*Assumptions!$B$15+Q330*Assumptions!$B$16</f>
        <v>0</v>
      </c>
      <c r="S330" s="13" t="str">
        <f>IF(R330&gt;=Assumptions!$B$20,"High",IF(R330&gt;=Assumptions!$B$21,"Medium",IF(R330&gt;=1,"Low","Clear")))</f>
        <v>Clear</v>
      </c>
      <c r="T330" s="13" t="str">
        <f t="shared" si="29"/>
        <v/>
      </c>
    </row>
    <row r="331" spans="1:20" x14ac:dyDescent="0.35">
      <c r="A331" s="13" t="s">
        <v>1466</v>
      </c>
      <c r="B331" s="13" t="s">
        <v>234</v>
      </c>
      <c r="C331" s="13" t="s">
        <v>235</v>
      </c>
      <c r="D331" s="13" t="s">
        <v>1467</v>
      </c>
      <c r="E331" s="14">
        <v>45837</v>
      </c>
      <c r="F331" s="14">
        <v>45860</v>
      </c>
      <c r="G331" s="15">
        <v>96199.53</v>
      </c>
      <c r="H331" s="13" t="s">
        <v>1468</v>
      </c>
      <c r="I331" s="13" t="s">
        <v>1469</v>
      </c>
      <c r="J331" s="13" t="s">
        <v>111</v>
      </c>
      <c r="K331" s="13">
        <f t="shared" si="25"/>
        <v>9</v>
      </c>
      <c r="L331" s="13">
        <f t="shared" si="26"/>
        <v>0</v>
      </c>
      <c r="M331" s="13">
        <f>IF(AND(L331=0,COUNTIFS($B$2:$B$1534,B331,$G$2:$G$1534,G331,$E$2:$E$1534,"&gt;="&amp;(E331-Assumptions!$B$5),$E$2:$E$1534,"&lt;="&amp;(E331+Assumptions!$B$5))&gt;1),1,0)</f>
        <v>0</v>
      </c>
      <c r="N331" s="13">
        <f>IF(AND(G331&gt;=Assumptions!$B$4*(1-Assumptions!$B$6),G331&lt;Assumptions!$B$4),1,0)</f>
        <v>0</v>
      </c>
      <c r="O331" s="13">
        <f>IF(AND(G331&gt;=Assumptions!$B$7,MOD(G331,Assumptions!$B$7)=0),1,0)</f>
        <v>0</v>
      </c>
      <c r="P331" s="13">
        <f t="shared" si="27"/>
        <v>0</v>
      </c>
      <c r="Q331" s="13">
        <f t="shared" si="28"/>
        <v>0</v>
      </c>
      <c r="R331" s="13">
        <f>L331*Assumptions!$B$11+M331*Assumptions!$B$12+N331*Assumptions!$B$13+O331*Assumptions!$B$14+P331*Assumptions!$B$15+Q331*Assumptions!$B$16</f>
        <v>0</v>
      </c>
      <c r="S331" s="13" t="str">
        <f>IF(R331&gt;=Assumptions!$B$20,"High",IF(R331&gt;=Assumptions!$B$21,"Medium",IF(R331&gt;=1,"Low","Clear")))</f>
        <v>Clear</v>
      </c>
      <c r="T331" s="13" t="str">
        <f t="shared" si="29"/>
        <v/>
      </c>
    </row>
    <row r="332" spans="1:20" x14ac:dyDescent="0.35">
      <c r="A332" s="13" t="s">
        <v>1470</v>
      </c>
      <c r="B332" s="13" t="s">
        <v>113</v>
      </c>
      <c r="C332" s="13" t="s">
        <v>114</v>
      </c>
      <c r="D332" s="13" t="s">
        <v>1471</v>
      </c>
      <c r="E332" s="14">
        <v>45837</v>
      </c>
      <c r="F332" s="14">
        <v>45860</v>
      </c>
      <c r="G332" s="15">
        <v>13263.16</v>
      </c>
      <c r="H332" s="13" t="s">
        <v>1472</v>
      </c>
      <c r="I332" s="13" t="s">
        <v>1473</v>
      </c>
      <c r="J332" s="13" t="s">
        <v>111</v>
      </c>
      <c r="K332" s="13">
        <f t="shared" si="25"/>
        <v>1</v>
      </c>
      <c r="L332" s="13">
        <f t="shared" si="26"/>
        <v>0</v>
      </c>
      <c r="M332" s="13">
        <f>IF(AND(L332=0,COUNTIFS($B$2:$B$1534,B332,$G$2:$G$1534,G332,$E$2:$E$1534,"&gt;="&amp;(E332-Assumptions!$B$5),$E$2:$E$1534,"&lt;="&amp;(E332+Assumptions!$B$5))&gt;1),1,0)</f>
        <v>0</v>
      </c>
      <c r="N332" s="13">
        <f>IF(AND(G332&gt;=Assumptions!$B$4*(1-Assumptions!$B$6),G332&lt;Assumptions!$B$4),1,0)</f>
        <v>0</v>
      </c>
      <c r="O332" s="13">
        <f>IF(AND(G332&gt;=Assumptions!$B$7,MOD(G332,Assumptions!$B$7)=0),1,0)</f>
        <v>0</v>
      </c>
      <c r="P332" s="13">
        <f t="shared" si="27"/>
        <v>0</v>
      </c>
      <c r="Q332" s="13">
        <f t="shared" si="28"/>
        <v>0</v>
      </c>
      <c r="R332" s="13">
        <f>L332*Assumptions!$B$11+M332*Assumptions!$B$12+N332*Assumptions!$B$13+O332*Assumptions!$B$14+P332*Assumptions!$B$15+Q332*Assumptions!$B$16</f>
        <v>0</v>
      </c>
      <c r="S332" s="13" t="str">
        <f>IF(R332&gt;=Assumptions!$B$20,"High",IF(R332&gt;=Assumptions!$B$21,"Medium",IF(R332&gt;=1,"Low","Clear")))</f>
        <v>Clear</v>
      </c>
      <c r="T332" s="13" t="str">
        <f t="shared" si="29"/>
        <v/>
      </c>
    </row>
    <row r="333" spans="1:20" x14ac:dyDescent="0.35">
      <c r="A333" s="13" t="s">
        <v>1474</v>
      </c>
      <c r="B333" s="13" t="s">
        <v>155</v>
      </c>
      <c r="C333" s="13" t="s">
        <v>156</v>
      </c>
      <c r="D333" s="13" t="s">
        <v>1475</v>
      </c>
      <c r="E333" s="14">
        <v>45838</v>
      </c>
      <c r="F333" s="14">
        <v>45860</v>
      </c>
      <c r="G333" s="15">
        <v>3638.56</v>
      </c>
      <c r="H333" s="13" t="s">
        <v>1476</v>
      </c>
      <c r="I333" s="13" t="s">
        <v>1477</v>
      </c>
      <c r="J333" s="13" t="s">
        <v>111</v>
      </c>
      <c r="K333" s="13">
        <f t="shared" si="25"/>
        <v>3</v>
      </c>
      <c r="L333" s="13">
        <f t="shared" si="26"/>
        <v>0</v>
      </c>
      <c r="M333" s="13">
        <f>IF(AND(L333=0,COUNTIFS($B$2:$B$1534,B333,$G$2:$G$1534,G333,$E$2:$E$1534,"&gt;="&amp;(E333-Assumptions!$B$5),$E$2:$E$1534,"&lt;="&amp;(E333+Assumptions!$B$5))&gt;1),1,0)</f>
        <v>0</v>
      </c>
      <c r="N333" s="13">
        <f>IF(AND(G333&gt;=Assumptions!$B$4*(1-Assumptions!$B$6),G333&lt;Assumptions!$B$4),1,0)</f>
        <v>0</v>
      </c>
      <c r="O333" s="13">
        <f>IF(AND(G333&gt;=Assumptions!$B$7,MOD(G333,Assumptions!$B$7)=0),1,0)</f>
        <v>0</v>
      </c>
      <c r="P333" s="13">
        <f t="shared" si="27"/>
        <v>0</v>
      </c>
      <c r="Q333" s="13">
        <f t="shared" si="28"/>
        <v>0</v>
      </c>
      <c r="R333" s="13">
        <f>L333*Assumptions!$B$11+M333*Assumptions!$B$12+N333*Assumptions!$B$13+O333*Assumptions!$B$14+P333*Assumptions!$B$15+Q333*Assumptions!$B$16</f>
        <v>0</v>
      </c>
      <c r="S333" s="13" t="str">
        <f>IF(R333&gt;=Assumptions!$B$20,"High",IF(R333&gt;=Assumptions!$B$21,"Medium",IF(R333&gt;=1,"Low","Clear")))</f>
        <v>Clear</v>
      </c>
      <c r="T333" s="13" t="str">
        <f t="shared" si="29"/>
        <v/>
      </c>
    </row>
    <row r="334" spans="1:20" x14ac:dyDescent="0.35">
      <c r="A334" s="13" t="s">
        <v>1478</v>
      </c>
      <c r="B334" s="13" t="s">
        <v>476</v>
      </c>
      <c r="C334" s="13" t="s">
        <v>477</v>
      </c>
      <c r="D334" s="13" t="s">
        <v>1479</v>
      </c>
      <c r="E334" s="14">
        <v>45826</v>
      </c>
      <c r="F334" s="14">
        <v>45860</v>
      </c>
      <c r="G334" s="15">
        <v>175067.09</v>
      </c>
      <c r="H334" s="13" t="s">
        <v>1480</v>
      </c>
      <c r="I334" s="13" t="s">
        <v>1481</v>
      </c>
      <c r="J334" s="13" t="s">
        <v>98</v>
      </c>
      <c r="K334" s="13">
        <f t="shared" si="25"/>
        <v>1</v>
      </c>
      <c r="L334" s="13">
        <f t="shared" si="26"/>
        <v>0</v>
      </c>
      <c r="M334" s="13">
        <f>IF(AND(L334=0,COUNTIFS($B$2:$B$1534,B334,$G$2:$G$1534,G334,$E$2:$E$1534,"&gt;="&amp;(E334-Assumptions!$B$5),$E$2:$E$1534,"&lt;="&amp;(E334+Assumptions!$B$5))&gt;1),1,0)</f>
        <v>0</v>
      </c>
      <c r="N334" s="13">
        <f>IF(AND(G334&gt;=Assumptions!$B$4*(1-Assumptions!$B$6),G334&lt;Assumptions!$B$4),1,0)</f>
        <v>0</v>
      </c>
      <c r="O334" s="13">
        <f>IF(AND(G334&gt;=Assumptions!$B$7,MOD(G334,Assumptions!$B$7)=0),1,0)</f>
        <v>0</v>
      </c>
      <c r="P334" s="13">
        <f t="shared" si="27"/>
        <v>0</v>
      </c>
      <c r="Q334" s="13">
        <f t="shared" si="28"/>
        <v>0</v>
      </c>
      <c r="R334" s="13">
        <f>L334*Assumptions!$B$11+M334*Assumptions!$B$12+N334*Assumptions!$B$13+O334*Assumptions!$B$14+P334*Assumptions!$B$15+Q334*Assumptions!$B$16</f>
        <v>0</v>
      </c>
      <c r="S334" s="13" t="str">
        <f>IF(R334&gt;=Assumptions!$B$20,"High",IF(R334&gt;=Assumptions!$B$21,"Medium",IF(R334&gt;=1,"Low","Clear")))</f>
        <v>Clear</v>
      </c>
      <c r="T334" s="13" t="str">
        <f t="shared" si="29"/>
        <v/>
      </c>
    </row>
    <row r="335" spans="1:20" x14ac:dyDescent="0.35">
      <c r="A335" s="13" t="s">
        <v>1482</v>
      </c>
      <c r="B335" s="13" t="s">
        <v>106</v>
      </c>
      <c r="C335" s="13" t="s">
        <v>107</v>
      </c>
      <c r="D335" s="13" t="s">
        <v>1483</v>
      </c>
      <c r="E335" s="14">
        <v>45832</v>
      </c>
      <c r="F335" s="14">
        <v>45860</v>
      </c>
      <c r="G335" s="15">
        <v>38284.36</v>
      </c>
      <c r="H335" s="13"/>
      <c r="I335" s="13"/>
      <c r="J335" s="13" t="s">
        <v>143</v>
      </c>
      <c r="K335" s="13">
        <f t="shared" si="25"/>
        <v>3</v>
      </c>
      <c r="L335" s="13">
        <f t="shared" si="26"/>
        <v>0</v>
      </c>
      <c r="M335" s="13">
        <f>IF(AND(L335=0,COUNTIFS($B$2:$B$1534,B335,$G$2:$G$1534,G335,$E$2:$E$1534,"&gt;="&amp;(E335-Assumptions!$B$5),$E$2:$E$1534,"&lt;="&amp;(E335+Assumptions!$B$5))&gt;1),1,0)</f>
        <v>0</v>
      </c>
      <c r="N335" s="13">
        <f>IF(AND(G335&gt;=Assumptions!$B$4*(1-Assumptions!$B$6),G335&lt;Assumptions!$B$4),1,0)</f>
        <v>0</v>
      </c>
      <c r="O335" s="13">
        <f>IF(AND(G335&gt;=Assumptions!$B$7,MOD(G335,Assumptions!$B$7)=0),1,0)</f>
        <v>0</v>
      </c>
      <c r="P335" s="13">
        <f t="shared" si="27"/>
        <v>1</v>
      </c>
      <c r="Q335" s="13">
        <f t="shared" si="28"/>
        <v>0</v>
      </c>
      <c r="R335" s="13">
        <f>L335*Assumptions!$B$11+M335*Assumptions!$B$12+N335*Assumptions!$B$13+O335*Assumptions!$B$14+P335*Assumptions!$B$15+Q335*Assumptions!$B$16</f>
        <v>4</v>
      </c>
      <c r="S335" s="13" t="str">
        <f>IF(R335&gt;=Assumptions!$B$20,"High",IF(R335&gt;=Assumptions!$B$21,"Medium",IF(R335&gt;=1,"Low","Clear")))</f>
        <v>Medium</v>
      </c>
      <c r="T335" s="13" t="str">
        <f t="shared" si="29"/>
        <v xml:space="preserve">No PO/GRN; </v>
      </c>
    </row>
    <row r="336" spans="1:20" x14ac:dyDescent="0.35">
      <c r="A336" s="13" t="s">
        <v>1484</v>
      </c>
      <c r="B336" s="13" t="s">
        <v>357</v>
      </c>
      <c r="C336" s="13" t="s">
        <v>358</v>
      </c>
      <c r="D336" s="13" t="s">
        <v>1485</v>
      </c>
      <c r="E336" s="14">
        <v>45829</v>
      </c>
      <c r="F336" s="14">
        <v>45860</v>
      </c>
      <c r="G336" s="15">
        <v>13138.81</v>
      </c>
      <c r="H336" s="13" t="s">
        <v>1486</v>
      </c>
      <c r="I336" s="13" t="s">
        <v>1487</v>
      </c>
      <c r="J336" s="13" t="s">
        <v>98</v>
      </c>
      <c r="K336" s="13">
        <f t="shared" si="25"/>
        <v>1</v>
      </c>
      <c r="L336" s="13">
        <f t="shared" si="26"/>
        <v>0</v>
      </c>
      <c r="M336" s="13">
        <f>IF(AND(L336=0,COUNTIFS($B$2:$B$1534,B336,$G$2:$G$1534,G336,$E$2:$E$1534,"&gt;="&amp;(E336-Assumptions!$B$5),$E$2:$E$1534,"&lt;="&amp;(E336+Assumptions!$B$5))&gt;1),1,0)</f>
        <v>0</v>
      </c>
      <c r="N336" s="13">
        <f>IF(AND(G336&gt;=Assumptions!$B$4*(1-Assumptions!$B$6),G336&lt;Assumptions!$B$4),1,0)</f>
        <v>0</v>
      </c>
      <c r="O336" s="13">
        <f>IF(AND(G336&gt;=Assumptions!$B$7,MOD(G336,Assumptions!$B$7)=0),1,0)</f>
        <v>0</v>
      </c>
      <c r="P336" s="13">
        <f t="shared" si="27"/>
        <v>0</v>
      </c>
      <c r="Q336" s="13">
        <f t="shared" si="28"/>
        <v>0</v>
      </c>
      <c r="R336" s="13">
        <f>L336*Assumptions!$B$11+M336*Assumptions!$B$12+N336*Assumptions!$B$13+O336*Assumptions!$B$14+P336*Assumptions!$B$15+Q336*Assumptions!$B$16</f>
        <v>0</v>
      </c>
      <c r="S336" s="13" t="str">
        <f>IF(R336&gt;=Assumptions!$B$20,"High",IF(R336&gt;=Assumptions!$B$21,"Medium",IF(R336&gt;=1,"Low","Clear")))</f>
        <v>Clear</v>
      </c>
      <c r="T336" s="13" t="str">
        <f t="shared" si="29"/>
        <v/>
      </c>
    </row>
    <row r="337" spans="1:20" x14ac:dyDescent="0.35">
      <c r="A337" s="13" t="s">
        <v>1488</v>
      </c>
      <c r="B337" s="13" t="s">
        <v>188</v>
      </c>
      <c r="C337" s="13" t="s">
        <v>189</v>
      </c>
      <c r="D337" s="13" t="s">
        <v>1489</v>
      </c>
      <c r="E337" s="14">
        <v>45832</v>
      </c>
      <c r="F337" s="14">
        <v>45861</v>
      </c>
      <c r="G337" s="15">
        <v>60972.23</v>
      </c>
      <c r="H337" s="13" t="s">
        <v>1490</v>
      </c>
      <c r="I337" s="13" t="s">
        <v>1491</v>
      </c>
      <c r="J337" s="13" t="s">
        <v>98</v>
      </c>
      <c r="K337" s="13">
        <f t="shared" si="25"/>
        <v>6</v>
      </c>
      <c r="L337" s="13">
        <f t="shared" si="26"/>
        <v>0</v>
      </c>
      <c r="M337" s="13">
        <f>IF(AND(L337=0,COUNTIFS($B$2:$B$1534,B337,$G$2:$G$1534,G337,$E$2:$E$1534,"&gt;="&amp;(E337-Assumptions!$B$5),$E$2:$E$1534,"&lt;="&amp;(E337+Assumptions!$B$5))&gt;1),1,0)</f>
        <v>0</v>
      </c>
      <c r="N337" s="13">
        <f>IF(AND(G337&gt;=Assumptions!$B$4*(1-Assumptions!$B$6),G337&lt;Assumptions!$B$4),1,0)</f>
        <v>0</v>
      </c>
      <c r="O337" s="13">
        <f>IF(AND(G337&gt;=Assumptions!$B$7,MOD(G337,Assumptions!$B$7)=0),1,0)</f>
        <v>0</v>
      </c>
      <c r="P337" s="13">
        <f t="shared" si="27"/>
        <v>0</v>
      </c>
      <c r="Q337" s="13">
        <f t="shared" si="28"/>
        <v>0</v>
      </c>
      <c r="R337" s="13">
        <f>L337*Assumptions!$B$11+M337*Assumptions!$B$12+N337*Assumptions!$B$13+O337*Assumptions!$B$14+P337*Assumptions!$B$15+Q337*Assumptions!$B$16</f>
        <v>0</v>
      </c>
      <c r="S337" s="13" t="str">
        <f>IF(R337&gt;=Assumptions!$B$20,"High",IF(R337&gt;=Assumptions!$B$21,"Medium",IF(R337&gt;=1,"Low","Clear")))</f>
        <v>Clear</v>
      </c>
      <c r="T337" s="13" t="str">
        <f t="shared" si="29"/>
        <v/>
      </c>
    </row>
    <row r="338" spans="1:20" x14ac:dyDescent="0.35">
      <c r="A338" s="13" t="s">
        <v>1492</v>
      </c>
      <c r="B338" s="13" t="s">
        <v>252</v>
      </c>
      <c r="C338" s="13" t="s">
        <v>253</v>
      </c>
      <c r="D338" s="13" t="s">
        <v>1493</v>
      </c>
      <c r="E338" s="14">
        <v>45823</v>
      </c>
      <c r="F338" s="14">
        <v>45861</v>
      </c>
      <c r="G338" s="15">
        <v>58050.02</v>
      </c>
      <c r="H338" s="13" t="s">
        <v>1494</v>
      </c>
      <c r="I338" s="13" t="s">
        <v>1495</v>
      </c>
      <c r="J338" s="13" t="s">
        <v>111</v>
      </c>
      <c r="K338" s="13">
        <f t="shared" si="25"/>
        <v>5</v>
      </c>
      <c r="L338" s="13">
        <f t="shared" si="26"/>
        <v>0</v>
      </c>
      <c r="M338" s="13">
        <f>IF(AND(L338=0,COUNTIFS($B$2:$B$1534,B338,$G$2:$G$1534,G338,$E$2:$E$1534,"&gt;="&amp;(E338-Assumptions!$B$5),$E$2:$E$1534,"&lt;="&amp;(E338+Assumptions!$B$5))&gt;1),1,0)</f>
        <v>0</v>
      </c>
      <c r="N338" s="13">
        <f>IF(AND(G338&gt;=Assumptions!$B$4*(1-Assumptions!$B$6),G338&lt;Assumptions!$B$4),1,0)</f>
        <v>0</v>
      </c>
      <c r="O338" s="13">
        <f>IF(AND(G338&gt;=Assumptions!$B$7,MOD(G338,Assumptions!$B$7)=0),1,0)</f>
        <v>0</v>
      </c>
      <c r="P338" s="13">
        <f t="shared" si="27"/>
        <v>0</v>
      </c>
      <c r="Q338" s="13">
        <f t="shared" si="28"/>
        <v>0</v>
      </c>
      <c r="R338" s="13">
        <f>L338*Assumptions!$B$11+M338*Assumptions!$B$12+N338*Assumptions!$B$13+O338*Assumptions!$B$14+P338*Assumptions!$B$15+Q338*Assumptions!$B$16</f>
        <v>0</v>
      </c>
      <c r="S338" s="13" t="str">
        <f>IF(R338&gt;=Assumptions!$B$20,"High",IF(R338&gt;=Assumptions!$B$21,"Medium",IF(R338&gt;=1,"Low","Clear")))</f>
        <v>Clear</v>
      </c>
      <c r="T338" s="13" t="str">
        <f t="shared" si="29"/>
        <v/>
      </c>
    </row>
    <row r="339" spans="1:20" x14ac:dyDescent="0.35">
      <c r="A339" s="13" t="s">
        <v>1496</v>
      </c>
      <c r="B339" s="13" t="s">
        <v>680</v>
      </c>
      <c r="C339" s="13" t="s">
        <v>681</v>
      </c>
      <c r="D339" s="13" t="s">
        <v>1497</v>
      </c>
      <c r="E339" s="14">
        <v>45824</v>
      </c>
      <c r="F339" s="14">
        <v>45861</v>
      </c>
      <c r="G339" s="15">
        <v>661725.47</v>
      </c>
      <c r="H339" s="13" t="s">
        <v>1498</v>
      </c>
      <c r="I339" s="13" t="s">
        <v>1499</v>
      </c>
      <c r="J339" s="13" t="s">
        <v>98</v>
      </c>
      <c r="K339" s="13">
        <f t="shared" si="25"/>
        <v>6</v>
      </c>
      <c r="L339" s="13">
        <f t="shared" si="26"/>
        <v>0</v>
      </c>
      <c r="M339" s="13">
        <f>IF(AND(L339=0,COUNTIFS($B$2:$B$1534,B339,$G$2:$G$1534,G339,$E$2:$E$1534,"&gt;="&amp;(E339-Assumptions!$B$5),$E$2:$E$1534,"&lt;="&amp;(E339+Assumptions!$B$5))&gt;1),1,0)</f>
        <v>0</v>
      </c>
      <c r="N339" s="13">
        <f>IF(AND(G339&gt;=Assumptions!$B$4*(1-Assumptions!$B$6),G339&lt;Assumptions!$B$4),1,0)</f>
        <v>0</v>
      </c>
      <c r="O339" s="13">
        <f>IF(AND(G339&gt;=Assumptions!$B$7,MOD(G339,Assumptions!$B$7)=0),1,0)</f>
        <v>0</v>
      </c>
      <c r="P339" s="13">
        <f t="shared" si="27"/>
        <v>0</v>
      </c>
      <c r="Q339" s="13">
        <f t="shared" si="28"/>
        <v>0</v>
      </c>
      <c r="R339" s="13">
        <f>L339*Assumptions!$B$11+M339*Assumptions!$B$12+N339*Assumptions!$B$13+O339*Assumptions!$B$14+P339*Assumptions!$B$15+Q339*Assumptions!$B$16</f>
        <v>0</v>
      </c>
      <c r="S339" s="13" t="str">
        <f>IF(R339&gt;=Assumptions!$B$20,"High",IF(R339&gt;=Assumptions!$B$21,"Medium",IF(R339&gt;=1,"Low","Clear")))</f>
        <v>Clear</v>
      </c>
      <c r="T339" s="13" t="str">
        <f t="shared" si="29"/>
        <v/>
      </c>
    </row>
    <row r="340" spans="1:20" x14ac:dyDescent="0.35">
      <c r="A340" s="13" t="s">
        <v>1500</v>
      </c>
      <c r="B340" s="13" t="s">
        <v>131</v>
      </c>
      <c r="C340" s="13" t="s">
        <v>132</v>
      </c>
      <c r="D340" s="13" t="s">
        <v>1501</v>
      </c>
      <c r="E340" s="14">
        <v>45825</v>
      </c>
      <c r="F340" s="14">
        <v>45861</v>
      </c>
      <c r="G340" s="15">
        <v>64993.279999999999</v>
      </c>
      <c r="H340" s="13" t="s">
        <v>1502</v>
      </c>
      <c r="I340" s="13" t="s">
        <v>1503</v>
      </c>
      <c r="J340" s="13" t="s">
        <v>98</v>
      </c>
      <c r="K340" s="13">
        <f t="shared" si="25"/>
        <v>6</v>
      </c>
      <c r="L340" s="13">
        <f t="shared" si="26"/>
        <v>0</v>
      </c>
      <c r="M340" s="13">
        <f>IF(AND(L340=0,COUNTIFS($B$2:$B$1534,B340,$G$2:$G$1534,G340,$E$2:$E$1534,"&gt;="&amp;(E340-Assumptions!$B$5),$E$2:$E$1534,"&lt;="&amp;(E340+Assumptions!$B$5))&gt;1),1,0)</f>
        <v>0</v>
      </c>
      <c r="N340" s="13">
        <f>IF(AND(G340&gt;=Assumptions!$B$4*(1-Assumptions!$B$6),G340&lt;Assumptions!$B$4),1,0)</f>
        <v>0</v>
      </c>
      <c r="O340" s="13">
        <f>IF(AND(G340&gt;=Assumptions!$B$7,MOD(G340,Assumptions!$B$7)=0),1,0)</f>
        <v>0</v>
      </c>
      <c r="P340" s="13">
        <f t="shared" si="27"/>
        <v>0</v>
      </c>
      <c r="Q340" s="13">
        <f t="shared" si="28"/>
        <v>0</v>
      </c>
      <c r="R340" s="13">
        <f>L340*Assumptions!$B$11+M340*Assumptions!$B$12+N340*Assumptions!$B$13+O340*Assumptions!$B$14+P340*Assumptions!$B$15+Q340*Assumptions!$B$16</f>
        <v>0</v>
      </c>
      <c r="S340" s="13" t="str">
        <f>IF(R340&gt;=Assumptions!$B$20,"High",IF(R340&gt;=Assumptions!$B$21,"Medium",IF(R340&gt;=1,"Low","Clear")))</f>
        <v>Clear</v>
      </c>
      <c r="T340" s="13" t="str">
        <f t="shared" si="29"/>
        <v/>
      </c>
    </row>
    <row r="341" spans="1:20" x14ac:dyDescent="0.35">
      <c r="A341" s="13" t="s">
        <v>1504</v>
      </c>
      <c r="B341" s="13" t="s">
        <v>188</v>
      </c>
      <c r="C341" s="13" t="s">
        <v>189</v>
      </c>
      <c r="D341" s="13" t="s">
        <v>1505</v>
      </c>
      <c r="E341" s="14">
        <v>45830</v>
      </c>
      <c r="F341" s="14">
        <v>45862</v>
      </c>
      <c r="G341" s="15">
        <v>782908.04</v>
      </c>
      <c r="H341" s="13" t="s">
        <v>1506</v>
      </c>
      <c r="I341" s="13" t="s">
        <v>1507</v>
      </c>
      <c r="J341" s="13" t="s">
        <v>143</v>
      </c>
      <c r="K341" s="13">
        <f t="shared" si="25"/>
        <v>7</v>
      </c>
      <c r="L341" s="13">
        <f t="shared" si="26"/>
        <v>0</v>
      </c>
      <c r="M341" s="13">
        <f>IF(AND(L341=0,COUNTIFS($B$2:$B$1534,B341,$G$2:$G$1534,G341,$E$2:$E$1534,"&gt;="&amp;(E341-Assumptions!$B$5),$E$2:$E$1534,"&lt;="&amp;(E341+Assumptions!$B$5))&gt;1),1,0)</f>
        <v>0</v>
      </c>
      <c r="N341" s="13">
        <f>IF(AND(G341&gt;=Assumptions!$B$4*(1-Assumptions!$B$6),G341&lt;Assumptions!$B$4),1,0)</f>
        <v>0</v>
      </c>
      <c r="O341" s="13">
        <f>IF(AND(G341&gt;=Assumptions!$B$7,MOD(G341,Assumptions!$B$7)=0),1,0)</f>
        <v>0</v>
      </c>
      <c r="P341" s="13">
        <f t="shared" si="27"/>
        <v>0</v>
      </c>
      <c r="Q341" s="13">
        <f t="shared" si="28"/>
        <v>0</v>
      </c>
      <c r="R341" s="13">
        <f>L341*Assumptions!$B$11+M341*Assumptions!$B$12+N341*Assumptions!$B$13+O341*Assumptions!$B$14+P341*Assumptions!$B$15+Q341*Assumptions!$B$16</f>
        <v>0</v>
      </c>
      <c r="S341" s="13" t="str">
        <f>IF(R341&gt;=Assumptions!$B$20,"High",IF(R341&gt;=Assumptions!$B$21,"Medium",IF(R341&gt;=1,"Low","Clear")))</f>
        <v>Clear</v>
      </c>
      <c r="T341" s="13" t="str">
        <f t="shared" si="29"/>
        <v/>
      </c>
    </row>
    <row r="342" spans="1:20" x14ac:dyDescent="0.35">
      <c r="A342" s="13" t="s">
        <v>1508</v>
      </c>
      <c r="B342" s="13" t="s">
        <v>670</v>
      </c>
      <c r="C342" s="13" t="s">
        <v>671</v>
      </c>
      <c r="D342" s="13" t="s">
        <v>1509</v>
      </c>
      <c r="E342" s="14">
        <v>45828</v>
      </c>
      <c r="F342" s="14">
        <v>45862</v>
      </c>
      <c r="G342" s="15">
        <v>23418.25</v>
      </c>
      <c r="H342" s="13" t="s">
        <v>1510</v>
      </c>
      <c r="I342" s="13" t="s">
        <v>1511</v>
      </c>
      <c r="J342" s="13" t="s">
        <v>136</v>
      </c>
      <c r="K342" s="13">
        <f t="shared" si="25"/>
        <v>2</v>
      </c>
      <c r="L342" s="13">
        <f t="shared" si="26"/>
        <v>0</v>
      </c>
      <c r="M342" s="13">
        <f>IF(AND(L342=0,COUNTIFS($B$2:$B$1534,B342,$G$2:$G$1534,G342,$E$2:$E$1534,"&gt;="&amp;(E342-Assumptions!$B$5),$E$2:$E$1534,"&lt;="&amp;(E342+Assumptions!$B$5))&gt;1),1,0)</f>
        <v>0</v>
      </c>
      <c r="N342" s="13">
        <f>IF(AND(G342&gt;=Assumptions!$B$4*(1-Assumptions!$B$6),G342&lt;Assumptions!$B$4),1,0)</f>
        <v>0</v>
      </c>
      <c r="O342" s="13">
        <f>IF(AND(G342&gt;=Assumptions!$B$7,MOD(G342,Assumptions!$B$7)=0),1,0)</f>
        <v>0</v>
      </c>
      <c r="P342" s="13">
        <f t="shared" si="27"/>
        <v>0</v>
      </c>
      <c r="Q342" s="13">
        <f t="shared" si="28"/>
        <v>0</v>
      </c>
      <c r="R342" s="13">
        <f>L342*Assumptions!$B$11+M342*Assumptions!$B$12+N342*Assumptions!$B$13+O342*Assumptions!$B$14+P342*Assumptions!$B$15+Q342*Assumptions!$B$16</f>
        <v>0</v>
      </c>
      <c r="S342" s="13" t="str">
        <f>IF(R342&gt;=Assumptions!$B$20,"High",IF(R342&gt;=Assumptions!$B$21,"Medium",IF(R342&gt;=1,"Low","Clear")))</f>
        <v>Clear</v>
      </c>
      <c r="T342" s="13" t="str">
        <f t="shared" si="29"/>
        <v/>
      </c>
    </row>
    <row r="343" spans="1:20" x14ac:dyDescent="0.35">
      <c r="A343" s="13" t="s">
        <v>1512</v>
      </c>
      <c r="B343" s="13" t="s">
        <v>680</v>
      </c>
      <c r="C343" s="13" t="s">
        <v>681</v>
      </c>
      <c r="D343" s="13" t="s">
        <v>1513</v>
      </c>
      <c r="E343" s="14">
        <v>45827</v>
      </c>
      <c r="F343" s="14">
        <v>45862</v>
      </c>
      <c r="G343" s="15">
        <v>4706.8999999999996</v>
      </c>
      <c r="H343" s="13" t="s">
        <v>1514</v>
      </c>
      <c r="I343" s="13" t="s">
        <v>1515</v>
      </c>
      <c r="J343" s="13" t="s">
        <v>91</v>
      </c>
      <c r="K343" s="13">
        <f t="shared" si="25"/>
        <v>4</v>
      </c>
      <c r="L343" s="13">
        <f t="shared" si="26"/>
        <v>0</v>
      </c>
      <c r="M343" s="13">
        <f>IF(AND(L343=0,COUNTIFS($B$2:$B$1534,B343,$G$2:$G$1534,G343,$E$2:$E$1534,"&gt;="&amp;(E343-Assumptions!$B$5),$E$2:$E$1534,"&lt;="&amp;(E343+Assumptions!$B$5))&gt;1),1,0)</f>
        <v>0</v>
      </c>
      <c r="N343" s="13">
        <f>IF(AND(G343&gt;=Assumptions!$B$4*(1-Assumptions!$B$6),G343&lt;Assumptions!$B$4),1,0)</f>
        <v>0</v>
      </c>
      <c r="O343" s="13">
        <f>IF(AND(G343&gt;=Assumptions!$B$7,MOD(G343,Assumptions!$B$7)=0),1,0)</f>
        <v>0</v>
      </c>
      <c r="P343" s="13">
        <f t="shared" si="27"/>
        <v>0</v>
      </c>
      <c r="Q343" s="13">
        <f t="shared" si="28"/>
        <v>0</v>
      </c>
      <c r="R343" s="13">
        <f>L343*Assumptions!$B$11+M343*Assumptions!$B$12+N343*Assumptions!$B$13+O343*Assumptions!$B$14+P343*Assumptions!$B$15+Q343*Assumptions!$B$16</f>
        <v>0</v>
      </c>
      <c r="S343" s="13" t="str">
        <f>IF(R343&gt;=Assumptions!$B$20,"High",IF(R343&gt;=Assumptions!$B$21,"Medium",IF(R343&gt;=1,"Low","Clear")))</f>
        <v>Clear</v>
      </c>
      <c r="T343" s="13" t="str">
        <f t="shared" si="29"/>
        <v/>
      </c>
    </row>
    <row r="344" spans="1:20" x14ac:dyDescent="0.35">
      <c r="A344" s="13" t="s">
        <v>1516</v>
      </c>
      <c r="B344" s="13" t="s">
        <v>212</v>
      </c>
      <c r="C344" s="13" t="s">
        <v>213</v>
      </c>
      <c r="D344" s="13" t="s">
        <v>1517</v>
      </c>
      <c r="E344" s="14">
        <v>45831</v>
      </c>
      <c r="F344" s="14">
        <v>45862</v>
      </c>
      <c r="G344" s="15">
        <v>11636.22</v>
      </c>
      <c r="H344" s="13" t="s">
        <v>1518</v>
      </c>
      <c r="I344" s="13" t="s">
        <v>1519</v>
      </c>
      <c r="J344" s="13" t="s">
        <v>136</v>
      </c>
      <c r="K344" s="13">
        <f t="shared" si="25"/>
        <v>1</v>
      </c>
      <c r="L344" s="13">
        <f t="shared" si="26"/>
        <v>0</v>
      </c>
      <c r="M344" s="13">
        <f>IF(AND(L344=0,COUNTIFS($B$2:$B$1534,B344,$G$2:$G$1534,G344,$E$2:$E$1534,"&gt;="&amp;(E344-Assumptions!$B$5),$E$2:$E$1534,"&lt;="&amp;(E344+Assumptions!$B$5))&gt;1),1,0)</f>
        <v>0</v>
      </c>
      <c r="N344" s="13">
        <f>IF(AND(G344&gt;=Assumptions!$B$4*(1-Assumptions!$B$6),G344&lt;Assumptions!$B$4),1,0)</f>
        <v>0</v>
      </c>
      <c r="O344" s="13">
        <f>IF(AND(G344&gt;=Assumptions!$B$7,MOD(G344,Assumptions!$B$7)=0),1,0)</f>
        <v>0</v>
      </c>
      <c r="P344" s="13">
        <f t="shared" si="27"/>
        <v>0</v>
      </c>
      <c r="Q344" s="13">
        <f t="shared" si="28"/>
        <v>0</v>
      </c>
      <c r="R344" s="13">
        <f>L344*Assumptions!$B$11+M344*Assumptions!$B$12+N344*Assumptions!$B$13+O344*Assumptions!$B$14+P344*Assumptions!$B$15+Q344*Assumptions!$B$16</f>
        <v>0</v>
      </c>
      <c r="S344" s="13" t="str">
        <f>IF(R344&gt;=Assumptions!$B$20,"High",IF(R344&gt;=Assumptions!$B$21,"Medium",IF(R344&gt;=1,"Low","Clear")))</f>
        <v>Clear</v>
      </c>
      <c r="T344" s="13" t="str">
        <f t="shared" si="29"/>
        <v/>
      </c>
    </row>
    <row r="345" spans="1:20" x14ac:dyDescent="0.35">
      <c r="A345" s="13" t="s">
        <v>1520</v>
      </c>
      <c r="B345" s="13" t="s">
        <v>329</v>
      </c>
      <c r="C345" s="13" t="s">
        <v>330</v>
      </c>
      <c r="D345" s="13" t="s">
        <v>1521</v>
      </c>
      <c r="E345" s="14">
        <v>45827</v>
      </c>
      <c r="F345" s="14">
        <v>45862</v>
      </c>
      <c r="G345" s="15">
        <v>1146.6600000000001</v>
      </c>
      <c r="H345" s="13" t="s">
        <v>1522</v>
      </c>
      <c r="I345" s="13" t="s">
        <v>1523</v>
      </c>
      <c r="J345" s="13" t="s">
        <v>111</v>
      </c>
      <c r="K345" s="13">
        <f t="shared" si="25"/>
        <v>1</v>
      </c>
      <c r="L345" s="13">
        <f t="shared" si="26"/>
        <v>0</v>
      </c>
      <c r="M345" s="13">
        <f>IF(AND(L345=0,COUNTIFS($B$2:$B$1534,B345,$G$2:$G$1534,G345,$E$2:$E$1534,"&gt;="&amp;(E345-Assumptions!$B$5),$E$2:$E$1534,"&lt;="&amp;(E345+Assumptions!$B$5))&gt;1),1,0)</f>
        <v>0</v>
      </c>
      <c r="N345" s="13">
        <f>IF(AND(G345&gt;=Assumptions!$B$4*(1-Assumptions!$B$6),G345&lt;Assumptions!$B$4),1,0)</f>
        <v>0</v>
      </c>
      <c r="O345" s="13">
        <f>IF(AND(G345&gt;=Assumptions!$B$7,MOD(G345,Assumptions!$B$7)=0),1,0)</f>
        <v>0</v>
      </c>
      <c r="P345" s="13">
        <f t="shared" si="27"/>
        <v>0</v>
      </c>
      <c r="Q345" s="13">
        <f t="shared" si="28"/>
        <v>0</v>
      </c>
      <c r="R345" s="13">
        <f>L345*Assumptions!$B$11+M345*Assumptions!$B$12+N345*Assumptions!$B$13+O345*Assumptions!$B$14+P345*Assumptions!$B$15+Q345*Assumptions!$B$16</f>
        <v>0</v>
      </c>
      <c r="S345" s="13" t="str">
        <f>IF(R345&gt;=Assumptions!$B$20,"High",IF(R345&gt;=Assumptions!$B$21,"Medium",IF(R345&gt;=1,"Low","Clear")))</f>
        <v>Clear</v>
      </c>
      <c r="T345" s="13" t="str">
        <f t="shared" si="29"/>
        <v/>
      </c>
    </row>
    <row r="346" spans="1:20" x14ac:dyDescent="0.35">
      <c r="A346" s="13" t="s">
        <v>1524</v>
      </c>
      <c r="B346" s="13" t="s">
        <v>680</v>
      </c>
      <c r="C346" s="13" t="s">
        <v>681</v>
      </c>
      <c r="D346" s="13" t="s">
        <v>1525</v>
      </c>
      <c r="E346" s="14">
        <v>45831</v>
      </c>
      <c r="F346" s="14">
        <v>45863</v>
      </c>
      <c r="G346" s="15">
        <v>218010.61</v>
      </c>
      <c r="H346" s="13" t="s">
        <v>1526</v>
      </c>
      <c r="I346" s="13" t="s">
        <v>1527</v>
      </c>
      <c r="J346" s="13" t="s">
        <v>136</v>
      </c>
      <c r="K346" s="13">
        <f t="shared" si="25"/>
        <v>2</v>
      </c>
      <c r="L346" s="13">
        <f t="shared" si="26"/>
        <v>0</v>
      </c>
      <c r="M346" s="13">
        <f>IF(AND(L346=0,COUNTIFS($B$2:$B$1534,B346,$G$2:$G$1534,G346,$E$2:$E$1534,"&gt;="&amp;(E346-Assumptions!$B$5),$E$2:$E$1534,"&lt;="&amp;(E346+Assumptions!$B$5))&gt;1),1,0)</f>
        <v>0</v>
      </c>
      <c r="N346" s="13">
        <f>IF(AND(G346&gt;=Assumptions!$B$4*(1-Assumptions!$B$6),G346&lt;Assumptions!$B$4),1,0)</f>
        <v>0</v>
      </c>
      <c r="O346" s="13">
        <f>IF(AND(G346&gt;=Assumptions!$B$7,MOD(G346,Assumptions!$B$7)=0),1,0)</f>
        <v>0</v>
      </c>
      <c r="P346" s="13">
        <f t="shared" si="27"/>
        <v>0</v>
      </c>
      <c r="Q346" s="13">
        <f t="shared" si="28"/>
        <v>0</v>
      </c>
      <c r="R346" s="13">
        <f>L346*Assumptions!$B$11+M346*Assumptions!$B$12+N346*Assumptions!$B$13+O346*Assumptions!$B$14+P346*Assumptions!$B$15+Q346*Assumptions!$B$16</f>
        <v>0</v>
      </c>
      <c r="S346" s="13" t="str">
        <f>IF(R346&gt;=Assumptions!$B$20,"High",IF(R346&gt;=Assumptions!$B$21,"Medium",IF(R346&gt;=1,"Low","Clear")))</f>
        <v>Clear</v>
      </c>
      <c r="T346" s="13" t="str">
        <f t="shared" si="29"/>
        <v/>
      </c>
    </row>
    <row r="347" spans="1:20" x14ac:dyDescent="0.35">
      <c r="A347" s="13" t="s">
        <v>1528</v>
      </c>
      <c r="B347" s="13" t="s">
        <v>774</v>
      </c>
      <c r="C347" s="13" t="s">
        <v>775</v>
      </c>
      <c r="D347" s="13" t="s">
        <v>1529</v>
      </c>
      <c r="E347" s="14">
        <v>45828</v>
      </c>
      <c r="F347" s="14">
        <v>45863</v>
      </c>
      <c r="G347" s="15">
        <v>1880.2</v>
      </c>
      <c r="H347" s="13" t="s">
        <v>1530</v>
      </c>
      <c r="I347" s="13" t="s">
        <v>1531</v>
      </c>
      <c r="J347" s="13" t="s">
        <v>136</v>
      </c>
      <c r="K347" s="13">
        <f t="shared" si="25"/>
        <v>1</v>
      </c>
      <c r="L347" s="13">
        <f t="shared" si="26"/>
        <v>0</v>
      </c>
      <c r="M347" s="13">
        <f>IF(AND(L347=0,COUNTIFS($B$2:$B$1534,B347,$G$2:$G$1534,G347,$E$2:$E$1534,"&gt;="&amp;(E347-Assumptions!$B$5),$E$2:$E$1534,"&lt;="&amp;(E347+Assumptions!$B$5))&gt;1),1,0)</f>
        <v>0</v>
      </c>
      <c r="N347" s="13">
        <f>IF(AND(G347&gt;=Assumptions!$B$4*(1-Assumptions!$B$6),G347&lt;Assumptions!$B$4),1,0)</f>
        <v>0</v>
      </c>
      <c r="O347" s="13">
        <f>IF(AND(G347&gt;=Assumptions!$B$7,MOD(G347,Assumptions!$B$7)=0),1,0)</f>
        <v>0</v>
      </c>
      <c r="P347" s="13">
        <f t="shared" si="27"/>
        <v>0</v>
      </c>
      <c r="Q347" s="13">
        <f t="shared" si="28"/>
        <v>0</v>
      </c>
      <c r="R347" s="13">
        <f>L347*Assumptions!$B$11+M347*Assumptions!$B$12+N347*Assumptions!$B$13+O347*Assumptions!$B$14+P347*Assumptions!$B$15+Q347*Assumptions!$B$16</f>
        <v>0</v>
      </c>
      <c r="S347" s="13" t="str">
        <f>IF(R347&gt;=Assumptions!$B$20,"High",IF(R347&gt;=Assumptions!$B$21,"Medium",IF(R347&gt;=1,"Low","Clear")))</f>
        <v>Clear</v>
      </c>
      <c r="T347" s="13" t="str">
        <f t="shared" si="29"/>
        <v/>
      </c>
    </row>
    <row r="348" spans="1:20" x14ac:dyDescent="0.35">
      <c r="A348" s="13" t="s">
        <v>1532</v>
      </c>
      <c r="B348" s="13" t="s">
        <v>234</v>
      </c>
      <c r="C348" s="13" t="s">
        <v>235</v>
      </c>
      <c r="D348" s="13" t="s">
        <v>1533</v>
      </c>
      <c r="E348" s="14">
        <v>45843</v>
      </c>
      <c r="F348" s="14">
        <v>45863</v>
      </c>
      <c r="G348" s="15">
        <v>162126.38</v>
      </c>
      <c r="H348" s="13" t="s">
        <v>1534</v>
      </c>
      <c r="I348" s="13" t="s">
        <v>1535</v>
      </c>
      <c r="J348" s="13" t="s">
        <v>136</v>
      </c>
      <c r="K348" s="13">
        <f t="shared" si="25"/>
        <v>1</v>
      </c>
      <c r="L348" s="13">
        <f t="shared" si="26"/>
        <v>0</v>
      </c>
      <c r="M348" s="13">
        <f>IF(AND(L348=0,COUNTIFS($B$2:$B$1534,B348,$G$2:$G$1534,G348,$E$2:$E$1534,"&gt;="&amp;(E348-Assumptions!$B$5),$E$2:$E$1534,"&lt;="&amp;(E348+Assumptions!$B$5))&gt;1),1,0)</f>
        <v>0</v>
      </c>
      <c r="N348" s="13">
        <f>IF(AND(G348&gt;=Assumptions!$B$4*(1-Assumptions!$B$6),G348&lt;Assumptions!$B$4),1,0)</f>
        <v>0</v>
      </c>
      <c r="O348" s="13">
        <f>IF(AND(G348&gt;=Assumptions!$B$7,MOD(G348,Assumptions!$B$7)=0),1,0)</f>
        <v>0</v>
      </c>
      <c r="P348" s="13">
        <f t="shared" si="27"/>
        <v>0</v>
      </c>
      <c r="Q348" s="13">
        <f t="shared" si="28"/>
        <v>0</v>
      </c>
      <c r="R348" s="13">
        <f>L348*Assumptions!$B$11+M348*Assumptions!$B$12+N348*Assumptions!$B$13+O348*Assumptions!$B$14+P348*Assumptions!$B$15+Q348*Assumptions!$B$16</f>
        <v>0</v>
      </c>
      <c r="S348" s="13" t="str">
        <f>IF(R348&gt;=Assumptions!$B$20,"High",IF(R348&gt;=Assumptions!$B$21,"Medium",IF(R348&gt;=1,"Low","Clear")))</f>
        <v>Clear</v>
      </c>
      <c r="T348" s="13" t="str">
        <f t="shared" si="29"/>
        <v/>
      </c>
    </row>
    <row r="349" spans="1:20" x14ac:dyDescent="0.35">
      <c r="A349" s="13" t="s">
        <v>1536</v>
      </c>
      <c r="B349" s="13" t="s">
        <v>307</v>
      </c>
      <c r="C349" s="13" t="s">
        <v>308</v>
      </c>
      <c r="D349" s="13" t="s">
        <v>1537</v>
      </c>
      <c r="E349" s="14">
        <v>45842</v>
      </c>
      <c r="F349" s="14">
        <v>45863</v>
      </c>
      <c r="G349" s="15">
        <v>5720.52</v>
      </c>
      <c r="H349" s="13" t="s">
        <v>1538</v>
      </c>
      <c r="I349" s="13" t="s">
        <v>1539</v>
      </c>
      <c r="J349" s="13" t="s">
        <v>111</v>
      </c>
      <c r="K349" s="13">
        <f t="shared" si="25"/>
        <v>5</v>
      </c>
      <c r="L349" s="13">
        <f t="shared" si="26"/>
        <v>0</v>
      </c>
      <c r="M349" s="13">
        <f>IF(AND(L349=0,COUNTIFS($B$2:$B$1534,B349,$G$2:$G$1534,G349,$E$2:$E$1534,"&gt;="&amp;(E349-Assumptions!$B$5),$E$2:$E$1534,"&lt;="&amp;(E349+Assumptions!$B$5))&gt;1),1,0)</f>
        <v>0</v>
      </c>
      <c r="N349" s="13">
        <f>IF(AND(G349&gt;=Assumptions!$B$4*(1-Assumptions!$B$6),G349&lt;Assumptions!$B$4),1,0)</f>
        <v>0</v>
      </c>
      <c r="O349" s="13">
        <f>IF(AND(G349&gt;=Assumptions!$B$7,MOD(G349,Assumptions!$B$7)=0),1,0)</f>
        <v>0</v>
      </c>
      <c r="P349" s="13">
        <f t="shared" si="27"/>
        <v>0</v>
      </c>
      <c r="Q349" s="13">
        <f t="shared" si="28"/>
        <v>0</v>
      </c>
      <c r="R349" s="13">
        <f>L349*Assumptions!$B$11+M349*Assumptions!$B$12+N349*Assumptions!$B$13+O349*Assumptions!$B$14+P349*Assumptions!$B$15+Q349*Assumptions!$B$16</f>
        <v>0</v>
      </c>
      <c r="S349" s="13" t="str">
        <f>IF(R349&gt;=Assumptions!$B$20,"High",IF(R349&gt;=Assumptions!$B$21,"Medium",IF(R349&gt;=1,"Low","Clear")))</f>
        <v>Clear</v>
      </c>
      <c r="T349" s="13" t="str">
        <f t="shared" si="29"/>
        <v/>
      </c>
    </row>
    <row r="350" spans="1:20" x14ac:dyDescent="0.35">
      <c r="A350" s="13" t="s">
        <v>1540</v>
      </c>
      <c r="B350" s="13" t="s">
        <v>100</v>
      </c>
      <c r="C350" s="13" t="s">
        <v>101</v>
      </c>
      <c r="D350" s="13" t="s">
        <v>1541</v>
      </c>
      <c r="E350" s="14">
        <v>45838</v>
      </c>
      <c r="F350" s="14">
        <v>45863</v>
      </c>
      <c r="G350" s="15">
        <v>102430.17</v>
      </c>
      <c r="H350" s="13" t="s">
        <v>1542</v>
      </c>
      <c r="I350" s="13" t="s">
        <v>1543</v>
      </c>
      <c r="J350" s="13" t="s">
        <v>136</v>
      </c>
      <c r="K350" s="13">
        <f t="shared" si="25"/>
        <v>1</v>
      </c>
      <c r="L350" s="13">
        <f t="shared" si="26"/>
        <v>0</v>
      </c>
      <c r="M350" s="13">
        <f>IF(AND(L350=0,COUNTIFS($B$2:$B$1534,B350,$G$2:$G$1534,G350,$E$2:$E$1534,"&gt;="&amp;(E350-Assumptions!$B$5),$E$2:$E$1534,"&lt;="&amp;(E350+Assumptions!$B$5))&gt;1),1,0)</f>
        <v>0</v>
      </c>
      <c r="N350" s="13">
        <f>IF(AND(G350&gt;=Assumptions!$B$4*(1-Assumptions!$B$6),G350&lt;Assumptions!$B$4),1,0)</f>
        <v>0</v>
      </c>
      <c r="O350" s="13">
        <f>IF(AND(G350&gt;=Assumptions!$B$7,MOD(G350,Assumptions!$B$7)=0),1,0)</f>
        <v>0</v>
      </c>
      <c r="P350" s="13">
        <f t="shared" si="27"/>
        <v>0</v>
      </c>
      <c r="Q350" s="13">
        <f t="shared" si="28"/>
        <v>0</v>
      </c>
      <c r="R350" s="13">
        <f>L350*Assumptions!$B$11+M350*Assumptions!$B$12+N350*Assumptions!$B$13+O350*Assumptions!$B$14+P350*Assumptions!$B$15+Q350*Assumptions!$B$16</f>
        <v>0</v>
      </c>
      <c r="S350" s="13" t="str">
        <f>IF(R350&gt;=Assumptions!$B$20,"High",IF(R350&gt;=Assumptions!$B$21,"Medium",IF(R350&gt;=1,"Low","Clear")))</f>
        <v>Clear</v>
      </c>
      <c r="T350" s="13" t="str">
        <f t="shared" si="29"/>
        <v/>
      </c>
    </row>
    <row r="351" spans="1:20" x14ac:dyDescent="0.35">
      <c r="A351" s="13" t="s">
        <v>1544</v>
      </c>
      <c r="B351" s="13" t="s">
        <v>86</v>
      </c>
      <c r="C351" s="13" t="s">
        <v>87</v>
      </c>
      <c r="D351" s="13" t="s">
        <v>1545</v>
      </c>
      <c r="E351" s="14">
        <v>45826</v>
      </c>
      <c r="F351" s="14">
        <v>45864</v>
      </c>
      <c r="G351" s="15">
        <v>779113.29</v>
      </c>
      <c r="H351" s="13" t="s">
        <v>1546</v>
      </c>
      <c r="I351" s="13" t="s">
        <v>1547</v>
      </c>
      <c r="J351" s="13" t="s">
        <v>98</v>
      </c>
      <c r="K351" s="13">
        <f t="shared" si="25"/>
        <v>7</v>
      </c>
      <c r="L351" s="13">
        <f t="shared" si="26"/>
        <v>0</v>
      </c>
      <c r="M351" s="13">
        <f>IF(AND(L351=0,COUNTIFS($B$2:$B$1534,B351,$G$2:$G$1534,G351,$E$2:$E$1534,"&gt;="&amp;(E351-Assumptions!$B$5),$E$2:$E$1534,"&lt;="&amp;(E351+Assumptions!$B$5))&gt;1),1,0)</f>
        <v>0</v>
      </c>
      <c r="N351" s="13">
        <f>IF(AND(G351&gt;=Assumptions!$B$4*(1-Assumptions!$B$6),G351&lt;Assumptions!$B$4),1,0)</f>
        <v>0</v>
      </c>
      <c r="O351" s="13">
        <f>IF(AND(G351&gt;=Assumptions!$B$7,MOD(G351,Assumptions!$B$7)=0),1,0)</f>
        <v>0</v>
      </c>
      <c r="P351" s="13">
        <f t="shared" si="27"/>
        <v>0</v>
      </c>
      <c r="Q351" s="13">
        <f t="shared" si="28"/>
        <v>1</v>
      </c>
      <c r="R351" s="13">
        <f>L351*Assumptions!$B$11+M351*Assumptions!$B$12+N351*Assumptions!$B$13+O351*Assumptions!$B$14+P351*Assumptions!$B$15+Q351*Assumptions!$B$16</f>
        <v>1</v>
      </c>
      <c r="S351" s="13" t="str">
        <f>IF(R351&gt;=Assumptions!$B$20,"High",IF(R351&gt;=Assumptions!$B$21,"Medium",IF(R351&gt;=1,"Low","Clear")))</f>
        <v>Low</v>
      </c>
      <c r="T351" s="13" t="str">
        <f t="shared" si="29"/>
        <v xml:space="preserve">Weekend payment; </v>
      </c>
    </row>
    <row r="352" spans="1:20" x14ac:dyDescent="0.35">
      <c r="A352" s="13" t="s">
        <v>1548</v>
      </c>
      <c r="B352" s="13" t="s">
        <v>680</v>
      </c>
      <c r="C352" s="13" t="s">
        <v>681</v>
      </c>
      <c r="D352" s="13" t="s">
        <v>1549</v>
      </c>
      <c r="E352" s="14">
        <v>45830</v>
      </c>
      <c r="F352" s="14">
        <v>45866</v>
      </c>
      <c r="G352" s="15">
        <v>78353.45</v>
      </c>
      <c r="H352" s="13" t="s">
        <v>1550</v>
      </c>
      <c r="I352" s="13" t="s">
        <v>1551</v>
      </c>
      <c r="J352" s="13" t="s">
        <v>111</v>
      </c>
      <c r="K352" s="13">
        <f t="shared" si="25"/>
        <v>7</v>
      </c>
      <c r="L352" s="13">
        <f t="shared" si="26"/>
        <v>1</v>
      </c>
      <c r="M352" s="13">
        <f>IF(AND(L352=0,COUNTIFS($B$2:$B$1534,B352,$G$2:$G$1534,G352,$E$2:$E$1534,"&gt;="&amp;(E352-Assumptions!$B$5),$E$2:$E$1534,"&lt;="&amp;(E352+Assumptions!$B$5))&gt;1),1,0)</f>
        <v>0</v>
      </c>
      <c r="N352" s="13">
        <f>IF(AND(G352&gt;=Assumptions!$B$4*(1-Assumptions!$B$6),G352&lt;Assumptions!$B$4),1,0)</f>
        <v>0</v>
      </c>
      <c r="O352" s="13">
        <f>IF(AND(G352&gt;=Assumptions!$B$7,MOD(G352,Assumptions!$B$7)=0),1,0)</f>
        <v>0</v>
      </c>
      <c r="P352" s="13">
        <f t="shared" si="27"/>
        <v>0</v>
      </c>
      <c r="Q352" s="13">
        <f t="shared" si="28"/>
        <v>0</v>
      </c>
      <c r="R352" s="13">
        <f>L352*Assumptions!$B$11+M352*Assumptions!$B$12+N352*Assumptions!$B$13+O352*Assumptions!$B$14+P352*Assumptions!$B$15+Q352*Assumptions!$B$16</f>
        <v>5</v>
      </c>
      <c r="S352" s="13" t="str">
        <f>IF(R352&gt;=Assumptions!$B$20,"High",IF(R352&gt;=Assumptions!$B$21,"Medium",IF(R352&gt;=1,"Low","Clear")))</f>
        <v>High</v>
      </c>
      <c r="T352" s="13" t="str">
        <f t="shared" si="29"/>
        <v xml:space="preserve">Duplicate invoice; </v>
      </c>
    </row>
    <row r="353" spans="1:20" x14ac:dyDescent="0.35">
      <c r="A353" s="13" t="s">
        <v>1552</v>
      </c>
      <c r="B353" s="13" t="s">
        <v>234</v>
      </c>
      <c r="C353" s="13" t="s">
        <v>235</v>
      </c>
      <c r="D353" s="13" t="s">
        <v>1553</v>
      </c>
      <c r="E353" s="14">
        <v>45839</v>
      </c>
      <c r="F353" s="14">
        <v>45866</v>
      </c>
      <c r="G353" s="15">
        <v>785503.15</v>
      </c>
      <c r="H353" s="13" t="s">
        <v>1554</v>
      </c>
      <c r="I353" s="13" t="s">
        <v>1555</v>
      </c>
      <c r="J353" s="13" t="s">
        <v>111</v>
      </c>
      <c r="K353" s="13">
        <f t="shared" si="25"/>
        <v>7</v>
      </c>
      <c r="L353" s="13">
        <f t="shared" si="26"/>
        <v>0</v>
      </c>
      <c r="M353" s="13">
        <f>IF(AND(L353=0,COUNTIFS($B$2:$B$1534,B353,$G$2:$G$1534,G353,$E$2:$E$1534,"&gt;="&amp;(E353-Assumptions!$B$5),$E$2:$E$1534,"&lt;="&amp;(E353+Assumptions!$B$5))&gt;1),1,0)</f>
        <v>0</v>
      </c>
      <c r="N353" s="13">
        <f>IF(AND(G353&gt;=Assumptions!$B$4*(1-Assumptions!$B$6),G353&lt;Assumptions!$B$4),1,0)</f>
        <v>0</v>
      </c>
      <c r="O353" s="13">
        <f>IF(AND(G353&gt;=Assumptions!$B$7,MOD(G353,Assumptions!$B$7)=0),1,0)</f>
        <v>0</v>
      </c>
      <c r="P353" s="13">
        <f t="shared" si="27"/>
        <v>0</v>
      </c>
      <c r="Q353" s="13">
        <f t="shared" si="28"/>
        <v>0</v>
      </c>
      <c r="R353" s="13">
        <f>L353*Assumptions!$B$11+M353*Assumptions!$B$12+N353*Assumptions!$B$13+O353*Assumptions!$B$14+P353*Assumptions!$B$15+Q353*Assumptions!$B$16</f>
        <v>0</v>
      </c>
      <c r="S353" s="13" t="str">
        <f>IF(R353&gt;=Assumptions!$B$20,"High",IF(R353&gt;=Assumptions!$B$21,"Medium",IF(R353&gt;=1,"Low","Clear")))</f>
        <v>Clear</v>
      </c>
      <c r="T353" s="13" t="str">
        <f t="shared" si="29"/>
        <v/>
      </c>
    </row>
    <row r="354" spans="1:20" x14ac:dyDescent="0.35">
      <c r="A354" s="13" t="s">
        <v>1556</v>
      </c>
      <c r="B354" s="13" t="s">
        <v>466</v>
      </c>
      <c r="C354" s="13" t="s">
        <v>467</v>
      </c>
      <c r="D354" s="13" t="s">
        <v>1557</v>
      </c>
      <c r="E354" s="14">
        <v>45844</v>
      </c>
      <c r="F354" s="14">
        <v>45866</v>
      </c>
      <c r="G354" s="15">
        <v>1164.42</v>
      </c>
      <c r="H354" s="13" t="s">
        <v>1558</v>
      </c>
      <c r="I354" s="13" t="s">
        <v>1559</v>
      </c>
      <c r="J354" s="13" t="s">
        <v>136</v>
      </c>
      <c r="K354" s="13">
        <f t="shared" si="25"/>
        <v>1</v>
      </c>
      <c r="L354" s="13">
        <f t="shared" si="26"/>
        <v>0</v>
      </c>
      <c r="M354" s="13">
        <f>IF(AND(L354=0,COUNTIFS($B$2:$B$1534,B354,$G$2:$G$1534,G354,$E$2:$E$1534,"&gt;="&amp;(E354-Assumptions!$B$5),$E$2:$E$1534,"&lt;="&amp;(E354+Assumptions!$B$5))&gt;1),1,0)</f>
        <v>0</v>
      </c>
      <c r="N354" s="13">
        <f>IF(AND(G354&gt;=Assumptions!$B$4*(1-Assumptions!$B$6),G354&lt;Assumptions!$B$4),1,0)</f>
        <v>0</v>
      </c>
      <c r="O354" s="13">
        <f>IF(AND(G354&gt;=Assumptions!$B$7,MOD(G354,Assumptions!$B$7)=0),1,0)</f>
        <v>0</v>
      </c>
      <c r="P354" s="13">
        <f t="shared" si="27"/>
        <v>0</v>
      </c>
      <c r="Q354" s="13">
        <f t="shared" si="28"/>
        <v>0</v>
      </c>
      <c r="R354" s="13">
        <f>L354*Assumptions!$B$11+M354*Assumptions!$B$12+N354*Assumptions!$B$13+O354*Assumptions!$B$14+P354*Assumptions!$B$15+Q354*Assumptions!$B$16</f>
        <v>0</v>
      </c>
      <c r="S354" s="13" t="str">
        <f>IF(R354&gt;=Assumptions!$B$20,"High",IF(R354&gt;=Assumptions!$B$21,"Medium",IF(R354&gt;=1,"Low","Clear")))</f>
        <v>Clear</v>
      </c>
      <c r="T354" s="13" t="str">
        <f t="shared" si="29"/>
        <v/>
      </c>
    </row>
    <row r="355" spans="1:20" x14ac:dyDescent="0.35">
      <c r="A355" s="13" t="s">
        <v>1560</v>
      </c>
      <c r="B355" s="13" t="s">
        <v>113</v>
      </c>
      <c r="C355" s="13" t="s">
        <v>114</v>
      </c>
      <c r="D355" s="13" t="s">
        <v>1561</v>
      </c>
      <c r="E355" s="14">
        <v>45834</v>
      </c>
      <c r="F355" s="14">
        <v>45866</v>
      </c>
      <c r="G355" s="15">
        <v>70576.97</v>
      </c>
      <c r="H355" s="13" t="s">
        <v>1430</v>
      </c>
      <c r="I355" s="13" t="s">
        <v>1431</v>
      </c>
      <c r="J355" s="13" t="s">
        <v>143</v>
      </c>
      <c r="K355" s="13">
        <f t="shared" si="25"/>
        <v>7</v>
      </c>
      <c r="L355" s="13">
        <f t="shared" si="26"/>
        <v>0</v>
      </c>
      <c r="M355" s="13">
        <f>IF(AND(L355=0,COUNTIFS($B$2:$B$1534,B355,$G$2:$G$1534,G355,$E$2:$E$1534,"&gt;="&amp;(E355-Assumptions!$B$5),$E$2:$E$1534,"&lt;="&amp;(E355+Assumptions!$B$5))&gt;1),1,0)</f>
        <v>0</v>
      </c>
      <c r="N355" s="13">
        <f>IF(AND(G355&gt;=Assumptions!$B$4*(1-Assumptions!$B$6),G355&lt;Assumptions!$B$4),1,0)</f>
        <v>0</v>
      </c>
      <c r="O355" s="13">
        <f>IF(AND(G355&gt;=Assumptions!$B$7,MOD(G355,Assumptions!$B$7)=0),1,0)</f>
        <v>0</v>
      </c>
      <c r="P355" s="13">
        <f t="shared" si="27"/>
        <v>0</v>
      </c>
      <c r="Q355" s="13">
        <f t="shared" si="28"/>
        <v>0</v>
      </c>
      <c r="R355" s="13">
        <f>L355*Assumptions!$B$11+M355*Assumptions!$B$12+N355*Assumptions!$B$13+O355*Assumptions!$B$14+P355*Assumptions!$B$15+Q355*Assumptions!$B$16</f>
        <v>0</v>
      </c>
      <c r="S355" s="13" t="str">
        <f>IF(R355&gt;=Assumptions!$B$20,"High",IF(R355&gt;=Assumptions!$B$21,"Medium",IF(R355&gt;=1,"Low","Clear")))</f>
        <v>Clear</v>
      </c>
      <c r="T355" s="13" t="str">
        <f t="shared" si="29"/>
        <v/>
      </c>
    </row>
    <row r="356" spans="1:20" x14ac:dyDescent="0.35">
      <c r="A356" s="13" t="s">
        <v>1562</v>
      </c>
      <c r="B356" s="13" t="s">
        <v>113</v>
      </c>
      <c r="C356" s="13" t="s">
        <v>114</v>
      </c>
      <c r="D356" s="13" t="s">
        <v>1563</v>
      </c>
      <c r="E356" s="14">
        <v>45830</v>
      </c>
      <c r="F356" s="14">
        <v>45866</v>
      </c>
      <c r="G356" s="15">
        <v>374771.31</v>
      </c>
      <c r="H356" s="13" t="s">
        <v>1564</v>
      </c>
      <c r="I356" s="13" t="s">
        <v>1565</v>
      </c>
      <c r="J356" s="13" t="s">
        <v>111</v>
      </c>
      <c r="K356" s="13">
        <f t="shared" si="25"/>
        <v>3</v>
      </c>
      <c r="L356" s="13">
        <f t="shared" si="26"/>
        <v>0</v>
      </c>
      <c r="M356" s="13">
        <f>IF(AND(L356=0,COUNTIFS($B$2:$B$1534,B356,$G$2:$G$1534,G356,$E$2:$E$1534,"&gt;="&amp;(E356-Assumptions!$B$5),$E$2:$E$1534,"&lt;="&amp;(E356+Assumptions!$B$5))&gt;1),1,0)</f>
        <v>0</v>
      </c>
      <c r="N356" s="13">
        <f>IF(AND(G356&gt;=Assumptions!$B$4*(1-Assumptions!$B$6),G356&lt;Assumptions!$B$4),1,0)</f>
        <v>0</v>
      </c>
      <c r="O356" s="13">
        <f>IF(AND(G356&gt;=Assumptions!$B$7,MOD(G356,Assumptions!$B$7)=0),1,0)</f>
        <v>0</v>
      </c>
      <c r="P356" s="13">
        <f t="shared" si="27"/>
        <v>0</v>
      </c>
      <c r="Q356" s="13">
        <f t="shared" si="28"/>
        <v>0</v>
      </c>
      <c r="R356" s="13">
        <f>L356*Assumptions!$B$11+M356*Assumptions!$B$12+N356*Assumptions!$B$13+O356*Assumptions!$B$14+P356*Assumptions!$B$15+Q356*Assumptions!$B$16</f>
        <v>0</v>
      </c>
      <c r="S356" s="13" t="str">
        <f>IF(R356&gt;=Assumptions!$B$20,"High",IF(R356&gt;=Assumptions!$B$21,"Medium",IF(R356&gt;=1,"Low","Clear")))</f>
        <v>Clear</v>
      </c>
      <c r="T356" s="13" t="str">
        <f t="shared" si="29"/>
        <v/>
      </c>
    </row>
    <row r="357" spans="1:20" x14ac:dyDescent="0.35">
      <c r="A357" s="13" t="s">
        <v>1566</v>
      </c>
      <c r="B357" s="13" t="s">
        <v>323</v>
      </c>
      <c r="C357" s="13" t="s">
        <v>324</v>
      </c>
      <c r="D357" s="13" t="s">
        <v>1567</v>
      </c>
      <c r="E357" s="14">
        <v>45844</v>
      </c>
      <c r="F357" s="14">
        <v>45866</v>
      </c>
      <c r="G357" s="15">
        <v>3525.51</v>
      </c>
      <c r="H357" s="13" t="s">
        <v>1568</v>
      </c>
      <c r="I357" s="13" t="s">
        <v>1569</v>
      </c>
      <c r="J357" s="13" t="s">
        <v>136</v>
      </c>
      <c r="K357" s="13">
        <f t="shared" si="25"/>
        <v>3</v>
      </c>
      <c r="L357" s="13">
        <f t="shared" si="26"/>
        <v>0</v>
      </c>
      <c r="M357" s="13">
        <f>IF(AND(L357=0,COUNTIFS($B$2:$B$1534,B357,$G$2:$G$1534,G357,$E$2:$E$1534,"&gt;="&amp;(E357-Assumptions!$B$5),$E$2:$E$1534,"&lt;="&amp;(E357+Assumptions!$B$5))&gt;1),1,0)</f>
        <v>0</v>
      </c>
      <c r="N357" s="13">
        <f>IF(AND(G357&gt;=Assumptions!$B$4*(1-Assumptions!$B$6),G357&lt;Assumptions!$B$4),1,0)</f>
        <v>0</v>
      </c>
      <c r="O357" s="13">
        <f>IF(AND(G357&gt;=Assumptions!$B$7,MOD(G357,Assumptions!$B$7)=0),1,0)</f>
        <v>0</v>
      </c>
      <c r="P357" s="13">
        <f t="shared" si="27"/>
        <v>0</v>
      </c>
      <c r="Q357" s="13">
        <f t="shared" si="28"/>
        <v>0</v>
      </c>
      <c r="R357" s="13">
        <f>L357*Assumptions!$B$11+M357*Assumptions!$B$12+N357*Assumptions!$B$13+O357*Assumptions!$B$14+P357*Assumptions!$B$15+Q357*Assumptions!$B$16</f>
        <v>0</v>
      </c>
      <c r="S357" s="13" t="str">
        <f>IF(R357&gt;=Assumptions!$B$20,"High",IF(R357&gt;=Assumptions!$B$21,"Medium",IF(R357&gt;=1,"Low","Clear")))</f>
        <v>Clear</v>
      </c>
      <c r="T357" s="13" t="str">
        <f t="shared" si="29"/>
        <v/>
      </c>
    </row>
    <row r="358" spans="1:20" x14ac:dyDescent="0.35">
      <c r="A358" s="13" t="s">
        <v>1570</v>
      </c>
      <c r="B358" s="13" t="s">
        <v>155</v>
      </c>
      <c r="C358" s="13" t="s">
        <v>156</v>
      </c>
      <c r="D358" s="13" t="s">
        <v>1571</v>
      </c>
      <c r="E358" s="14">
        <v>45846</v>
      </c>
      <c r="F358" s="14">
        <v>45866</v>
      </c>
      <c r="G358" s="15">
        <v>116882.62</v>
      </c>
      <c r="H358" s="13" t="s">
        <v>1572</v>
      </c>
      <c r="I358" s="13" t="s">
        <v>1573</v>
      </c>
      <c r="J358" s="13" t="s">
        <v>170</v>
      </c>
      <c r="K358" s="13">
        <f t="shared" si="25"/>
        <v>1</v>
      </c>
      <c r="L358" s="13">
        <f t="shared" si="26"/>
        <v>0</v>
      </c>
      <c r="M358" s="13">
        <f>IF(AND(L358=0,COUNTIFS($B$2:$B$1534,B358,$G$2:$G$1534,G358,$E$2:$E$1534,"&gt;="&amp;(E358-Assumptions!$B$5),$E$2:$E$1534,"&lt;="&amp;(E358+Assumptions!$B$5))&gt;1),1,0)</f>
        <v>0</v>
      </c>
      <c r="N358" s="13">
        <f>IF(AND(G358&gt;=Assumptions!$B$4*(1-Assumptions!$B$6),G358&lt;Assumptions!$B$4),1,0)</f>
        <v>0</v>
      </c>
      <c r="O358" s="13">
        <f>IF(AND(G358&gt;=Assumptions!$B$7,MOD(G358,Assumptions!$B$7)=0),1,0)</f>
        <v>0</v>
      </c>
      <c r="P358" s="13">
        <f t="shared" si="27"/>
        <v>0</v>
      </c>
      <c r="Q358" s="13">
        <f t="shared" si="28"/>
        <v>0</v>
      </c>
      <c r="R358" s="13">
        <f>L358*Assumptions!$B$11+M358*Assumptions!$B$12+N358*Assumptions!$B$13+O358*Assumptions!$B$14+P358*Assumptions!$B$15+Q358*Assumptions!$B$16</f>
        <v>0</v>
      </c>
      <c r="S358" s="13" t="str">
        <f>IF(R358&gt;=Assumptions!$B$20,"High",IF(R358&gt;=Assumptions!$B$21,"Medium",IF(R358&gt;=1,"Low","Clear")))</f>
        <v>Clear</v>
      </c>
      <c r="T358" s="13" t="str">
        <f t="shared" si="29"/>
        <v/>
      </c>
    </row>
    <row r="359" spans="1:20" x14ac:dyDescent="0.35">
      <c r="A359" s="13" t="s">
        <v>1574</v>
      </c>
      <c r="B359" s="13" t="s">
        <v>161</v>
      </c>
      <c r="C359" s="13" t="s">
        <v>162</v>
      </c>
      <c r="D359" s="13" t="s">
        <v>1575</v>
      </c>
      <c r="E359" s="14">
        <v>45839</v>
      </c>
      <c r="F359" s="14">
        <v>45866</v>
      </c>
      <c r="G359" s="15">
        <v>337854.31</v>
      </c>
      <c r="H359" s="13" t="s">
        <v>1576</v>
      </c>
      <c r="I359" s="13" t="s">
        <v>1577</v>
      </c>
      <c r="J359" s="13" t="s">
        <v>98</v>
      </c>
      <c r="K359" s="13">
        <f t="shared" si="25"/>
        <v>3</v>
      </c>
      <c r="L359" s="13">
        <f t="shared" si="26"/>
        <v>1</v>
      </c>
      <c r="M359" s="13">
        <f>IF(AND(L359=0,COUNTIFS($B$2:$B$1534,B359,$G$2:$G$1534,G359,$E$2:$E$1534,"&gt;="&amp;(E359-Assumptions!$B$5),$E$2:$E$1534,"&lt;="&amp;(E359+Assumptions!$B$5))&gt;1),1,0)</f>
        <v>0</v>
      </c>
      <c r="N359" s="13">
        <f>IF(AND(G359&gt;=Assumptions!$B$4*(1-Assumptions!$B$6),G359&lt;Assumptions!$B$4),1,0)</f>
        <v>0</v>
      </c>
      <c r="O359" s="13">
        <f>IF(AND(G359&gt;=Assumptions!$B$7,MOD(G359,Assumptions!$B$7)=0),1,0)</f>
        <v>0</v>
      </c>
      <c r="P359" s="13">
        <f t="shared" si="27"/>
        <v>0</v>
      </c>
      <c r="Q359" s="13">
        <f t="shared" si="28"/>
        <v>0</v>
      </c>
      <c r="R359" s="13">
        <f>L359*Assumptions!$B$11+M359*Assumptions!$B$12+N359*Assumptions!$B$13+O359*Assumptions!$B$14+P359*Assumptions!$B$15+Q359*Assumptions!$B$16</f>
        <v>5</v>
      </c>
      <c r="S359" s="13" t="str">
        <f>IF(R359&gt;=Assumptions!$B$20,"High",IF(R359&gt;=Assumptions!$B$21,"Medium",IF(R359&gt;=1,"Low","Clear")))</f>
        <v>High</v>
      </c>
      <c r="T359" s="13" t="str">
        <f t="shared" si="29"/>
        <v xml:space="preserve">Duplicate invoice; </v>
      </c>
    </row>
    <row r="360" spans="1:20" x14ac:dyDescent="0.35">
      <c r="A360" s="13" t="s">
        <v>1578</v>
      </c>
      <c r="B360" s="13" t="s">
        <v>357</v>
      </c>
      <c r="C360" s="13" t="s">
        <v>358</v>
      </c>
      <c r="D360" s="13" t="s">
        <v>1579</v>
      </c>
      <c r="E360" s="14">
        <v>45830</v>
      </c>
      <c r="F360" s="14">
        <v>45867</v>
      </c>
      <c r="G360" s="15">
        <v>7173.64</v>
      </c>
      <c r="H360" s="13" t="s">
        <v>1580</v>
      </c>
      <c r="I360" s="13" t="s">
        <v>1581</v>
      </c>
      <c r="J360" s="13" t="s">
        <v>143</v>
      </c>
      <c r="K360" s="13">
        <f t="shared" si="25"/>
        <v>7</v>
      </c>
      <c r="L360" s="13">
        <f t="shared" si="26"/>
        <v>0</v>
      </c>
      <c r="M360" s="13">
        <f>IF(AND(L360=0,COUNTIFS($B$2:$B$1534,B360,$G$2:$G$1534,G360,$E$2:$E$1534,"&gt;="&amp;(E360-Assumptions!$B$5),$E$2:$E$1534,"&lt;="&amp;(E360+Assumptions!$B$5))&gt;1),1,0)</f>
        <v>0</v>
      </c>
      <c r="N360" s="13">
        <f>IF(AND(G360&gt;=Assumptions!$B$4*(1-Assumptions!$B$6),G360&lt;Assumptions!$B$4),1,0)</f>
        <v>0</v>
      </c>
      <c r="O360" s="13">
        <f>IF(AND(G360&gt;=Assumptions!$B$7,MOD(G360,Assumptions!$B$7)=0),1,0)</f>
        <v>0</v>
      </c>
      <c r="P360" s="13">
        <f t="shared" si="27"/>
        <v>0</v>
      </c>
      <c r="Q360" s="13">
        <f t="shared" si="28"/>
        <v>0</v>
      </c>
      <c r="R360" s="13">
        <f>L360*Assumptions!$B$11+M360*Assumptions!$B$12+N360*Assumptions!$B$13+O360*Assumptions!$B$14+P360*Assumptions!$B$15+Q360*Assumptions!$B$16</f>
        <v>0</v>
      </c>
      <c r="S360" s="13" t="str">
        <f>IF(R360&gt;=Assumptions!$B$20,"High",IF(R360&gt;=Assumptions!$B$21,"Medium",IF(R360&gt;=1,"Low","Clear")))</f>
        <v>Clear</v>
      </c>
      <c r="T360" s="13" t="str">
        <f t="shared" si="29"/>
        <v/>
      </c>
    </row>
    <row r="361" spans="1:20" x14ac:dyDescent="0.35">
      <c r="A361" s="13" t="s">
        <v>1582</v>
      </c>
      <c r="B361" s="13" t="s">
        <v>680</v>
      </c>
      <c r="C361" s="13" t="s">
        <v>681</v>
      </c>
      <c r="D361" s="13" t="s">
        <v>1583</v>
      </c>
      <c r="E361" s="14">
        <v>45845</v>
      </c>
      <c r="F361" s="14">
        <v>45868</v>
      </c>
      <c r="G361" s="15">
        <v>174035.43</v>
      </c>
      <c r="H361" s="13" t="s">
        <v>1584</v>
      </c>
      <c r="I361" s="13" t="s">
        <v>1585</v>
      </c>
      <c r="J361" s="13" t="s">
        <v>143</v>
      </c>
      <c r="K361" s="13">
        <f t="shared" si="25"/>
        <v>1</v>
      </c>
      <c r="L361" s="13">
        <f t="shared" si="26"/>
        <v>0</v>
      </c>
      <c r="M361" s="13">
        <f>IF(AND(L361=0,COUNTIFS($B$2:$B$1534,B361,$G$2:$G$1534,G361,$E$2:$E$1534,"&gt;="&amp;(E361-Assumptions!$B$5),$E$2:$E$1534,"&lt;="&amp;(E361+Assumptions!$B$5))&gt;1),1,0)</f>
        <v>0</v>
      </c>
      <c r="N361" s="13">
        <f>IF(AND(G361&gt;=Assumptions!$B$4*(1-Assumptions!$B$6),G361&lt;Assumptions!$B$4),1,0)</f>
        <v>0</v>
      </c>
      <c r="O361" s="13">
        <f>IF(AND(G361&gt;=Assumptions!$B$7,MOD(G361,Assumptions!$B$7)=0),1,0)</f>
        <v>0</v>
      </c>
      <c r="P361" s="13">
        <f t="shared" si="27"/>
        <v>0</v>
      </c>
      <c r="Q361" s="13">
        <f t="shared" si="28"/>
        <v>0</v>
      </c>
      <c r="R361" s="13">
        <f>L361*Assumptions!$B$11+M361*Assumptions!$B$12+N361*Assumptions!$B$13+O361*Assumptions!$B$14+P361*Assumptions!$B$15+Q361*Assumptions!$B$16</f>
        <v>0</v>
      </c>
      <c r="S361" s="13" t="str">
        <f>IF(R361&gt;=Assumptions!$B$20,"High",IF(R361&gt;=Assumptions!$B$21,"Medium",IF(R361&gt;=1,"Low","Clear")))</f>
        <v>Clear</v>
      </c>
      <c r="T361" s="13" t="str">
        <f t="shared" si="29"/>
        <v/>
      </c>
    </row>
    <row r="362" spans="1:20" x14ac:dyDescent="0.35">
      <c r="A362" s="13" t="s">
        <v>1586</v>
      </c>
      <c r="B362" s="13" t="s">
        <v>252</v>
      </c>
      <c r="C362" s="13" t="s">
        <v>253</v>
      </c>
      <c r="D362" s="13" t="s">
        <v>1587</v>
      </c>
      <c r="E362" s="14">
        <v>45841</v>
      </c>
      <c r="F362" s="14">
        <v>45869</v>
      </c>
      <c r="G362" s="15">
        <v>201796.71</v>
      </c>
      <c r="H362" s="13" t="s">
        <v>1588</v>
      </c>
      <c r="I362" s="13" t="s">
        <v>1589</v>
      </c>
      <c r="J362" s="13" t="s">
        <v>98</v>
      </c>
      <c r="K362" s="13">
        <f t="shared" si="25"/>
        <v>2</v>
      </c>
      <c r="L362" s="13">
        <f t="shared" si="26"/>
        <v>0</v>
      </c>
      <c r="M362" s="13">
        <f>IF(AND(L362=0,COUNTIFS($B$2:$B$1534,B362,$G$2:$G$1534,G362,$E$2:$E$1534,"&gt;="&amp;(E362-Assumptions!$B$5),$E$2:$E$1534,"&lt;="&amp;(E362+Assumptions!$B$5))&gt;1),1,0)</f>
        <v>0</v>
      </c>
      <c r="N362" s="13">
        <f>IF(AND(G362&gt;=Assumptions!$B$4*(1-Assumptions!$B$6),G362&lt;Assumptions!$B$4),1,0)</f>
        <v>0</v>
      </c>
      <c r="O362" s="13">
        <f>IF(AND(G362&gt;=Assumptions!$B$7,MOD(G362,Assumptions!$B$7)=0),1,0)</f>
        <v>0</v>
      </c>
      <c r="P362" s="13">
        <f t="shared" si="27"/>
        <v>0</v>
      </c>
      <c r="Q362" s="13">
        <f t="shared" si="28"/>
        <v>0</v>
      </c>
      <c r="R362" s="13">
        <f>L362*Assumptions!$B$11+M362*Assumptions!$B$12+N362*Assumptions!$B$13+O362*Assumptions!$B$14+P362*Assumptions!$B$15+Q362*Assumptions!$B$16</f>
        <v>0</v>
      </c>
      <c r="S362" s="13" t="str">
        <f>IF(R362&gt;=Assumptions!$B$20,"High",IF(R362&gt;=Assumptions!$B$21,"Medium",IF(R362&gt;=1,"Low","Clear")))</f>
        <v>Clear</v>
      </c>
      <c r="T362" s="13" t="str">
        <f t="shared" si="29"/>
        <v/>
      </c>
    </row>
    <row r="363" spans="1:20" x14ac:dyDescent="0.35">
      <c r="A363" s="13" t="s">
        <v>1590</v>
      </c>
      <c r="B363" s="13" t="s">
        <v>131</v>
      </c>
      <c r="C363" s="13" t="s">
        <v>132</v>
      </c>
      <c r="D363" s="13" t="s">
        <v>1591</v>
      </c>
      <c r="E363" s="14">
        <v>45846</v>
      </c>
      <c r="F363" s="14">
        <v>45869</v>
      </c>
      <c r="G363" s="15">
        <v>9818.66</v>
      </c>
      <c r="H363" s="13" t="s">
        <v>1592</v>
      </c>
      <c r="I363" s="13" t="s">
        <v>1593</v>
      </c>
      <c r="J363" s="13" t="s">
        <v>136</v>
      </c>
      <c r="K363" s="13">
        <f t="shared" si="25"/>
        <v>9</v>
      </c>
      <c r="L363" s="13">
        <f t="shared" si="26"/>
        <v>0</v>
      </c>
      <c r="M363" s="13">
        <f>IF(AND(L363=0,COUNTIFS($B$2:$B$1534,B363,$G$2:$G$1534,G363,$E$2:$E$1534,"&gt;="&amp;(E363-Assumptions!$B$5),$E$2:$E$1534,"&lt;="&amp;(E363+Assumptions!$B$5))&gt;1),1,0)</f>
        <v>0</v>
      </c>
      <c r="N363" s="13">
        <f>IF(AND(G363&gt;=Assumptions!$B$4*(1-Assumptions!$B$6),G363&lt;Assumptions!$B$4),1,0)</f>
        <v>0</v>
      </c>
      <c r="O363" s="13">
        <f>IF(AND(G363&gt;=Assumptions!$B$7,MOD(G363,Assumptions!$B$7)=0),1,0)</f>
        <v>0</v>
      </c>
      <c r="P363" s="13">
        <f t="shared" si="27"/>
        <v>0</v>
      </c>
      <c r="Q363" s="13">
        <f t="shared" si="28"/>
        <v>0</v>
      </c>
      <c r="R363" s="13">
        <f>L363*Assumptions!$B$11+M363*Assumptions!$B$12+N363*Assumptions!$B$13+O363*Assumptions!$B$14+P363*Assumptions!$B$15+Q363*Assumptions!$B$16</f>
        <v>0</v>
      </c>
      <c r="S363" s="13" t="str">
        <f>IF(R363&gt;=Assumptions!$B$20,"High",IF(R363&gt;=Assumptions!$B$21,"Medium",IF(R363&gt;=1,"Low","Clear")))</f>
        <v>Clear</v>
      </c>
      <c r="T363" s="13" t="str">
        <f t="shared" si="29"/>
        <v/>
      </c>
    </row>
    <row r="364" spans="1:20" x14ac:dyDescent="0.35">
      <c r="A364" s="13" t="s">
        <v>1594</v>
      </c>
      <c r="B364" s="13" t="s">
        <v>329</v>
      </c>
      <c r="C364" s="13" t="s">
        <v>330</v>
      </c>
      <c r="D364" s="13" t="s">
        <v>1595</v>
      </c>
      <c r="E364" s="14">
        <v>45841</v>
      </c>
      <c r="F364" s="14">
        <v>45869</v>
      </c>
      <c r="G364" s="15">
        <v>24427.79</v>
      </c>
      <c r="H364" s="13" t="s">
        <v>1596</v>
      </c>
      <c r="I364" s="13" t="s">
        <v>1597</v>
      </c>
      <c r="J364" s="13" t="s">
        <v>91</v>
      </c>
      <c r="K364" s="13">
        <f t="shared" si="25"/>
        <v>2</v>
      </c>
      <c r="L364" s="13">
        <f t="shared" si="26"/>
        <v>0</v>
      </c>
      <c r="M364" s="13">
        <f>IF(AND(L364=0,COUNTIFS($B$2:$B$1534,B364,$G$2:$G$1534,G364,$E$2:$E$1534,"&gt;="&amp;(E364-Assumptions!$B$5),$E$2:$E$1534,"&lt;="&amp;(E364+Assumptions!$B$5))&gt;1),1,0)</f>
        <v>0</v>
      </c>
      <c r="N364" s="13">
        <f>IF(AND(G364&gt;=Assumptions!$B$4*(1-Assumptions!$B$6),G364&lt;Assumptions!$B$4),1,0)</f>
        <v>0</v>
      </c>
      <c r="O364" s="13">
        <f>IF(AND(G364&gt;=Assumptions!$B$7,MOD(G364,Assumptions!$B$7)=0),1,0)</f>
        <v>0</v>
      </c>
      <c r="P364" s="13">
        <f t="shared" si="27"/>
        <v>0</v>
      </c>
      <c r="Q364" s="13">
        <f t="shared" si="28"/>
        <v>0</v>
      </c>
      <c r="R364" s="13">
        <f>L364*Assumptions!$B$11+M364*Assumptions!$B$12+N364*Assumptions!$B$13+O364*Assumptions!$B$14+P364*Assumptions!$B$15+Q364*Assumptions!$B$16</f>
        <v>0</v>
      </c>
      <c r="S364" s="13" t="str">
        <f>IF(R364&gt;=Assumptions!$B$20,"High",IF(R364&gt;=Assumptions!$B$21,"Medium",IF(R364&gt;=1,"Low","Clear")))</f>
        <v>Clear</v>
      </c>
      <c r="T364" s="13" t="str">
        <f t="shared" si="29"/>
        <v/>
      </c>
    </row>
    <row r="365" spans="1:20" x14ac:dyDescent="0.35">
      <c r="A365" s="13" t="s">
        <v>1598</v>
      </c>
      <c r="B365" s="13" t="s">
        <v>145</v>
      </c>
      <c r="C365" s="13" t="s">
        <v>146</v>
      </c>
      <c r="D365" s="13" t="s">
        <v>1599</v>
      </c>
      <c r="E365" s="14">
        <v>45837</v>
      </c>
      <c r="F365" s="14">
        <v>45869</v>
      </c>
      <c r="G365" s="15">
        <v>91416.78</v>
      </c>
      <c r="H365" s="13" t="s">
        <v>1600</v>
      </c>
      <c r="I365" s="13" t="s">
        <v>1601</v>
      </c>
      <c r="J365" s="13" t="s">
        <v>136</v>
      </c>
      <c r="K365" s="13">
        <f t="shared" si="25"/>
        <v>9</v>
      </c>
      <c r="L365" s="13">
        <f t="shared" si="26"/>
        <v>0</v>
      </c>
      <c r="M365" s="13">
        <f>IF(AND(L365=0,COUNTIFS($B$2:$B$1534,B365,$G$2:$G$1534,G365,$E$2:$E$1534,"&gt;="&amp;(E365-Assumptions!$B$5),$E$2:$E$1534,"&lt;="&amp;(E365+Assumptions!$B$5))&gt;1),1,0)</f>
        <v>0</v>
      </c>
      <c r="N365" s="13">
        <f>IF(AND(G365&gt;=Assumptions!$B$4*(1-Assumptions!$B$6),G365&lt;Assumptions!$B$4),1,0)</f>
        <v>0</v>
      </c>
      <c r="O365" s="13">
        <f>IF(AND(G365&gt;=Assumptions!$B$7,MOD(G365,Assumptions!$B$7)=0),1,0)</f>
        <v>0</v>
      </c>
      <c r="P365" s="13">
        <f t="shared" si="27"/>
        <v>0</v>
      </c>
      <c r="Q365" s="13">
        <f t="shared" si="28"/>
        <v>0</v>
      </c>
      <c r="R365" s="13">
        <f>L365*Assumptions!$B$11+M365*Assumptions!$B$12+N365*Assumptions!$B$13+O365*Assumptions!$B$14+P365*Assumptions!$B$15+Q365*Assumptions!$B$16</f>
        <v>0</v>
      </c>
      <c r="S365" s="13" t="str">
        <f>IF(R365&gt;=Assumptions!$B$20,"High",IF(R365&gt;=Assumptions!$B$21,"Medium",IF(R365&gt;=1,"Low","Clear")))</f>
        <v>Clear</v>
      </c>
      <c r="T365" s="13" t="str">
        <f t="shared" si="29"/>
        <v/>
      </c>
    </row>
    <row r="366" spans="1:20" x14ac:dyDescent="0.35">
      <c r="A366" s="13" t="s">
        <v>1602</v>
      </c>
      <c r="B366" s="13" t="s">
        <v>234</v>
      </c>
      <c r="C366" s="13" t="s">
        <v>235</v>
      </c>
      <c r="D366" s="13" t="s">
        <v>1603</v>
      </c>
      <c r="E366" s="14">
        <v>45847</v>
      </c>
      <c r="F366" s="14">
        <v>45870</v>
      </c>
      <c r="G366" s="15">
        <v>3500.05</v>
      </c>
      <c r="H366" s="13" t="s">
        <v>1604</v>
      </c>
      <c r="I366" s="13" t="s">
        <v>1605</v>
      </c>
      <c r="J366" s="13" t="s">
        <v>91</v>
      </c>
      <c r="K366" s="13">
        <f t="shared" si="25"/>
        <v>3</v>
      </c>
      <c r="L366" s="13">
        <f t="shared" si="26"/>
        <v>0</v>
      </c>
      <c r="M366" s="13">
        <f>IF(AND(L366=0,COUNTIFS($B$2:$B$1534,B366,$G$2:$G$1534,G366,$E$2:$E$1534,"&gt;="&amp;(E366-Assumptions!$B$5),$E$2:$E$1534,"&lt;="&amp;(E366+Assumptions!$B$5))&gt;1),1,0)</f>
        <v>0</v>
      </c>
      <c r="N366" s="13">
        <f>IF(AND(G366&gt;=Assumptions!$B$4*(1-Assumptions!$B$6),G366&lt;Assumptions!$B$4),1,0)</f>
        <v>0</v>
      </c>
      <c r="O366" s="13">
        <f>IF(AND(G366&gt;=Assumptions!$B$7,MOD(G366,Assumptions!$B$7)=0),1,0)</f>
        <v>0</v>
      </c>
      <c r="P366" s="13">
        <f t="shared" si="27"/>
        <v>0</v>
      </c>
      <c r="Q366" s="13">
        <f t="shared" si="28"/>
        <v>0</v>
      </c>
      <c r="R366" s="13">
        <f>L366*Assumptions!$B$11+M366*Assumptions!$B$12+N366*Assumptions!$B$13+O366*Assumptions!$B$14+P366*Assumptions!$B$15+Q366*Assumptions!$B$16</f>
        <v>0</v>
      </c>
      <c r="S366" s="13" t="str">
        <f>IF(R366&gt;=Assumptions!$B$20,"High",IF(R366&gt;=Assumptions!$B$21,"Medium",IF(R366&gt;=1,"Low","Clear")))</f>
        <v>Clear</v>
      </c>
      <c r="T366" s="13" t="str">
        <f t="shared" si="29"/>
        <v/>
      </c>
    </row>
    <row r="367" spans="1:20" x14ac:dyDescent="0.35">
      <c r="A367" s="13" t="s">
        <v>1606</v>
      </c>
      <c r="B367" s="13" t="s">
        <v>206</v>
      </c>
      <c r="C367" s="13" t="s">
        <v>207</v>
      </c>
      <c r="D367" s="13" t="s">
        <v>1607</v>
      </c>
      <c r="E367" s="14">
        <v>45836</v>
      </c>
      <c r="F367" s="14">
        <v>45870</v>
      </c>
      <c r="G367" s="15">
        <v>544969.86</v>
      </c>
      <c r="H367" s="13" t="s">
        <v>1608</v>
      </c>
      <c r="I367" s="13" t="s">
        <v>1609</v>
      </c>
      <c r="J367" s="13" t="s">
        <v>170</v>
      </c>
      <c r="K367" s="13">
        <f t="shared" si="25"/>
        <v>5</v>
      </c>
      <c r="L367" s="13">
        <f t="shared" si="26"/>
        <v>0</v>
      </c>
      <c r="M367" s="13">
        <f>IF(AND(L367=0,COUNTIFS($B$2:$B$1534,B367,$G$2:$G$1534,G367,$E$2:$E$1534,"&gt;="&amp;(E367-Assumptions!$B$5),$E$2:$E$1534,"&lt;="&amp;(E367+Assumptions!$B$5))&gt;1),1,0)</f>
        <v>0</v>
      </c>
      <c r="N367" s="13">
        <f>IF(AND(G367&gt;=Assumptions!$B$4*(1-Assumptions!$B$6),G367&lt;Assumptions!$B$4),1,0)</f>
        <v>0</v>
      </c>
      <c r="O367" s="13">
        <f>IF(AND(G367&gt;=Assumptions!$B$7,MOD(G367,Assumptions!$B$7)=0),1,0)</f>
        <v>0</v>
      </c>
      <c r="P367" s="13">
        <f t="shared" si="27"/>
        <v>0</v>
      </c>
      <c r="Q367" s="13">
        <f t="shared" si="28"/>
        <v>0</v>
      </c>
      <c r="R367" s="13">
        <f>L367*Assumptions!$B$11+M367*Assumptions!$B$12+N367*Assumptions!$B$13+O367*Assumptions!$B$14+P367*Assumptions!$B$15+Q367*Assumptions!$B$16</f>
        <v>0</v>
      </c>
      <c r="S367" s="13" t="str">
        <f>IF(R367&gt;=Assumptions!$B$20,"High",IF(R367&gt;=Assumptions!$B$21,"Medium",IF(R367&gt;=1,"Low","Clear")))</f>
        <v>Clear</v>
      </c>
      <c r="T367" s="13" t="str">
        <f t="shared" si="29"/>
        <v/>
      </c>
    </row>
    <row r="368" spans="1:20" x14ac:dyDescent="0.35">
      <c r="A368" s="13" t="s">
        <v>1610</v>
      </c>
      <c r="B368" s="13" t="s">
        <v>476</v>
      </c>
      <c r="C368" s="13" t="s">
        <v>477</v>
      </c>
      <c r="D368" s="13" t="s">
        <v>1611</v>
      </c>
      <c r="E368" s="14">
        <v>45832</v>
      </c>
      <c r="F368" s="14">
        <v>45870</v>
      </c>
      <c r="G368" s="15">
        <v>48805.17</v>
      </c>
      <c r="H368" s="13" t="s">
        <v>1612</v>
      </c>
      <c r="I368" s="13" t="s">
        <v>1613</v>
      </c>
      <c r="J368" s="13" t="s">
        <v>143</v>
      </c>
      <c r="K368" s="13">
        <f t="shared" si="25"/>
        <v>4</v>
      </c>
      <c r="L368" s="13">
        <f t="shared" si="26"/>
        <v>0</v>
      </c>
      <c r="M368" s="13">
        <f>IF(AND(L368=0,COUNTIFS($B$2:$B$1534,B368,$G$2:$G$1534,G368,$E$2:$E$1534,"&gt;="&amp;(E368-Assumptions!$B$5),$E$2:$E$1534,"&lt;="&amp;(E368+Assumptions!$B$5))&gt;1),1,0)</f>
        <v>0</v>
      </c>
      <c r="N368" s="13">
        <f>IF(AND(G368&gt;=Assumptions!$B$4*(1-Assumptions!$B$6),G368&lt;Assumptions!$B$4),1,0)</f>
        <v>1</v>
      </c>
      <c r="O368" s="13">
        <f>IF(AND(G368&gt;=Assumptions!$B$7,MOD(G368,Assumptions!$B$7)=0),1,0)</f>
        <v>0</v>
      </c>
      <c r="P368" s="13">
        <f t="shared" si="27"/>
        <v>0</v>
      </c>
      <c r="Q368" s="13">
        <f t="shared" si="28"/>
        <v>0</v>
      </c>
      <c r="R368" s="13">
        <f>L368*Assumptions!$B$11+M368*Assumptions!$B$12+N368*Assumptions!$B$13+O368*Assumptions!$B$14+P368*Assumptions!$B$15+Q368*Assumptions!$B$16</f>
        <v>3</v>
      </c>
      <c r="S368" s="13" t="str">
        <f>IF(R368&gt;=Assumptions!$B$20,"High",IF(R368&gt;=Assumptions!$B$21,"Medium",IF(R368&gt;=1,"Low","Clear")))</f>
        <v>Medium</v>
      </c>
      <c r="T368" s="13" t="str">
        <f t="shared" si="29"/>
        <v xml:space="preserve">Just below limit; </v>
      </c>
    </row>
    <row r="369" spans="1:20" x14ac:dyDescent="0.35">
      <c r="A369" s="13" t="s">
        <v>1614</v>
      </c>
      <c r="B369" s="13" t="s">
        <v>176</v>
      </c>
      <c r="C369" s="13" t="s">
        <v>177</v>
      </c>
      <c r="D369" s="13" t="s">
        <v>1615</v>
      </c>
      <c r="E369" s="14">
        <v>45838</v>
      </c>
      <c r="F369" s="14">
        <v>45873</v>
      </c>
      <c r="G369" s="15">
        <v>31535.05</v>
      </c>
      <c r="H369" s="13" t="s">
        <v>587</v>
      </c>
      <c r="I369" s="13" t="s">
        <v>588</v>
      </c>
      <c r="J369" s="13" t="s">
        <v>91</v>
      </c>
      <c r="K369" s="13">
        <f t="shared" si="25"/>
        <v>3</v>
      </c>
      <c r="L369" s="13">
        <f t="shared" si="26"/>
        <v>0</v>
      </c>
      <c r="M369" s="13">
        <f>IF(AND(L369=0,COUNTIFS($B$2:$B$1534,B369,$G$2:$G$1534,G369,$E$2:$E$1534,"&gt;="&amp;(E369-Assumptions!$B$5),$E$2:$E$1534,"&lt;="&amp;(E369+Assumptions!$B$5))&gt;1),1,0)</f>
        <v>0</v>
      </c>
      <c r="N369" s="13">
        <f>IF(AND(G369&gt;=Assumptions!$B$4*(1-Assumptions!$B$6),G369&lt;Assumptions!$B$4),1,0)</f>
        <v>0</v>
      </c>
      <c r="O369" s="13">
        <f>IF(AND(G369&gt;=Assumptions!$B$7,MOD(G369,Assumptions!$B$7)=0),1,0)</f>
        <v>0</v>
      </c>
      <c r="P369" s="13">
        <f t="shared" si="27"/>
        <v>0</v>
      </c>
      <c r="Q369" s="13">
        <f t="shared" si="28"/>
        <v>0</v>
      </c>
      <c r="R369" s="13">
        <f>L369*Assumptions!$B$11+M369*Assumptions!$B$12+N369*Assumptions!$B$13+O369*Assumptions!$B$14+P369*Assumptions!$B$15+Q369*Assumptions!$B$16</f>
        <v>0</v>
      </c>
      <c r="S369" s="13" t="str">
        <f>IF(R369&gt;=Assumptions!$B$20,"High",IF(R369&gt;=Assumptions!$B$21,"Medium",IF(R369&gt;=1,"Low","Clear")))</f>
        <v>Clear</v>
      </c>
      <c r="T369" s="13" t="str">
        <f t="shared" si="29"/>
        <v/>
      </c>
    </row>
    <row r="370" spans="1:20" x14ac:dyDescent="0.35">
      <c r="A370" s="13" t="s">
        <v>1616</v>
      </c>
      <c r="B370" s="13" t="s">
        <v>182</v>
      </c>
      <c r="C370" s="13" t="s">
        <v>183</v>
      </c>
      <c r="D370" s="13" t="s">
        <v>1617</v>
      </c>
      <c r="E370" s="14">
        <v>45839</v>
      </c>
      <c r="F370" s="14">
        <v>45873</v>
      </c>
      <c r="G370" s="15">
        <v>59012.83</v>
      </c>
      <c r="H370" s="13" t="s">
        <v>1618</v>
      </c>
      <c r="I370" s="13" t="s">
        <v>1619</v>
      </c>
      <c r="J370" s="13" t="s">
        <v>98</v>
      </c>
      <c r="K370" s="13">
        <f t="shared" si="25"/>
        <v>5</v>
      </c>
      <c r="L370" s="13">
        <f t="shared" si="26"/>
        <v>0</v>
      </c>
      <c r="M370" s="13">
        <f>IF(AND(L370=0,COUNTIFS($B$2:$B$1534,B370,$G$2:$G$1534,G370,$E$2:$E$1534,"&gt;="&amp;(E370-Assumptions!$B$5),$E$2:$E$1534,"&lt;="&amp;(E370+Assumptions!$B$5))&gt;1),1,0)</f>
        <v>0</v>
      </c>
      <c r="N370" s="13">
        <f>IF(AND(G370&gt;=Assumptions!$B$4*(1-Assumptions!$B$6),G370&lt;Assumptions!$B$4),1,0)</f>
        <v>0</v>
      </c>
      <c r="O370" s="13">
        <f>IF(AND(G370&gt;=Assumptions!$B$7,MOD(G370,Assumptions!$B$7)=0),1,0)</f>
        <v>0</v>
      </c>
      <c r="P370" s="13">
        <f t="shared" si="27"/>
        <v>0</v>
      </c>
      <c r="Q370" s="13">
        <f t="shared" si="28"/>
        <v>0</v>
      </c>
      <c r="R370" s="13">
        <f>L370*Assumptions!$B$11+M370*Assumptions!$B$12+N370*Assumptions!$B$13+O370*Assumptions!$B$14+P370*Assumptions!$B$15+Q370*Assumptions!$B$16</f>
        <v>0</v>
      </c>
      <c r="S370" s="13" t="str">
        <f>IF(R370&gt;=Assumptions!$B$20,"High",IF(R370&gt;=Assumptions!$B$21,"Medium",IF(R370&gt;=1,"Low","Clear")))</f>
        <v>Clear</v>
      </c>
      <c r="T370" s="13" t="str">
        <f t="shared" si="29"/>
        <v/>
      </c>
    </row>
    <row r="371" spans="1:20" x14ac:dyDescent="0.35">
      <c r="A371" s="13" t="s">
        <v>1620</v>
      </c>
      <c r="B371" s="13" t="s">
        <v>200</v>
      </c>
      <c r="C371" s="13" t="s">
        <v>201</v>
      </c>
      <c r="D371" s="13" t="s">
        <v>1621</v>
      </c>
      <c r="E371" s="14">
        <v>45846</v>
      </c>
      <c r="F371" s="14">
        <v>45873</v>
      </c>
      <c r="G371" s="15">
        <v>324287.37</v>
      </c>
      <c r="H371" s="13" t="s">
        <v>1622</v>
      </c>
      <c r="I371" s="13" t="s">
        <v>1623</v>
      </c>
      <c r="J371" s="13" t="s">
        <v>98</v>
      </c>
      <c r="K371" s="13">
        <f t="shared" si="25"/>
        <v>3</v>
      </c>
      <c r="L371" s="13">
        <f t="shared" si="26"/>
        <v>0</v>
      </c>
      <c r="M371" s="13">
        <f>IF(AND(L371=0,COUNTIFS($B$2:$B$1534,B371,$G$2:$G$1534,G371,$E$2:$E$1534,"&gt;="&amp;(E371-Assumptions!$B$5),$E$2:$E$1534,"&lt;="&amp;(E371+Assumptions!$B$5))&gt;1),1,0)</f>
        <v>0</v>
      </c>
      <c r="N371" s="13">
        <f>IF(AND(G371&gt;=Assumptions!$B$4*(1-Assumptions!$B$6),G371&lt;Assumptions!$B$4),1,0)</f>
        <v>0</v>
      </c>
      <c r="O371" s="13">
        <f>IF(AND(G371&gt;=Assumptions!$B$7,MOD(G371,Assumptions!$B$7)=0),1,0)</f>
        <v>0</v>
      </c>
      <c r="P371" s="13">
        <f t="shared" si="27"/>
        <v>0</v>
      </c>
      <c r="Q371" s="13">
        <f t="shared" si="28"/>
        <v>0</v>
      </c>
      <c r="R371" s="13">
        <f>L371*Assumptions!$B$11+M371*Assumptions!$B$12+N371*Assumptions!$B$13+O371*Assumptions!$B$14+P371*Assumptions!$B$15+Q371*Assumptions!$B$16</f>
        <v>0</v>
      </c>
      <c r="S371" s="13" t="str">
        <f>IF(R371&gt;=Assumptions!$B$20,"High",IF(R371&gt;=Assumptions!$B$21,"Medium",IF(R371&gt;=1,"Low","Clear")))</f>
        <v>Clear</v>
      </c>
      <c r="T371" s="13" t="str">
        <f t="shared" si="29"/>
        <v/>
      </c>
    </row>
    <row r="372" spans="1:20" x14ac:dyDescent="0.35">
      <c r="A372" s="13" t="s">
        <v>1624</v>
      </c>
      <c r="B372" s="13" t="s">
        <v>680</v>
      </c>
      <c r="C372" s="13" t="s">
        <v>681</v>
      </c>
      <c r="D372" s="13" t="s">
        <v>1625</v>
      </c>
      <c r="E372" s="14">
        <v>45845</v>
      </c>
      <c r="F372" s="14">
        <v>45873</v>
      </c>
      <c r="G372" s="15">
        <v>7309.47</v>
      </c>
      <c r="H372" s="13" t="s">
        <v>1626</v>
      </c>
      <c r="I372" s="13" t="s">
        <v>1627</v>
      </c>
      <c r="J372" s="13" t="s">
        <v>143</v>
      </c>
      <c r="K372" s="13">
        <f t="shared" si="25"/>
        <v>7</v>
      </c>
      <c r="L372" s="13">
        <f t="shared" si="26"/>
        <v>0</v>
      </c>
      <c r="M372" s="13">
        <f>IF(AND(L372=0,COUNTIFS($B$2:$B$1534,B372,$G$2:$G$1534,G372,$E$2:$E$1534,"&gt;="&amp;(E372-Assumptions!$B$5),$E$2:$E$1534,"&lt;="&amp;(E372+Assumptions!$B$5))&gt;1),1,0)</f>
        <v>0</v>
      </c>
      <c r="N372" s="13">
        <f>IF(AND(G372&gt;=Assumptions!$B$4*(1-Assumptions!$B$6),G372&lt;Assumptions!$B$4),1,0)</f>
        <v>0</v>
      </c>
      <c r="O372" s="13">
        <f>IF(AND(G372&gt;=Assumptions!$B$7,MOD(G372,Assumptions!$B$7)=0),1,0)</f>
        <v>0</v>
      </c>
      <c r="P372" s="13">
        <f t="shared" si="27"/>
        <v>0</v>
      </c>
      <c r="Q372" s="13">
        <f t="shared" si="28"/>
        <v>0</v>
      </c>
      <c r="R372" s="13">
        <f>L372*Assumptions!$B$11+M372*Assumptions!$B$12+N372*Assumptions!$B$13+O372*Assumptions!$B$14+P372*Assumptions!$B$15+Q372*Assumptions!$B$16</f>
        <v>0</v>
      </c>
      <c r="S372" s="13" t="str">
        <f>IF(R372&gt;=Assumptions!$B$20,"High",IF(R372&gt;=Assumptions!$B$21,"Medium",IF(R372&gt;=1,"Low","Clear")))</f>
        <v>Clear</v>
      </c>
      <c r="T372" s="13" t="str">
        <f t="shared" si="29"/>
        <v/>
      </c>
    </row>
    <row r="373" spans="1:20" x14ac:dyDescent="0.35">
      <c r="A373" s="13" t="s">
        <v>1628</v>
      </c>
      <c r="B373" s="13" t="s">
        <v>680</v>
      </c>
      <c r="C373" s="13" t="s">
        <v>681</v>
      </c>
      <c r="D373" s="13" t="s">
        <v>1549</v>
      </c>
      <c r="E373" s="14">
        <v>45830</v>
      </c>
      <c r="F373" s="14">
        <v>45873</v>
      </c>
      <c r="G373" s="15">
        <v>78353.45</v>
      </c>
      <c r="H373" s="13" t="s">
        <v>1550</v>
      </c>
      <c r="I373" s="13" t="s">
        <v>1551</v>
      </c>
      <c r="J373" s="13" t="s">
        <v>111</v>
      </c>
      <c r="K373" s="13">
        <f t="shared" si="25"/>
        <v>7</v>
      </c>
      <c r="L373" s="13">
        <f t="shared" si="26"/>
        <v>1</v>
      </c>
      <c r="M373" s="13">
        <f>IF(AND(L373=0,COUNTIFS($B$2:$B$1534,B373,$G$2:$G$1534,G373,$E$2:$E$1534,"&gt;="&amp;(E373-Assumptions!$B$5),$E$2:$E$1534,"&lt;="&amp;(E373+Assumptions!$B$5))&gt;1),1,0)</f>
        <v>0</v>
      </c>
      <c r="N373" s="13">
        <f>IF(AND(G373&gt;=Assumptions!$B$4*(1-Assumptions!$B$6),G373&lt;Assumptions!$B$4),1,0)</f>
        <v>0</v>
      </c>
      <c r="O373" s="13">
        <f>IF(AND(G373&gt;=Assumptions!$B$7,MOD(G373,Assumptions!$B$7)=0),1,0)</f>
        <v>0</v>
      </c>
      <c r="P373" s="13">
        <f t="shared" si="27"/>
        <v>0</v>
      </c>
      <c r="Q373" s="13">
        <f t="shared" si="28"/>
        <v>0</v>
      </c>
      <c r="R373" s="13">
        <f>L373*Assumptions!$B$11+M373*Assumptions!$B$12+N373*Assumptions!$B$13+O373*Assumptions!$B$14+P373*Assumptions!$B$15+Q373*Assumptions!$B$16</f>
        <v>5</v>
      </c>
      <c r="S373" s="13" t="str">
        <f>IF(R373&gt;=Assumptions!$B$20,"High",IF(R373&gt;=Assumptions!$B$21,"Medium",IF(R373&gt;=1,"Low","Clear")))</f>
        <v>High</v>
      </c>
      <c r="T373" s="13" t="str">
        <f t="shared" si="29"/>
        <v xml:space="preserve">Duplicate invoice; </v>
      </c>
    </row>
    <row r="374" spans="1:20" x14ac:dyDescent="0.35">
      <c r="A374" s="13" t="s">
        <v>1629</v>
      </c>
      <c r="B374" s="13" t="s">
        <v>774</v>
      </c>
      <c r="C374" s="13" t="s">
        <v>775</v>
      </c>
      <c r="D374" s="13" t="s">
        <v>1630</v>
      </c>
      <c r="E374" s="14">
        <v>45848</v>
      </c>
      <c r="F374" s="14">
        <v>45873</v>
      </c>
      <c r="G374" s="15">
        <v>9720.17</v>
      </c>
      <c r="H374" s="13" t="s">
        <v>1631</v>
      </c>
      <c r="I374" s="13" t="s">
        <v>1632</v>
      </c>
      <c r="J374" s="13" t="s">
        <v>136</v>
      </c>
      <c r="K374" s="13">
        <f t="shared" si="25"/>
        <v>9</v>
      </c>
      <c r="L374" s="13">
        <f t="shared" si="26"/>
        <v>0</v>
      </c>
      <c r="M374" s="13">
        <f>IF(AND(L374=0,COUNTIFS($B$2:$B$1534,B374,$G$2:$G$1534,G374,$E$2:$E$1534,"&gt;="&amp;(E374-Assumptions!$B$5),$E$2:$E$1534,"&lt;="&amp;(E374+Assumptions!$B$5))&gt;1),1,0)</f>
        <v>0</v>
      </c>
      <c r="N374" s="13">
        <f>IF(AND(G374&gt;=Assumptions!$B$4*(1-Assumptions!$B$6),G374&lt;Assumptions!$B$4),1,0)</f>
        <v>0</v>
      </c>
      <c r="O374" s="13">
        <f>IF(AND(G374&gt;=Assumptions!$B$7,MOD(G374,Assumptions!$B$7)=0),1,0)</f>
        <v>0</v>
      </c>
      <c r="P374" s="13">
        <f t="shared" si="27"/>
        <v>0</v>
      </c>
      <c r="Q374" s="13">
        <f t="shared" si="28"/>
        <v>0</v>
      </c>
      <c r="R374" s="13">
        <f>L374*Assumptions!$B$11+M374*Assumptions!$B$12+N374*Assumptions!$B$13+O374*Assumptions!$B$14+P374*Assumptions!$B$15+Q374*Assumptions!$B$16</f>
        <v>0</v>
      </c>
      <c r="S374" s="13" t="str">
        <f>IF(R374&gt;=Assumptions!$B$20,"High",IF(R374&gt;=Assumptions!$B$21,"Medium",IF(R374&gt;=1,"Low","Clear")))</f>
        <v>Clear</v>
      </c>
      <c r="T374" s="13" t="str">
        <f t="shared" si="29"/>
        <v/>
      </c>
    </row>
    <row r="375" spans="1:20" x14ac:dyDescent="0.35">
      <c r="A375" s="13" t="s">
        <v>1633</v>
      </c>
      <c r="B375" s="13" t="s">
        <v>119</v>
      </c>
      <c r="C375" s="13" t="s">
        <v>120</v>
      </c>
      <c r="D375" s="13" t="s">
        <v>1634</v>
      </c>
      <c r="E375" s="14">
        <v>45833</v>
      </c>
      <c r="F375" s="14">
        <v>45873</v>
      </c>
      <c r="G375" s="15">
        <v>68870.570000000007</v>
      </c>
      <c r="H375" s="13" t="s">
        <v>1635</v>
      </c>
      <c r="I375" s="13" t="s">
        <v>1636</v>
      </c>
      <c r="J375" s="13" t="s">
        <v>136</v>
      </c>
      <c r="K375" s="13">
        <f t="shared" si="25"/>
        <v>6</v>
      </c>
      <c r="L375" s="13">
        <f t="shared" si="26"/>
        <v>0</v>
      </c>
      <c r="M375" s="13">
        <f>IF(AND(L375=0,COUNTIFS($B$2:$B$1534,B375,$G$2:$G$1534,G375,$E$2:$E$1534,"&gt;="&amp;(E375-Assumptions!$B$5),$E$2:$E$1534,"&lt;="&amp;(E375+Assumptions!$B$5))&gt;1),1,0)</f>
        <v>0</v>
      </c>
      <c r="N375" s="13">
        <f>IF(AND(G375&gt;=Assumptions!$B$4*(1-Assumptions!$B$6),G375&lt;Assumptions!$B$4),1,0)</f>
        <v>0</v>
      </c>
      <c r="O375" s="13">
        <f>IF(AND(G375&gt;=Assumptions!$B$7,MOD(G375,Assumptions!$B$7)=0),1,0)</f>
        <v>0</v>
      </c>
      <c r="P375" s="13">
        <f t="shared" si="27"/>
        <v>0</v>
      </c>
      <c r="Q375" s="13">
        <f t="shared" si="28"/>
        <v>0</v>
      </c>
      <c r="R375" s="13">
        <f>L375*Assumptions!$B$11+M375*Assumptions!$B$12+N375*Assumptions!$B$13+O375*Assumptions!$B$14+P375*Assumptions!$B$15+Q375*Assumptions!$B$16</f>
        <v>0</v>
      </c>
      <c r="S375" s="13" t="str">
        <f>IF(R375&gt;=Assumptions!$B$20,"High",IF(R375&gt;=Assumptions!$B$21,"Medium",IF(R375&gt;=1,"Low","Clear")))</f>
        <v>Clear</v>
      </c>
      <c r="T375" s="13" t="str">
        <f t="shared" si="29"/>
        <v/>
      </c>
    </row>
    <row r="376" spans="1:20" x14ac:dyDescent="0.35">
      <c r="A376" s="13" t="s">
        <v>1637</v>
      </c>
      <c r="B376" s="13" t="s">
        <v>218</v>
      </c>
      <c r="C376" s="13" t="s">
        <v>219</v>
      </c>
      <c r="D376" s="13" t="s">
        <v>1638</v>
      </c>
      <c r="E376" s="14">
        <v>45845</v>
      </c>
      <c r="F376" s="14">
        <v>45873</v>
      </c>
      <c r="G376" s="15">
        <v>37894.49</v>
      </c>
      <c r="H376" s="13" t="s">
        <v>1639</v>
      </c>
      <c r="I376" s="13" t="s">
        <v>1640</v>
      </c>
      <c r="J376" s="13" t="s">
        <v>136</v>
      </c>
      <c r="K376" s="13">
        <f t="shared" si="25"/>
        <v>3</v>
      </c>
      <c r="L376" s="13">
        <f t="shared" si="26"/>
        <v>0</v>
      </c>
      <c r="M376" s="13">
        <f>IF(AND(L376=0,COUNTIFS($B$2:$B$1534,B376,$G$2:$G$1534,G376,$E$2:$E$1534,"&gt;="&amp;(E376-Assumptions!$B$5),$E$2:$E$1534,"&lt;="&amp;(E376+Assumptions!$B$5))&gt;1),1,0)</f>
        <v>0</v>
      </c>
      <c r="N376" s="13">
        <f>IF(AND(G376&gt;=Assumptions!$B$4*(1-Assumptions!$B$6),G376&lt;Assumptions!$B$4),1,0)</f>
        <v>0</v>
      </c>
      <c r="O376" s="13">
        <f>IF(AND(G376&gt;=Assumptions!$B$7,MOD(G376,Assumptions!$B$7)=0),1,0)</f>
        <v>0</v>
      </c>
      <c r="P376" s="13">
        <f t="shared" si="27"/>
        <v>0</v>
      </c>
      <c r="Q376" s="13">
        <f t="shared" si="28"/>
        <v>0</v>
      </c>
      <c r="R376" s="13">
        <f>L376*Assumptions!$B$11+M376*Assumptions!$B$12+N376*Assumptions!$B$13+O376*Assumptions!$B$14+P376*Assumptions!$B$15+Q376*Assumptions!$B$16</f>
        <v>0</v>
      </c>
      <c r="S376" s="13" t="str">
        <f>IF(R376&gt;=Assumptions!$B$20,"High",IF(R376&gt;=Assumptions!$B$21,"Medium",IF(R376&gt;=1,"Low","Clear")))</f>
        <v>Clear</v>
      </c>
      <c r="T376" s="13" t="str">
        <f t="shared" si="29"/>
        <v/>
      </c>
    </row>
    <row r="377" spans="1:20" x14ac:dyDescent="0.35">
      <c r="A377" s="13" t="s">
        <v>1641</v>
      </c>
      <c r="B377" s="13" t="s">
        <v>323</v>
      </c>
      <c r="C377" s="13" t="s">
        <v>324</v>
      </c>
      <c r="D377" s="13" t="s">
        <v>1642</v>
      </c>
      <c r="E377" s="14">
        <v>45840</v>
      </c>
      <c r="F377" s="14">
        <v>45873</v>
      </c>
      <c r="G377" s="15">
        <v>238446.31</v>
      </c>
      <c r="H377" s="13" t="s">
        <v>1643</v>
      </c>
      <c r="I377" s="13" t="s">
        <v>1644</v>
      </c>
      <c r="J377" s="13" t="s">
        <v>170</v>
      </c>
      <c r="K377" s="13">
        <f t="shared" si="25"/>
        <v>2</v>
      </c>
      <c r="L377" s="13">
        <f t="shared" si="26"/>
        <v>0</v>
      </c>
      <c r="M377" s="13">
        <f>IF(AND(L377=0,COUNTIFS($B$2:$B$1534,B377,$G$2:$G$1534,G377,$E$2:$E$1534,"&gt;="&amp;(E377-Assumptions!$B$5),$E$2:$E$1534,"&lt;="&amp;(E377+Assumptions!$B$5))&gt;1),1,0)</f>
        <v>0</v>
      </c>
      <c r="N377" s="13">
        <f>IF(AND(G377&gt;=Assumptions!$B$4*(1-Assumptions!$B$6),G377&lt;Assumptions!$B$4),1,0)</f>
        <v>0</v>
      </c>
      <c r="O377" s="13">
        <f>IF(AND(G377&gt;=Assumptions!$B$7,MOD(G377,Assumptions!$B$7)=0),1,0)</f>
        <v>0</v>
      </c>
      <c r="P377" s="13">
        <f t="shared" si="27"/>
        <v>0</v>
      </c>
      <c r="Q377" s="13">
        <f t="shared" si="28"/>
        <v>0</v>
      </c>
      <c r="R377" s="13">
        <f>L377*Assumptions!$B$11+M377*Assumptions!$B$12+N377*Assumptions!$B$13+O377*Assumptions!$B$14+P377*Assumptions!$B$15+Q377*Assumptions!$B$16</f>
        <v>0</v>
      </c>
      <c r="S377" s="13" t="str">
        <f>IF(R377&gt;=Assumptions!$B$20,"High",IF(R377&gt;=Assumptions!$B$21,"Medium",IF(R377&gt;=1,"Low","Clear")))</f>
        <v>Clear</v>
      </c>
      <c r="T377" s="13" t="str">
        <f t="shared" si="29"/>
        <v/>
      </c>
    </row>
    <row r="378" spans="1:20" x14ac:dyDescent="0.35">
      <c r="A378" s="13" t="s">
        <v>1645</v>
      </c>
      <c r="B378" s="13" t="s">
        <v>476</v>
      </c>
      <c r="C378" s="13" t="s">
        <v>477</v>
      </c>
      <c r="D378" s="13" t="s">
        <v>1646</v>
      </c>
      <c r="E378" s="14">
        <v>45850</v>
      </c>
      <c r="F378" s="14">
        <v>45873</v>
      </c>
      <c r="G378" s="15">
        <v>1194.56</v>
      </c>
      <c r="H378" s="13" t="s">
        <v>1647</v>
      </c>
      <c r="I378" s="13" t="s">
        <v>1648</v>
      </c>
      <c r="J378" s="13" t="s">
        <v>170</v>
      </c>
      <c r="K378" s="13">
        <f t="shared" si="25"/>
        <v>1</v>
      </c>
      <c r="L378" s="13">
        <f t="shared" si="26"/>
        <v>0</v>
      </c>
      <c r="M378" s="13">
        <f>IF(AND(L378=0,COUNTIFS($B$2:$B$1534,B378,$G$2:$G$1534,G378,$E$2:$E$1534,"&gt;="&amp;(E378-Assumptions!$B$5),$E$2:$E$1534,"&lt;="&amp;(E378+Assumptions!$B$5))&gt;1),1,0)</f>
        <v>0</v>
      </c>
      <c r="N378" s="13">
        <f>IF(AND(G378&gt;=Assumptions!$B$4*(1-Assumptions!$B$6),G378&lt;Assumptions!$B$4),1,0)</f>
        <v>0</v>
      </c>
      <c r="O378" s="13">
        <f>IF(AND(G378&gt;=Assumptions!$B$7,MOD(G378,Assumptions!$B$7)=0),1,0)</f>
        <v>0</v>
      </c>
      <c r="P378" s="13">
        <f t="shared" si="27"/>
        <v>0</v>
      </c>
      <c r="Q378" s="13">
        <f t="shared" si="28"/>
        <v>0</v>
      </c>
      <c r="R378" s="13">
        <f>L378*Assumptions!$B$11+M378*Assumptions!$B$12+N378*Assumptions!$B$13+O378*Assumptions!$B$14+P378*Assumptions!$B$15+Q378*Assumptions!$B$16</f>
        <v>0</v>
      </c>
      <c r="S378" s="13" t="str">
        <f>IF(R378&gt;=Assumptions!$B$20,"High",IF(R378&gt;=Assumptions!$B$21,"Medium",IF(R378&gt;=1,"Low","Clear")))</f>
        <v>Clear</v>
      </c>
      <c r="T378" s="13" t="str">
        <f t="shared" si="29"/>
        <v/>
      </c>
    </row>
    <row r="379" spans="1:20" x14ac:dyDescent="0.35">
      <c r="A379" s="13" t="s">
        <v>1649</v>
      </c>
      <c r="B379" s="13" t="s">
        <v>100</v>
      </c>
      <c r="C379" s="13" t="s">
        <v>101</v>
      </c>
      <c r="D379" s="13" t="s">
        <v>1650</v>
      </c>
      <c r="E379" s="14">
        <v>45850</v>
      </c>
      <c r="F379" s="14">
        <v>45873</v>
      </c>
      <c r="G379" s="15">
        <v>2553.79</v>
      </c>
      <c r="H379" s="13" t="s">
        <v>1651</v>
      </c>
      <c r="I379" s="13" t="s">
        <v>1652</v>
      </c>
      <c r="J379" s="13" t="s">
        <v>143</v>
      </c>
      <c r="K379" s="13">
        <f t="shared" si="25"/>
        <v>2</v>
      </c>
      <c r="L379" s="13">
        <f t="shared" si="26"/>
        <v>0</v>
      </c>
      <c r="M379" s="13">
        <f>IF(AND(L379=0,COUNTIFS($B$2:$B$1534,B379,$G$2:$G$1534,G379,$E$2:$E$1534,"&gt;="&amp;(E379-Assumptions!$B$5),$E$2:$E$1534,"&lt;="&amp;(E379+Assumptions!$B$5))&gt;1),1,0)</f>
        <v>0</v>
      </c>
      <c r="N379" s="13">
        <f>IF(AND(G379&gt;=Assumptions!$B$4*(1-Assumptions!$B$6),G379&lt;Assumptions!$B$4),1,0)</f>
        <v>0</v>
      </c>
      <c r="O379" s="13">
        <f>IF(AND(G379&gt;=Assumptions!$B$7,MOD(G379,Assumptions!$B$7)=0),1,0)</f>
        <v>0</v>
      </c>
      <c r="P379" s="13">
        <f t="shared" si="27"/>
        <v>0</v>
      </c>
      <c r="Q379" s="13">
        <f t="shared" si="28"/>
        <v>0</v>
      </c>
      <c r="R379" s="13">
        <f>L379*Assumptions!$B$11+M379*Assumptions!$B$12+N379*Assumptions!$B$13+O379*Assumptions!$B$14+P379*Assumptions!$B$15+Q379*Assumptions!$B$16</f>
        <v>0</v>
      </c>
      <c r="S379" s="13" t="str">
        <f>IF(R379&gt;=Assumptions!$B$20,"High",IF(R379&gt;=Assumptions!$B$21,"Medium",IF(R379&gt;=1,"Low","Clear")))</f>
        <v>Clear</v>
      </c>
      <c r="T379" s="13" t="str">
        <f t="shared" si="29"/>
        <v/>
      </c>
    </row>
    <row r="380" spans="1:20" x14ac:dyDescent="0.35">
      <c r="A380" s="13" t="s">
        <v>1653</v>
      </c>
      <c r="B380" s="13" t="s">
        <v>100</v>
      </c>
      <c r="C380" s="13" t="s">
        <v>101</v>
      </c>
      <c r="D380" s="13" t="s">
        <v>1654</v>
      </c>
      <c r="E380" s="14">
        <v>45835</v>
      </c>
      <c r="F380" s="14">
        <v>45873</v>
      </c>
      <c r="G380" s="15">
        <v>3813.39</v>
      </c>
      <c r="H380" s="13" t="s">
        <v>1655</v>
      </c>
      <c r="I380" s="13" t="s">
        <v>1656</v>
      </c>
      <c r="J380" s="13" t="s">
        <v>136</v>
      </c>
      <c r="K380" s="13">
        <f t="shared" si="25"/>
        <v>3</v>
      </c>
      <c r="L380" s="13">
        <f t="shared" si="26"/>
        <v>1</v>
      </c>
      <c r="M380" s="13">
        <f>IF(AND(L380=0,COUNTIFS($B$2:$B$1534,B380,$G$2:$G$1534,G380,$E$2:$E$1534,"&gt;="&amp;(E380-Assumptions!$B$5),$E$2:$E$1534,"&lt;="&amp;(E380+Assumptions!$B$5))&gt;1),1,0)</f>
        <v>0</v>
      </c>
      <c r="N380" s="13">
        <f>IF(AND(G380&gt;=Assumptions!$B$4*(1-Assumptions!$B$6),G380&lt;Assumptions!$B$4),1,0)</f>
        <v>0</v>
      </c>
      <c r="O380" s="13">
        <f>IF(AND(G380&gt;=Assumptions!$B$7,MOD(G380,Assumptions!$B$7)=0),1,0)</f>
        <v>0</v>
      </c>
      <c r="P380" s="13">
        <f t="shared" si="27"/>
        <v>0</v>
      </c>
      <c r="Q380" s="13">
        <f t="shared" si="28"/>
        <v>0</v>
      </c>
      <c r="R380" s="13">
        <f>L380*Assumptions!$B$11+M380*Assumptions!$B$12+N380*Assumptions!$B$13+O380*Assumptions!$B$14+P380*Assumptions!$B$15+Q380*Assumptions!$B$16</f>
        <v>5</v>
      </c>
      <c r="S380" s="13" t="str">
        <f>IF(R380&gt;=Assumptions!$B$20,"High",IF(R380&gt;=Assumptions!$B$21,"Medium",IF(R380&gt;=1,"Low","Clear")))</f>
        <v>High</v>
      </c>
      <c r="T380" s="13" t="str">
        <f t="shared" si="29"/>
        <v xml:space="preserve">Duplicate invoice; </v>
      </c>
    </row>
    <row r="381" spans="1:20" x14ac:dyDescent="0.35">
      <c r="A381" s="13" t="s">
        <v>1657</v>
      </c>
      <c r="B381" s="13" t="s">
        <v>106</v>
      </c>
      <c r="C381" s="13" t="s">
        <v>107</v>
      </c>
      <c r="D381" s="13" t="s">
        <v>1658</v>
      </c>
      <c r="E381" s="14">
        <v>45841</v>
      </c>
      <c r="F381" s="14">
        <v>45873</v>
      </c>
      <c r="G381" s="15">
        <v>91897.55</v>
      </c>
      <c r="H381" s="13" t="s">
        <v>1659</v>
      </c>
      <c r="I381" s="13" t="s">
        <v>1660</v>
      </c>
      <c r="J381" s="13" t="s">
        <v>143</v>
      </c>
      <c r="K381" s="13">
        <f t="shared" si="25"/>
        <v>9</v>
      </c>
      <c r="L381" s="13">
        <f t="shared" si="26"/>
        <v>0</v>
      </c>
      <c r="M381" s="13">
        <f>IF(AND(L381=0,COUNTIFS($B$2:$B$1534,B381,$G$2:$G$1534,G381,$E$2:$E$1534,"&gt;="&amp;(E381-Assumptions!$B$5),$E$2:$E$1534,"&lt;="&amp;(E381+Assumptions!$B$5))&gt;1),1,0)</f>
        <v>0</v>
      </c>
      <c r="N381" s="13">
        <f>IF(AND(G381&gt;=Assumptions!$B$4*(1-Assumptions!$B$6),G381&lt;Assumptions!$B$4),1,0)</f>
        <v>0</v>
      </c>
      <c r="O381" s="13">
        <f>IF(AND(G381&gt;=Assumptions!$B$7,MOD(G381,Assumptions!$B$7)=0),1,0)</f>
        <v>0</v>
      </c>
      <c r="P381" s="13">
        <f t="shared" si="27"/>
        <v>0</v>
      </c>
      <c r="Q381" s="13">
        <f t="shared" si="28"/>
        <v>0</v>
      </c>
      <c r="R381" s="13">
        <f>L381*Assumptions!$B$11+M381*Assumptions!$B$12+N381*Assumptions!$B$13+O381*Assumptions!$B$14+P381*Assumptions!$B$15+Q381*Assumptions!$B$16</f>
        <v>0</v>
      </c>
      <c r="S381" s="13" t="str">
        <f>IF(R381&gt;=Assumptions!$B$20,"High",IF(R381&gt;=Assumptions!$B$21,"Medium",IF(R381&gt;=1,"Low","Clear")))</f>
        <v>Clear</v>
      </c>
      <c r="T381" s="13" t="str">
        <f t="shared" si="29"/>
        <v/>
      </c>
    </row>
    <row r="382" spans="1:20" x14ac:dyDescent="0.35">
      <c r="A382" s="13" t="s">
        <v>1661</v>
      </c>
      <c r="B382" s="13" t="s">
        <v>357</v>
      </c>
      <c r="C382" s="13" t="s">
        <v>358</v>
      </c>
      <c r="D382" s="13" t="s">
        <v>1662</v>
      </c>
      <c r="E382" s="14">
        <v>45835</v>
      </c>
      <c r="F382" s="14">
        <v>45873</v>
      </c>
      <c r="G382" s="15">
        <v>1555.51</v>
      </c>
      <c r="H382" s="13" t="s">
        <v>1663</v>
      </c>
      <c r="I382" s="13" t="s">
        <v>1664</v>
      </c>
      <c r="J382" s="13" t="s">
        <v>98</v>
      </c>
      <c r="K382" s="13">
        <f t="shared" si="25"/>
        <v>1</v>
      </c>
      <c r="L382" s="13">
        <f t="shared" si="26"/>
        <v>0</v>
      </c>
      <c r="M382" s="13">
        <f>IF(AND(L382=0,COUNTIFS($B$2:$B$1534,B382,$G$2:$G$1534,G382,$E$2:$E$1534,"&gt;="&amp;(E382-Assumptions!$B$5),$E$2:$E$1534,"&lt;="&amp;(E382+Assumptions!$B$5))&gt;1),1,0)</f>
        <v>0</v>
      </c>
      <c r="N382" s="13">
        <f>IF(AND(G382&gt;=Assumptions!$B$4*(1-Assumptions!$B$6),G382&lt;Assumptions!$B$4),1,0)</f>
        <v>0</v>
      </c>
      <c r="O382" s="13">
        <f>IF(AND(G382&gt;=Assumptions!$B$7,MOD(G382,Assumptions!$B$7)=0),1,0)</f>
        <v>0</v>
      </c>
      <c r="P382" s="13">
        <f t="shared" si="27"/>
        <v>0</v>
      </c>
      <c r="Q382" s="13">
        <f t="shared" si="28"/>
        <v>0</v>
      </c>
      <c r="R382" s="13">
        <f>L382*Assumptions!$B$11+M382*Assumptions!$B$12+N382*Assumptions!$B$13+O382*Assumptions!$B$14+P382*Assumptions!$B$15+Q382*Assumptions!$B$16</f>
        <v>0</v>
      </c>
      <c r="S382" s="13" t="str">
        <f>IF(R382&gt;=Assumptions!$B$20,"High",IF(R382&gt;=Assumptions!$B$21,"Medium",IF(R382&gt;=1,"Low","Clear")))</f>
        <v>Clear</v>
      </c>
      <c r="T382" s="13" t="str">
        <f t="shared" si="29"/>
        <v/>
      </c>
    </row>
    <row r="383" spans="1:20" x14ac:dyDescent="0.35">
      <c r="A383" s="13" t="s">
        <v>1665</v>
      </c>
      <c r="B383" s="13" t="s">
        <v>200</v>
      </c>
      <c r="C383" s="13" t="s">
        <v>201</v>
      </c>
      <c r="D383" s="13" t="s">
        <v>1666</v>
      </c>
      <c r="E383" s="14">
        <v>45846</v>
      </c>
      <c r="F383" s="14">
        <v>45874</v>
      </c>
      <c r="G383" s="15">
        <v>282977.67</v>
      </c>
      <c r="H383" s="13" t="s">
        <v>1667</v>
      </c>
      <c r="I383" s="13" t="s">
        <v>1668</v>
      </c>
      <c r="J383" s="13" t="s">
        <v>136</v>
      </c>
      <c r="K383" s="13">
        <f t="shared" si="25"/>
        <v>2</v>
      </c>
      <c r="L383" s="13">
        <f t="shared" si="26"/>
        <v>0</v>
      </c>
      <c r="M383" s="13">
        <f>IF(AND(L383=0,COUNTIFS($B$2:$B$1534,B383,$G$2:$G$1534,G383,$E$2:$E$1534,"&gt;="&amp;(E383-Assumptions!$B$5),$E$2:$E$1534,"&lt;="&amp;(E383+Assumptions!$B$5))&gt;1),1,0)</f>
        <v>0</v>
      </c>
      <c r="N383" s="13">
        <f>IF(AND(G383&gt;=Assumptions!$B$4*(1-Assumptions!$B$6),G383&lt;Assumptions!$B$4),1,0)</f>
        <v>0</v>
      </c>
      <c r="O383" s="13">
        <f>IF(AND(G383&gt;=Assumptions!$B$7,MOD(G383,Assumptions!$B$7)=0),1,0)</f>
        <v>0</v>
      </c>
      <c r="P383" s="13">
        <f t="shared" si="27"/>
        <v>0</v>
      </c>
      <c r="Q383" s="13">
        <f t="shared" si="28"/>
        <v>0</v>
      </c>
      <c r="R383" s="13">
        <f>L383*Assumptions!$B$11+M383*Assumptions!$B$12+N383*Assumptions!$B$13+O383*Assumptions!$B$14+P383*Assumptions!$B$15+Q383*Assumptions!$B$16</f>
        <v>0</v>
      </c>
      <c r="S383" s="13" t="str">
        <f>IF(R383&gt;=Assumptions!$B$20,"High",IF(R383&gt;=Assumptions!$B$21,"Medium",IF(R383&gt;=1,"Low","Clear")))</f>
        <v>Clear</v>
      </c>
      <c r="T383" s="13" t="str">
        <f t="shared" si="29"/>
        <v/>
      </c>
    </row>
    <row r="384" spans="1:20" x14ac:dyDescent="0.35">
      <c r="A384" s="13" t="s">
        <v>1669</v>
      </c>
      <c r="B384" s="13" t="s">
        <v>93</v>
      </c>
      <c r="C384" s="13" t="s">
        <v>94</v>
      </c>
      <c r="D384" s="13" t="s">
        <v>1670</v>
      </c>
      <c r="E384" s="14">
        <v>45852</v>
      </c>
      <c r="F384" s="14">
        <v>45874</v>
      </c>
      <c r="G384" s="15">
        <v>3398.09</v>
      </c>
      <c r="H384" s="13" t="s">
        <v>1671</v>
      </c>
      <c r="I384" s="13" t="s">
        <v>1672</v>
      </c>
      <c r="J384" s="13" t="s">
        <v>98</v>
      </c>
      <c r="K384" s="13">
        <f t="shared" si="25"/>
        <v>3</v>
      </c>
      <c r="L384" s="13">
        <f t="shared" si="26"/>
        <v>0</v>
      </c>
      <c r="M384" s="13">
        <f>IF(AND(L384=0,COUNTIFS($B$2:$B$1534,B384,$G$2:$G$1534,G384,$E$2:$E$1534,"&gt;="&amp;(E384-Assumptions!$B$5),$E$2:$E$1534,"&lt;="&amp;(E384+Assumptions!$B$5))&gt;1),1,0)</f>
        <v>0</v>
      </c>
      <c r="N384" s="13">
        <f>IF(AND(G384&gt;=Assumptions!$B$4*(1-Assumptions!$B$6),G384&lt;Assumptions!$B$4),1,0)</f>
        <v>0</v>
      </c>
      <c r="O384" s="13">
        <f>IF(AND(G384&gt;=Assumptions!$B$7,MOD(G384,Assumptions!$B$7)=0),1,0)</f>
        <v>0</v>
      </c>
      <c r="P384" s="13">
        <f t="shared" si="27"/>
        <v>0</v>
      </c>
      <c r="Q384" s="13">
        <f t="shared" si="28"/>
        <v>0</v>
      </c>
      <c r="R384" s="13">
        <f>L384*Assumptions!$B$11+M384*Assumptions!$B$12+N384*Assumptions!$B$13+O384*Assumptions!$B$14+P384*Assumptions!$B$15+Q384*Assumptions!$B$16</f>
        <v>0</v>
      </c>
      <c r="S384" s="13" t="str">
        <f>IF(R384&gt;=Assumptions!$B$20,"High",IF(R384&gt;=Assumptions!$B$21,"Medium",IF(R384&gt;=1,"Low","Clear")))</f>
        <v>Clear</v>
      </c>
      <c r="T384" s="13" t="str">
        <f t="shared" si="29"/>
        <v/>
      </c>
    </row>
    <row r="385" spans="1:20" x14ac:dyDescent="0.35">
      <c r="A385" s="13" t="s">
        <v>1673</v>
      </c>
      <c r="B385" s="13" t="s">
        <v>119</v>
      </c>
      <c r="C385" s="13" t="s">
        <v>120</v>
      </c>
      <c r="D385" s="13" t="s">
        <v>1674</v>
      </c>
      <c r="E385" s="14">
        <v>45848</v>
      </c>
      <c r="F385" s="14">
        <v>45874</v>
      </c>
      <c r="G385" s="15">
        <v>83495.75</v>
      </c>
      <c r="H385" s="13" t="s">
        <v>1675</v>
      </c>
      <c r="I385" s="13" t="s">
        <v>1676</v>
      </c>
      <c r="J385" s="13" t="s">
        <v>170</v>
      </c>
      <c r="K385" s="13">
        <f t="shared" si="25"/>
        <v>8</v>
      </c>
      <c r="L385" s="13">
        <f t="shared" si="26"/>
        <v>1</v>
      </c>
      <c r="M385" s="13">
        <f>IF(AND(L385=0,COUNTIFS($B$2:$B$1534,B385,$G$2:$G$1534,G385,$E$2:$E$1534,"&gt;="&amp;(E385-Assumptions!$B$5),$E$2:$E$1534,"&lt;="&amp;(E385+Assumptions!$B$5))&gt;1),1,0)</f>
        <v>0</v>
      </c>
      <c r="N385" s="13">
        <f>IF(AND(G385&gt;=Assumptions!$B$4*(1-Assumptions!$B$6),G385&lt;Assumptions!$B$4),1,0)</f>
        <v>0</v>
      </c>
      <c r="O385" s="13">
        <f>IF(AND(G385&gt;=Assumptions!$B$7,MOD(G385,Assumptions!$B$7)=0),1,0)</f>
        <v>0</v>
      </c>
      <c r="P385" s="13">
        <f t="shared" si="27"/>
        <v>0</v>
      </c>
      <c r="Q385" s="13">
        <f t="shared" si="28"/>
        <v>0</v>
      </c>
      <c r="R385" s="13">
        <f>L385*Assumptions!$B$11+M385*Assumptions!$B$12+N385*Assumptions!$B$13+O385*Assumptions!$B$14+P385*Assumptions!$B$15+Q385*Assumptions!$B$16</f>
        <v>5</v>
      </c>
      <c r="S385" s="13" t="str">
        <f>IF(R385&gt;=Assumptions!$B$20,"High",IF(R385&gt;=Assumptions!$B$21,"Medium",IF(R385&gt;=1,"Low","Clear")))</f>
        <v>High</v>
      </c>
      <c r="T385" s="13" t="str">
        <f t="shared" si="29"/>
        <v xml:space="preserve">Duplicate invoice; </v>
      </c>
    </row>
    <row r="386" spans="1:20" x14ac:dyDescent="0.35">
      <c r="A386" s="13" t="s">
        <v>1677</v>
      </c>
      <c r="B386" s="13" t="s">
        <v>438</v>
      </c>
      <c r="C386" s="13" t="s">
        <v>439</v>
      </c>
      <c r="D386" s="13" t="s">
        <v>1678</v>
      </c>
      <c r="E386" s="14">
        <v>45843</v>
      </c>
      <c r="F386" s="14">
        <v>45874</v>
      </c>
      <c r="G386" s="15">
        <v>9505.06</v>
      </c>
      <c r="H386" s="13" t="s">
        <v>1679</v>
      </c>
      <c r="I386" s="13" t="s">
        <v>1680</v>
      </c>
      <c r="J386" s="13" t="s">
        <v>170</v>
      </c>
      <c r="K386" s="13">
        <f t="shared" ref="K386:K449" si="30">VALUE(LEFT(TEXT(G386,"0"),1))</f>
        <v>9</v>
      </c>
      <c r="L386" s="13">
        <f t="shared" ref="L386:L449" si="31">IF(COUNTIFS($B$2:$B$1534,B386,$D$2:$D$1534,D386)&gt;1,1,0)</f>
        <v>0</v>
      </c>
      <c r="M386" s="13">
        <f>IF(AND(L386=0,COUNTIFS($B$2:$B$1534,B386,$G$2:$G$1534,G386,$E$2:$E$1534,"&gt;="&amp;(E386-Assumptions!$B$5),$E$2:$E$1534,"&lt;="&amp;(E386+Assumptions!$B$5))&gt;1),1,0)</f>
        <v>0</v>
      </c>
      <c r="N386" s="13">
        <f>IF(AND(G386&gt;=Assumptions!$B$4*(1-Assumptions!$B$6),G386&lt;Assumptions!$B$4),1,0)</f>
        <v>0</v>
      </c>
      <c r="O386" s="13">
        <f>IF(AND(G386&gt;=Assumptions!$B$7,MOD(G386,Assumptions!$B$7)=0),1,0)</f>
        <v>0</v>
      </c>
      <c r="P386" s="13">
        <f t="shared" ref="P386:P449" si="32">IF(OR(H386="",I386=""),1,0)</f>
        <v>0</v>
      </c>
      <c r="Q386" s="13">
        <f t="shared" ref="Q386:Q449" si="33">IF(WEEKDAY(F386,2)&gt;5,1,0)</f>
        <v>0</v>
      </c>
      <c r="R386" s="13">
        <f>L386*Assumptions!$B$11+M386*Assumptions!$B$12+N386*Assumptions!$B$13+O386*Assumptions!$B$14+P386*Assumptions!$B$15+Q386*Assumptions!$B$16</f>
        <v>0</v>
      </c>
      <c r="S386" s="13" t="str">
        <f>IF(R386&gt;=Assumptions!$B$20,"High",IF(R386&gt;=Assumptions!$B$21,"Medium",IF(R386&gt;=1,"Low","Clear")))</f>
        <v>Clear</v>
      </c>
      <c r="T386" s="13" t="str">
        <f t="shared" ref="T386:T449" si="34">IF(R386=0,"",IF(L386=1,"Duplicate invoice; ","")&amp;IF(M386=1,"Near-duplicate; ","")&amp;IF(N386=1,"Just below limit; ","")&amp;IF(O386=1,"Round amount; ","")&amp;IF(P386=1,"No PO/GRN; ","")&amp;IF(Q386=1,"Weekend payment; ",""))</f>
        <v/>
      </c>
    </row>
    <row r="387" spans="1:20" x14ac:dyDescent="0.35">
      <c r="A387" s="13" t="s">
        <v>1681</v>
      </c>
      <c r="B387" s="13" t="s">
        <v>106</v>
      </c>
      <c r="C387" s="13" t="s">
        <v>107</v>
      </c>
      <c r="D387" s="13" t="s">
        <v>1682</v>
      </c>
      <c r="E387" s="14">
        <v>45839</v>
      </c>
      <c r="F387" s="14">
        <v>45874</v>
      </c>
      <c r="G387" s="15">
        <v>8742.15</v>
      </c>
      <c r="H387" s="13" t="s">
        <v>1683</v>
      </c>
      <c r="I387" s="13" t="s">
        <v>1684</v>
      </c>
      <c r="J387" s="13" t="s">
        <v>170</v>
      </c>
      <c r="K387" s="13">
        <f t="shared" si="30"/>
        <v>8</v>
      </c>
      <c r="L387" s="13">
        <f t="shared" si="31"/>
        <v>0</v>
      </c>
      <c r="M387" s="13">
        <f>IF(AND(L387=0,COUNTIFS($B$2:$B$1534,B387,$G$2:$G$1534,G387,$E$2:$E$1534,"&gt;="&amp;(E387-Assumptions!$B$5),$E$2:$E$1534,"&lt;="&amp;(E387+Assumptions!$B$5))&gt;1),1,0)</f>
        <v>0</v>
      </c>
      <c r="N387" s="13">
        <f>IF(AND(G387&gt;=Assumptions!$B$4*(1-Assumptions!$B$6),G387&lt;Assumptions!$B$4),1,0)</f>
        <v>0</v>
      </c>
      <c r="O387" s="13">
        <f>IF(AND(G387&gt;=Assumptions!$B$7,MOD(G387,Assumptions!$B$7)=0),1,0)</f>
        <v>0</v>
      </c>
      <c r="P387" s="13">
        <f t="shared" si="32"/>
        <v>0</v>
      </c>
      <c r="Q387" s="13">
        <f t="shared" si="33"/>
        <v>0</v>
      </c>
      <c r="R387" s="13">
        <f>L387*Assumptions!$B$11+M387*Assumptions!$B$12+N387*Assumptions!$B$13+O387*Assumptions!$B$14+P387*Assumptions!$B$15+Q387*Assumptions!$B$16</f>
        <v>0</v>
      </c>
      <c r="S387" s="13" t="str">
        <f>IF(R387&gt;=Assumptions!$B$20,"High",IF(R387&gt;=Assumptions!$B$21,"Medium",IF(R387&gt;=1,"Low","Clear")))</f>
        <v>Clear</v>
      </c>
      <c r="T387" s="13" t="str">
        <f t="shared" si="34"/>
        <v/>
      </c>
    </row>
    <row r="388" spans="1:20" x14ac:dyDescent="0.35">
      <c r="A388" s="13" t="s">
        <v>1685</v>
      </c>
      <c r="B388" s="13" t="s">
        <v>680</v>
      </c>
      <c r="C388" s="13" t="s">
        <v>681</v>
      </c>
      <c r="D388" s="13" t="s">
        <v>1686</v>
      </c>
      <c r="E388" s="14">
        <v>45846</v>
      </c>
      <c r="F388" s="14">
        <v>45875</v>
      </c>
      <c r="G388" s="15">
        <v>3275.82</v>
      </c>
      <c r="H388" s="13" t="s">
        <v>1687</v>
      </c>
      <c r="I388" s="13" t="s">
        <v>1688</v>
      </c>
      <c r="J388" s="13" t="s">
        <v>111</v>
      </c>
      <c r="K388" s="13">
        <f t="shared" si="30"/>
        <v>3</v>
      </c>
      <c r="L388" s="13">
        <f t="shared" si="31"/>
        <v>0</v>
      </c>
      <c r="M388" s="13">
        <f>IF(AND(L388=0,COUNTIFS($B$2:$B$1534,B388,$G$2:$G$1534,G388,$E$2:$E$1534,"&gt;="&amp;(E388-Assumptions!$B$5),$E$2:$E$1534,"&lt;="&amp;(E388+Assumptions!$B$5))&gt;1),1,0)</f>
        <v>0</v>
      </c>
      <c r="N388" s="13">
        <f>IF(AND(G388&gt;=Assumptions!$B$4*(1-Assumptions!$B$6),G388&lt;Assumptions!$B$4),1,0)</f>
        <v>0</v>
      </c>
      <c r="O388" s="13">
        <f>IF(AND(G388&gt;=Assumptions!$B$7,MOD(G388,Assumptions!$B$7)=0),1,0)</f>
        <v>0</v>
      </c>
      <c r="P388" s="13">
        <f t="shared" si="32"/>
        <v>0</v>
      </c>
      <c r="Q388" s="13">
        <f t="shared" si="33"/>
        <v>0</v>
      </c>
      <c r="R388" s="13">
        <f>L388*Assumptions!$B$11+M388*Assumptions!$B$12+N388*Assumptions!$B$13+O388*Assumptions!$B$14+P388*Assumptions!$B$15+Q388*Assumptions!$B$16</f>
        <v>0</v>
      </c>
      <c r="S388" s="13" t="str">
        <f>IF(R388&gt;=Assumptions!$B$20,"High",IF(R388&gt;=Assumptions!$B$21,"Medium",IF(R388&gt;=1,"Low","Clear")))</f>
        <v>Clear</v>
      </c>
      <c r="T388" s="13" t="str">
        <f t="shared" si="34"/>
        <v/>
      </c>
    </row>
    <row r="389" spans="1:20" x14ac:dyDescent="0.35">
      <c r="A389" s="13" t="s">
        <v>1689</v>
      </c>
      <c r="B389" s="13" t="s">
        <v>106</v>
      </c>
      <c r="C389" s="13" t="s">
        <v>107</v>
      </c>
      <c r="D389" s="13" t="s">
        <v>1690</v>
      </c>
      <c r="E389" s="14">
        <v>45854</v>
      </c>
      <c r="F389" s="14">
        <v>45875</v>
      </c>
      <c r="G389" s="15">
        <v>3585.25</v>
      </c>
      <c r="H389" s="13" t="s">
        <v>1691</v>
      </c>
      <c r="I389" s="13" t="s">
        <v>1692</v>
      </c>
      <c r="J389" s="13" t="s">
        <v>170</v>
      </c>
      <c r="K389" s="13">
        <f t="shared" si="30"/>
        <v>3</v>
      </c>
      <c r="L389" s="13">
        <f t="shared" si="31"/>
        <v>0</v>
      </c>
      <c r="M389" s="13">
        <f>IF(AND(L389=0,COUNTIFS($B$2:$B$1534,B389,$G$2:$G$1534,G389,$E$2:$E$1534,"&gt;="&amp;(E389-Assumptions!$B$5),$E$2:$E$1534,"&lt;="&amp;(E389+Assumptions!$B$5))&gt;1),1,0)</f>
        <v>0</v>
      </c>
      <c r="N389" s="13">
        <f>IF(AND(G389&gt;=Assumptions!$B$4*(1-Assumptions!$B$6),G389&lt;Assumptions!$B$4),1,0)</f>
        <v>0</v>
      </c>
      <c r="O389" s="13">
        <f>IF(AND(G389&gt;=Assumptions!$B$7,MOD(G389,Assumptions!$B$7)=0),1,0)</f>
        <v>0</v>
      </c>
      <c r="P389" s="13">
        <f t="shared" si="32"/>
        <v>0</v>
      </c>
      <c r="Q389" s="13">
        <f t="shared" si="33"/>
        <v>0</v>
      </c>
      <c r="R389" s="13">
        <f>L389*Assumptions!$B$11+M389*Assumptions!$B$12+N389*Assumptions!$B$13+O389*Assumptions!$B$14+P389*Assumptions!$B$15+Q389*Assumptions!$B$16</f>
        <v>0</v>
      </c>
      <c r="S389" s="13" t="str">
        <f>IF(R389&gt;=Assumptions!$B$20,"High",IF(R389&gt;=Assumptions!$B$21,"Medium",IF(R389&gt;=1,"Low","Clear")))</f>
        <v>Clear</v>
      </c>
      <c r="T389" s="13" t="str">
        <f t="shared" si="34"/>
        <v/>
      </c>
    </row>
    <row r="390" spans="1:20" x14ac:dyDescent="0.35">
      <c r="A390" s="13" t="s">
        <v>1693</v>
      </c>
      <c r="B390" s="13" t="s">
        <v>145</v>
      </c>
      <c r="C390" s="13" t="s">
        <v>146</v>
      </c>
      <c r="D390" s="13" t="s">
        <v>1694</v>
      </c>
      <c r="E390" s="14">
        <v>45845</v>
      </c>
      <c r="F390" s="14">
        <v>45875</v>
      </c>
      <c r="G390" s="15">
        <v>151234.07</v>
      </c>
      <c r="H390" s="13" t="s">
        <v>1695</v>
      </c>
      <c r="I390" s="13" t="s">
        <v>1696</v>
      </c>
      <c r="J390" s="13" t="s">
        <v>91</v>
      </c>
      <c r="K390" s="13">
        <f t="shared" si="30"/>
        <v>1</v>
      </c>
      <c r="L390" s="13">
        <f t="shared" si="31"/>
        <v>0</v>
      </c>
      <c r="M390" s="13">
        <f>IF(AND(L390=0,COUNTIFS($B$2:$B$1534,B390,$G$2:$G$1534,G390,$E$2:$E$1534,"&gt;="&amp;(E390-Assumptions!$B$5),$E$2:$E$1534,"&lt;="&amp;(E390+Assumptions!$B$5))&gt;1),1,0)</f>
        <v>0</v>
      </c>
      <c r="N390" s="13">
        <f>IF(AND(G390&gt;=Assumptions!$B$4*(1-Assumptions!$B$6),G390&lt;Assumptions!$B$4),1,0)</f>
        <v>0</v>
      </c>
      <c r="O390" s="13">
        <f>IF(AND(G390&gt;=Assumptions!$B$7,MOD(G390,Assumptions!$B$7)=0),1,0)</f>
        <v>0</v>
      </c>
      <c r="P390" s="13">
        <f t="shared" si="32"/>
        <v>0</v>
      </c>
      <c r="Q390" s="13">
        <f t="shared" si="33"/>
        <v>0</v>
      </c>
      <c r="R390" s="13">
        <f>L390*Assumptions!$B$11+M390*Assumptions!$B$12+N390*Assumptions!$B$13+O390*Assumptions!$B$14+P390*Assumptions!$B$15+Q390*Assumptions!$B$16</f>
        <v>0</v>
      </c>
      <c r="S390" s="13" t="str">
        <f>IF(R390&gt;=Assumptions!$B$20,"High",IF(R390&gt;=Assumptions!$B$21,"Medium",IF(R390&gt;=1,"Low","Clear")))</f>
        <v>Clear</v>
      </c>
      <c r="T390" s="13" t="str">
        <f t="shared" si="34"/>
        <v/>
      </c>
    </row>
    <row r="391" spans="1:20" x14ac:dyDescent="0.35">
      <c r="A391" s="13" t="s">
        <v>1697</v>
      </c>
      <c r="B391" s="13" t="s">
        <v>556</v>
      </c>
      <c r="C391" s="13" t="s">
        <v>557</v>
      </c>
      <c r="D391" s="13" t="s">
        <v>1698</v>
      </c>
      <c r="E391" s="14">
        <v>45850</v>
      </c>
      <c r="F391" s="14">
        <v>45875</v>
      </c>
      <c r="G391" s="15">
        <v>102754.76</v>
      </c>
      <c r="H391" s="13" t="s">
        <v>1699</v>
      </c>
      <c r="I391" s="13" t="s">
        <v>1700</v>
      </c>
      <c r="J391" s="13" t="s">
        <v>143</v>
      </c>
      <c r="K391" s="13">
        <f t="shared" si="30"/>
        <v>1</v>
      </c>
      <c r="L391" s="13">
        <f t="shared" si="31"/>
        <v>0</v>
      </c>
      <c r="M391" s="13">
        <f>IF(AND(L391=0,COUNTIFS($B$2:$B$1534,B391,$G$2:$G$1534,G391,$E$2:$E$1534,"&gt;="&amp;(E391-Assumptions!$B$5),$E$2:$E$1534,"&lt;="&amp;(E391+Assumptions!$B$5))&gt;1),1,0)</f>
        <v>0</v>
      </c>
      <c r="N391" s="13">
        <f>IF(AND(G391&gt;=Assumptions!$B$4*(1-Assumptions!$B$6),G391&lt;Assumptions!$B$4),1,0)</f>
        <v>0</v>
      </c>
      <c r="O391" s="13">
        <f>IF(AND(G391&gt;=Assumptions!$B$7,MOD(G391,Assumptions!$B$7)=0),1,0)</f>
        <v>0</v>
      </c>
      <c r="P391" s="13">
        <f t="shared" si="32"/>
        <v>0</v>
      </c>
      <c r="Q391" s="13">
        <f t="shared" si="33"/>
        <v>0</v>
      </c>
      <c r="R391" s="13">
        <f>L391*Assumptions!$B$11+M391*Assumptions!$B$12+N391*Assumptions!$B$13+O391*Assumptions!$B$14+P391*Assumptions!$B$15+Q391*Assumptions!$B$16</f>
        <v>0</v>
      </c>
      <c r="S391" s="13" t="str">
        <f>IF(R391&gt;=Assumptions!$B$20,"High",IF(R391&gt;=Assumptions!$B$21,"Medium",IF(R391&gt;=1,"Low","Clear")))</f>
        <v>Clear</v>
      </c>
      <c r="T391" s="13" t="str">
        <f t="shared" si="34"/>
        <v/>
      </c>
    </row>
    <row r="392" spans="1:20" x14ac:dyDescent="0.35">
      <c r="A392" s="13" t="s">
        <v>1701</v>
      </c>
      <c r="B392" s="13" t="s">
        <v>176</v>
      </c>
      <c r="C392" s="13" t="s">
        <v>177</v>
      </c>
      <c r="D392" s="13" t="s">
        <v>1702</v>
      </c>
      <c r="E392" s="14">
        <v>45836</v>
      </c>
      <c r="F392" s="14">
        <v>45876</v>
      </c>
      <c r="G392" s="15">
        <v>1412.13</v>
      </c>
      <c r="H392" s="13" t="s">
        <v>1703</v>
      </c>
      <c r="I392" s="13" t="s">
        <v>1704</v>
      </c>
      <c r="J392" s="13" t="s">
        <v>98</v>
      </c>
      <c r="K392" s="13">
        <f t="shared" si="30"/>
        <v>1</v>
      </c>
      <c r="L392" s="13">
        <f t="shared" si="31"/>
        <v>0</v>
      </c>
      <c r="M392" s="13">
        <f>IF(AND(L392=0,COUNTIFS($B$2:$B$1534,B392,$G$2:$G$1534,G392,$E$2:$E$1534,"&gt;="&amp;(E392-Assumptions!$B$5),$E$2:$E$1534,"&lt;="&amp;(E392+Assumptions!$B$5))&gt;1),1,0)</f>
        <v>0</v>
      </c>
      <c r="N392" s="13">
        <f>IF(AND(G392&gt;=Assumptions!$B$4*(1-Assumptions!$B$6),G392&lt;Assumptions!$B$4),1,0)</f>
        <v>0</v>
      </c>
      <c r="O392" s="13">
        <f>IF(AND(G392&gt;=Assumptions!$B$7,MOD(G392,Assumptions!$B$7)=0),1,0)</f>
        <v>0</v>
      </c>
      <c r="P392" s="13">
        <f t="shared" si="32"/>
        <v>0</v>
      </c>
      <c r="Q392" s="13">
        <f t="shared" si="33"/>
        <v>0</v>
      </c>
      <c r="R392" s="13">
        <f>L392*Assumptions!$B$11+M392*Assumptions!$B$12+N392*Assumptions!$B$13+O392*Assumptions!$B$14+P392*Assumptions!$B$15+Q392*Assumptions!$B$16</f>
        <v>0</v>
      </c>
      <c r="S392" s="13" t="str">
        <f>IF(R392&gt;=Assumptions!$B$20,"High",IF(R392&gt;=Assumptions!$B$21,"Medium",IF(R392&gt;=1,"Low","Clear")))</f>
        <v>Clear</v>
      </c>
      <c r="T392" s="13" t="str">
        <f t="shared" si="34"/>
        <v/>
      </c>
    </row>
    <row r="393" spans="1:20" x14ac:dyDescent="0.35">
      <c r="A393" s="13" t="s">
        <v>1705</v>
      </c>
      <c r="B393" s="13" t="s">
        <v>252</v>
      </c>
      <c r="C393" s="13" t="s">
        <v>253</v>
      </c>
      <c r="D393" s="13" t="s">
        <v>1706</v>
      </c>
      <c r="E393" s="14">
        <v>45852</v>
      </c>
      <c r="F393" s="14">
        <v>45876</v>
      </c>
      <c r="G393" s="15">
        <v>1884.86</v>
      </c>
      <c r="H393" s="13" t="s">
        <v>1707</v>
      </c>
      <c r="I393" s="13" t="s">
        <v>1708</v>
      </c>
      <c r="J393" s="13" t="s">
        <v>143</v>
      </c>
      <c r="K393" s="13">
        <f t="shared" si="30"/>
        <v>1</v>
      </c>
      <c r="L393" s="13">
        <f t="shared" si="31"/>
        <v>0</v>
      </c>
      <c r="M393" s="13">
        <f>IF(AND(L393=0,COUNTIFS($B$2:$B$1534,B393,$G$2:$G$1534,G393,$E$2:$E$1534,"&gt;="&amp;(E393-Assumptions!$B$5),$E$2:$E$1534,"&lt;="&amp;(E393+Assumptions!$B$5))&gt;1),1,0)</f>
        <v>0</v>
      </c>
      <c r="N393" s="13">
        <f>IF(AND(G393&gt;=Assumptions!$B$4*(1-Assumptions!$B$6),G393&lt;Assumptions!$B$4),1,0)</f>
        <v>0</v>
      </c>
      <c r="O393" s="13">
        <f>IF(AND(G393&gt;=Assumptions!$B$7,MOD(G393,Assumptions!$B$7)=0),1,0)</f>
        <v>0</v>
      </c>
      <c r="P393" s="13">
        <f t="shared" si="32"/>
        <v>0</v>
      </c>
      <c r="Q393" s="13">
        <f t="shared" si="33"/>
        <v>0</v>
      </c>
      <c r="R393" s="13">
        <f>L393*Assumptions!$B$11+M393*Assumptions!$B$12+N393*Assumptions!$B$13+O393*Assumptions!$B$14+P393*Assumptions!$B$15+Q393*Assumptions!$B$16</f>
        <v>0</v>
      </c>
      <c r="S393" s="13" t="str">
        <f>IF(R393&gt;=Assumptions!$B$20,"High",IF(R393&gt;=Assumptions!$B$21,"Medium",IF(R393&gt;=1,"Low","Clear")))</f>
        <v>Clear</v>
      </c>
      <c r="T393" s="13" t="str">
        <f t="shared" si="34"/>
        <v/>
      </c>
    </row>
    <row r="394" spans="1:20" x14ac:dyDescent="0.35">
      <c r="A394" s="13" t="s">
        <v>1709</v>
      </c>
      <c r="B394" s="13" t="s">
        <v>93</v>
      </c>
      <c r="C394" s="13" t="s">
        <v>94</v>
      </c>
      <c r="D394" s="13" t="s">
        <v>1710</v>
      </c>
      <c r="E394" s="14">
        <v>45837</v>
      </c>
      <c r="F394" s="14">
        <v>45876</v>
      </c>
      <c r="G394" s="15">
        <v>370202.64</v>
      </c>
      <c r="H394" s="13" t="s">
        <v>1711</v>
      </c>
      <c r="I394" s="13" t="s">
        <v>1712</v>
      </c>
      <c r="J394" s="13" t="s">
        <v>91</v>
      </c>
      <c r="K394" s="13">
        <f t="shared" si="30"/>
        <v>3</v>
      </c>
      <c r="L394" s="13">
        <f t="shared" si="31"/>
        <v>0</v>
      </c>
      <c r="M394" s="13">
        <f>IF(AND(L394=0,COUNTIFS($B$2:$B$1534,B394,$G$2:$G$1534,G394,$E$2:$E$1534,"&gt;="&amp;(E394-Assumptions!$B$5),$E$2:$E$1534,"&lt;="&amp;(E394+Assumptions!$B$5))&gt;1),1,0)</f>
        <v>0</v>
      </c>
      <c r="N394" s="13">
        <f>IF(AND(G394&gt;=Assumptions!$B$4*(1-Assumptions!$B$6),G394&lt;Assumptions!$B$4),1,0)</f>
        <v>0</v>
      </c>
      <c r="O394" s="13">
        <f>IF(AND(G394&gt;=Assumptions!$B$7,MOD(G394,Assumptions!$B$7)=0),1,0)</f>
        <v>0</v>
      </c>
      <c r="P394" s="13">
        <f t="shared" si="32"/>
        <v>0</v>
      </c>
      <c r="Q394" s="13">
        <f t="shared" si="33"/>
        <v>0</v>
      </c>
      <c r="R394" s="13">
        <f>L394*Assumptions!$B$11+M394*Assumptions!$B$12+N394*Assumptions!$B$13+O394*Assumptions!$B$14+P394*Assumptions!$B$15+Q394*Assumptions!$B$16</f>
        <v>0</v>
      </c>
      <c r="S394" s="13" t="str">
        <f>IF(R394&gt;=Assumptions!$B$20,"High",IF(R394&gt;=Assumptions!$B$21,"Medium",IF(R394&gt;=1,"Low","Clear")))</f>
        <v>Clear</v>
      </c>
      <c r="T394" s="13" t="str">
        <f t="shared" si="34"/>
        <v/>
      </c>
    </row>
    <row r="395" spans="1:20" x14ac:dyDescent="0.35">
      <c r="A395" s="13" t="s">
        <v>1713</v>
      </c>
      <c r="B395" s="13" t="s">
        <v>161</v>
      </c>
      <c r="C395" s="13" t="s">
        <v>162</v>
      </c>
      <c r="D395" s="13" t="s">
        <v>1575</v>
      </c>
      <c r="E395" s="14">
        <v>45839</v>
      </c>
      <c r="F395" s="14">
        <v>45876</v>
      </c>
      <c r="G395" s="15">
        <v>337854.31</v>
      </c>
      <c r="H395" s="13" t="s">
        <v>1576</v>
      </c>
      <c r="I395" s="13" t="s">
        <v>1577</v>
      </c>
      <c r="J395" s="13" t="s">
        <v>98</v>
      </c>
      <c r="K395" s="13">
        <f t="shared" si="30"/>
        <v>3</v>
      </c>
      <c r="L395" s="13">
        <f t="shared" si="31"/>
        <v>1</v>
      </c>
      <c r="M395" s="13">
        <f>IF(AND(L395=0,COUNTIFS($B$2:$B$1534,B395,$G$2:$G$1534,G395,$E$2:$E$1534,"&gt;="&amp;(E395-Assumptions!$B$5),$E$2:$E$1534,"&lt;="&amp;(E395+Assumptions!$B$5))&gt;1),1,0)</f>
        <v>0</v>
      </c>
      <c r="N395" s="13">
        <f>IF(AND(G395&gt;=Assumptions!$B$4*(1-Assumptions!$B$6),G395&lt;Assumptions!$B$4),1,0)</f>
        <v>0</v>
      </c>
      <c r="O395" s="13">
        <f>IF(AND(G395&gt;=Assumptions!$B$7,MOD(G395,Assumptions!$B$7)=0),1,0)</f>
        <v>0</v>
      </c>
      <c r="P395" s="13">
        <f t="shared" si="32"/>
        <v>0</v>
      </c>
      <c r="Q395" s="13">
        <f t="shared" si="33"/>
        <v>0</v>
      </c>
      <c r="R395" s="13">
        <f>L395*Assumptions!$B$11+M395*Assumptions!$B$12+N395*Assumptions!$B$13+O395*Assumptions!$B$14+P395*Assumptions!$B$15+Q395*Assumptions!$B$16</f>
        <v>5</v>
      </c>
      <c r="S395" s="13" t="str">
        <f>IF(R395&gt;=Assumptions!$B$20,"High",IF(R395&gt;=Assumptions!$B$21,"Medium",IF(R395&gt;=1,"Low","Clear")))</f>
        <v>High</v>
      </c>
      <c r="T395" s="13" t="str">
        <f t="shared" si="34"/>
        <v xml:space="preserve">Duplicate invoice; </v>
      </c>
    </row>
    <row r="396" spans="1:20" x14ac:dyDescent="0.35">
      <c r="A396" s="13" t="s">
        <v>1714</v>
      </c>
      <c r="B396" s="13" t="s">
        <v>138</v>
      </c>
      <c r="C396" s="13" t="s">
        <v>139</v>
      </c>
      <c r="D396" s="13" t="s">
        <v>1715</v>
      </c>
      <c r="E396" s="14">
        <v>45852</v>
      </c>
      <c r="F396" s="14">
        <v>45876</v>
      </c>
      <c r="G396" s="15">
        <v>40660.29</v>
      </c>
      <c r="H396" s="13" t="s">
        <v>1716</v>
      </c>
      <c r="I396" s="13" t="s">
        <v>1717</v>
      </c>
      <c r="J396" s="13" t="s">
        <v>136</v>
      </c>
      <c r="K396" s="13">
        <f t="shared" si="30"/>
        <v>4</v>
      </c>
      <c r="L396" s="13">
        <f t="shared" si="31"/>
        <v>0</v>
      </c>
      <c r="M396" s="13">
        <f>IF(AND(L396=0,COUNTIFS($B$2:$B$1534,B396,$G$2:$G$1534,G396,$E$2:$E$1534,"&gt;="&amp;(E396-Assumptions!$B$5),$E$2:$E$1534,"&lt;="&amp;(E396+Assumptions!$B$5))&gt;1),1,0)</f>
        <v>0</v>
      </c>
      <c r="N396" s="13">
        <f>IF(AND(G396&gt;=Assumptions!$B$4*(1-Assumptions!$B$6),G396&lt;Assumptions!$B$4),1,0)</f>
        <v>0</v>
      </c>
      <c r="O396" s="13">
        <f>IF(AND(G396&gt;=Assumptions!$B$7,MOD(G396,Assumptions!$B$7)=0),1,0)</f>
        <v>0</v>
      </c>
      <c r="P396" s="13">
        <f t="shared" si="32"/>
        <v>0</v>
      </c>
      <c r="Q396" s="13">
        <f t="shared" si="33"/>
        <v>0</v>
      </c>
      <c r="R396" s="13">
        <f>L396*Assumptions!$B$11+M396*Assumptions!$B$12+N396*Assumptions!$B$13+O396*Assumptions!$B$14+P396*Assumptions!$B$15+Q396*Assumptions!$B$16</f>
        <v>0</v>
      </c>
      <c r="S396" s="13" t="str">
        <f>IF(R396&gt;=Assumptions!$B$20,"High",IF(R396&gt;=Assumptions!$B$21,"Medium",IF(R396&gt;=1,"Low","Clear")))</f>
        <v>Clear</v>
      </c>
      <c r="T396" s="13" t="str">
        <f t="shared" si="34"/>
        <v/>
      </c>
    </row>
    <row r="397" spans="1:20" x14ac:dyDescent="0.35">
      <c r="A397" s="13" t="s">
        <v>1718</v>
      </c>
      <c r="B397" s="13" t="s">
        <v>556</v>
      </c>
      <c r="C397" s="13" t="s">
        <v>557</v>
      </c>
      <c r="D397" s="13" t="s">
        <v>1719</v>
      </c>
      <c r="E397" s="14">
        <v>45842</v>
      </c>
      <c r="F397" s="14">
        <v>45876</v>
      </c>
      <c r="G397" s="15">
        <v>70000</v>
      </c>
      <c r="H397" s="13" t="s">
        <v>1720</v>
      </c>
      <c r="I397" s="13" t="s">
        <v>1721</v>
      </c>
      <c r="J397" s="13" t="s">
        <v>170</v>
      </c>
      <c r="K397" s="13">
        <f t="shared" si="30"/>
        <v>7</v>
      </c>
      <c r="L397" s="13">
        <f t="shared" si="31"/>
        <v>0</v>
      </c>
      <c r="M397" s="13">
        <f>IF(AND(L397=0,COUNTIFS($B$2:$B$1534,B397,$G$2:$G$1534,G397,$E$2:$E$1534,"&gt;="&amp;(E397-Assumptions!$B$5),$E$2:$E$1534,"&lt;="&amp;(E397+Assumptions!$B$5))&gt;1),1,0)</f>
        <v>0</v>
      </c>
      <c r="N397" s="13">
        <f>IF(AND(G397&gt;=Assumptions!$B$4*(1-Assumptions!$B$6),G397&lt;Assumptions!$B$4),1,0)</f>
        <v>0</v>
      </c>
      <c r="O397" s="13">
        <f>IF(AND(G397&gt;=Assumptions!$B$7,MOD(G397,Assumptions!$B$7)=0),1,0)</f>
        <v>1</v>
      </c>
      <c r="P397" s="13">
        <f t="shared" si="32"/>
        <v>0</v>
      </c>
      <c r="Q397" s="13">
        <f t="shared" si="33"/>
        <v>0</v>
      </c>
      <c r="R397" s="13">
        <f>L397*Assumptions!$B$11+M397*Assumptions!$B$12+N397*Assumptions!$B$13+O397*Assumptions!$B$14+P397*Assumptions!$B$15+Q397*Assumptions!$B$16</f>
        <v>1</v>
      </c>
      <c r="S397" s="13" t="str">
        <f>IF(R397&gt;=Assumptions!$B$20,"High",IF(R397&gt;=Assumptions!$B$21,"Medium",IF(R397&gt;=1,"Low","Clear")))</f>
        <v>Low</v>
      </c>
      <c r="T397" s="13" t="str">
        <f t="shared" si="34"/>
        <v xml:space="preserve">Round amount; </v>
      </c>
    </row>
    <row r="398" spans="1:20" x14ac:dyDescent="0.35">
      <c r="A398" s="13" t="s">
        <v>1722</v>
      </c>
      <c r="B398" s="13" t="s">
        <v>212</v>
      </c>
      <c r="C398" s="13" t="s">
        <v>213</v>
      </c>
      <c r="D398" s="13" t="s">
        <v>1723</v>
      </c>
      <c r="E398" s="14">
        <v>45843</v>
      </c>
      <c r="F398" s="14">
        <v>45877</v>
      </c>
      <c r="G398" s="15">
        <v>1360.98</v>
      </c>
      <c r="H398" s="13" t="s">
        <v>1724</v>
      </c>
      <c r="I398" s="13" t="s">
        <v>1725</v>
      </c>
      <c r="J398" s="13" t="s">
        <v>170</v>
      </c>
      <c r="K398" s="13">
        <f t="shared" si="30"/>
        <v>1</v>
      </c>
      <c r="L398" s="13">
        <f t="shared" si="31"/>
        <v>0</v>
      </c>
      <c r="M398" s="13">
        <f>IF(AND(L398=0,COUNTIFS($B$2:$B$1534,B398,$G$2:$G$1534,G398,$E$2:$E$1534,"&gt;="&amp;(E398-Assumptions!$B$5),$E$2:$E$1534,"&lt;="&amp;(E398+Assumptions!$B$5))&gt;1),1,0)</f>
        <v>0</v>
      </c>
      <c r="N398" s="13">
        <f>IF(AND(G398&gt;=Assumptions!$B$4*(1-Assumptions!$B$6),G398&lt;Assumptions!$B$4),1,0)</f>
        <v>0</v>
      </c>
      <c r="O398" s="13">
        <f>IF(AND(G398&gt;=Assumptions!$B$7,MOD(G398,Assumptions!$B$7)=0),1,0)</f>
        <v>0</v>
      </c>
      <c r="P398" s="13">
        <f t="shared" si="32"/>
        <v>0</v>
      </c>
      <c r="Q398" s="13">
        <f t="shared" si="33"/>
        <v>0</v>
      </c>
      <c r="R398" s="13">
        <f>L398*Assumptions!$B$11+M398*Assumptions!$B$12+N398*Assumptions!$B$13+O398*Assumptions!$B$14+P398*Assumptions!$B$15+Q398*Assumptions!$B$16</f>
        <v>0</v>
      </c>
      <c r="S398" s="13" t="str">
        <f>IF(R398&gt;=Assumptions!$B$20,"High",IF(R398&gt;=Assumptions!$B$21,"Medium",IF(R398&gt;=1,"Low","Clear")))</f>
        <v>Clear</v>
      </c>
      <c r="T398" s="13" t="str">
        <f t="shared" si="34"/>
        <v/>
      </c>
    </row>
    <row r="399" spans="1:20" x14ac:dyDescent="0.35">
      <c r="A399" s="13" t="s">
        <v>1726</v>
      </c>
      <c r="B399" s="13" t="s">
        <v>438</v>
      </c>
      <c r="C399" s="13" t="s">
        <v>439</v>
      </c>
      <c r="D399" s="13" t="s">
        <v>1727</v>
      </c>
      <c r="E399" s="14">
        <v>45840</v>
      </c>
      <c r="F399" s="14">
        <v>45877</v>
      </c>
      <c r="G399" s="15">
        <v>1204.3399999999999</v>
      </c>
      <c r="H399" s="13" t="s">
        <v>1728</v>
      </c>
      <c r="I399" s="13" t="s">
        <v>1729</v>
      </c>
      <c r="J399" s="13" t="s">
        <v>136</v>
      </c>
      <c r="K399" s="13">
        <f t="shared" si="30"/>
        <v>1</v>
      </c>
      <c r="L399" s="13">
        <f t="shared" si="31"/>
        <v>0</v>
      </c>
      <c r="M399" s="13">
        <f>IF(AND(L399=0,COUNTIFS($B$2:$B$1534,B399,$G$2:$G$1534,G399,$E$2:$E$1534,"&gt;="&amp;(E399-Assumptions!$B$5),$E$2:$E$1534,"&lt;="&amp;(E399+Assumptions!$B$5))&gt;1),1,0)</f>
        <v>0</v>
      </c>
      <c r="N399" s="13">
        <f>IF(AND(G399&gt;=Assumptions!$B$4*(1-Assumptions!$B$6),G399&lt;Assumptions!$B$4),1,0)</f>
        <v>0</v>
      </c>
      <c r="O399" s="13">
        <f>IF(AND(G399&gt;=Assumptions!$B$7,MOD(G399,Assumptions!$B$7)=0),1,0)</f>
        <v>0</v>
      </c>
      <c r="P399" s="13">
        <f t="shared" si="32"/>
        <v>0</v>
      </c>
      <c r="Q399" s="13">
        <f t="shared" si="33"/>
        <v>0</v>
      </c>
      <c r="R399" s="13">
        <f>L399*Assumptions!$B$11+M399*Assumptions!$B$12+N399*Assumptions!$B$13+O399*Assumptions!$B$14+P399*Assumptions!$B$15+Q399*Assumptions!$B$16</f>
        <v>0</v>
      </c>
      <c r="S399" s="13" t="str">
        <f>IF(R399&gt;=Assumptions!$B$20,"High",IF(R399&gt;=Assumptions!$B$21,"Medium",IF(R399&gt;=1,"Low","Clear")))</f>
        <v>Clear</v>
      </c>
      <c r="T399" s="13" t="str">
        <f t="shared" si="34"/>
        <v/>
      </c>
    </row>
    <row r="400" spans="1:20" x14ac:dyDescent="0.35">
      <c r="A400" s="13" t="s">
        <v>1730</v>
      </c>
      <c r="B400" s="13" t="s">
        <v>556</v>
      </c>
      <c r="C400" s="13" t="s">
        <v>557</v>
      </c>
      <c r="D400" s="13" t="s">
        <v>1731</v>
      </c>
      <c r="E400" s="14">
        <v>45856</v>
      </c>
      <c r="F400" s="14">
        <v>45877</v>
      </c>
      <c r="G400" s="15">
        <v>45162.92</v>
      </c>
      <c r="H400" s="13" t="s">
        <v>1732</v>
      </c>
      <c r="I400" s="13" t="s">
        <v>1733</v>
      </c>
      <c r="J400" s="13" t="s">
        <v>98</v>
      </c>
      <c r="K400" s="13">
        <f t="shared" si="30"/>
        <v>4</v>
      </c>
      <c r="L400" s="13">
        <f t="shared" si="31"/>
        <v>0</v>
      </c>
      <c r="M400" s="13">
        <f>IF(AND(L400=0,COUNTIFS($B$2:$B$1534,B400,$G$2:$G$1534,G400,$E$2:$E$1534,"&gt;="&amp;(E400-Assumptions!$B$5),$E$2:$E$1534,"&lt;="&amp;(E400+Assumptions!$B$5))&gt;1),1,0)</f>
        <v>0</v>
      </c>
      <c r="N400" s="13">
        <f>IF(AND(G400&gt;=Assumptions!$B$4*(1-Assumptions!$B$6),G400&lt;Assumptions!$B$4),1,0)</f>
        <v>0</v>
      </c>
      <c r="O400" s="13">
        <f>IF(AND(G400&gt;=Assumptions!$B$7,MOD(G400,Assumptions!$B$7)=0),1,0)</f>
        <v>0</v>
      </c>
      <c r="P400" s="13">
        <f t="shared" si="32"/>
        <v>0</v>
      </c>
      <c r="Q400" s="13">
        <f t="shared" si="33"/>
        <v>0</v>
      </c>
      <c r="R400" s="13">
        <f>L400*Assumptions!$B$11+M400*Assumptions!$B$12+N400*Assumptions!$B$13+O400*Assumptions!$B$14+P400*Assumptions!$B$15+Q400*Assumptions!$B$16</f>
        <v>0</v>
      </c>
      <c r="S400" s="13" t="str">
        <f>IF(R400&gt;=Assumptions!$B$20,"High",IF(R400&gt;=Assumptions!$B$21,"Medium",IF(R400&gt;=1,"Low","Clear")))</f>
        <v>Clear</v>
      </c>
      <c r="T400" s="13" t="str">
        <f t="shared" si="34"/>
        <v/>
      </c>
    </row>
    <row r="401" spans="1:20" x14ac:dyDescent="0.35">
      <c r="A401" s="13" t="s">
        <v>1734</v>
      </c>
      <c r="B401" s="13" t="s">
        <v>680</v>
      </c>
      <c r="C401" s="13" t="s">
        <v>681</v>
      </c>
      <c r="D401" s="13" t="s">
        <v>1735</v>
      </c>
      <c r="E401" s="14">
        <v>45843</v>
      </c>
      <c r="F401" s="14">
        <v>45878</v>
      </c>
      <c r="G401" s="15">
        <v>6911.36</v>
      </c>
      <c r="H401" s="13" t="s">
        <v>1736</v>
      </c>
      <c r="I401" s="13" t="s">
        <v>1737</v>
      </c>
      <c r="J401" s="13" t="s">
        <v>91</v>
      </c>
      <c r="K401" s="13">
        <f t="shared" si="30"/>
        <v>6</v>
      </c>
      <c r="L401" s="13">
        <f t="shared" si="31"/>
        <v>0</v>
      </c>
      <c r="M401" s="13">
        <f>IF(AND(L401=0,COUNTIFS($B$2:$B$1534,B401,$G$2:$G$1534,G401,$E$2:$E$1534,"&gt;="&amp;(E401-Assumptions!$B$5),$E$2:$E$1534,"&lt;="&amp;(E401+Assumptions!$B$5))&gt;1),1,0)</f>
        <v>0</v>
      </c>
      <c r="N401" s="13">
        <f>IF(AND(G401&gt;=Assumptions!$B$4*(1-Assumptions!$B$6),G401&lt;Assumptions!$B$4),1,0)</f>
        <v>0</v>
      </c>
      <c r="O401" s="13">
        <f>IF(AND(G401&gt;=Assumptions!$B$7,MOD(G401,Assumptions!$B$7)=0),1,0)</f>
        <v>0</v>
      </c>
      <c r="P401" s="13">
        <f t="shared" si="32"/>
        <v>0</v>
      </c>
      <c r="Q401" s="13">
        <f t="shared" si="33"/>
        <v>1</v>
      </c>
      <c r="R401" s="13">
        <f>L401*Assumptions!$B$11+M401*Assumptions!$B$12+N401*Assumptions!$B$13+O401*Assumptions!$B$14+P401*Assumptions!$B$15+Q401*Assumptions!$B$16</f>
        <v>1</v>
      </c>
      <c r="S401" s="13" t="str">
        <f>IF(R401&gt;=Assumptions!$B$20,"High",IF(R401&gt;=Assumptions!$B$21,"Medium",IF(R401&gt;=1,"Low","Clear")))</f>
        <v>Low</v>
      </c>
      <c r="T401" s="13" t="str">
        <f t="shared" si="34"/>
        <v xml:space="preserve">Weekend payment; </v>
      </c>
    </row>
    <row r="402" spans="1:20" x14ac:dyDescent="0.35">
      <c r="A402" s="13" t="s">
        <v>1738</v>
      </c>
      <c r="B402" s="13" t="s">
        <v>182</v>
      </c>
      <c r="C402" s="13" t="s">
        <v>183</v>
      </c>
      <c r="D402" s="13" t="s">
        <v>1739</v>
      </c>
      <c r="E402" s="14">
        <v>45843</v>
      </c>
      <c r="F402" s="14">
        <v>45880</v>
      </c>
      <c r="G402" s="15">
        <v>35746.69</v>
      </c>
      <c r="H402" s="13" t="s">
        <v>1740</v>
      </c>
      <c r="I402" s="13" t="s">
        <v>1741</v>
      </c>
      <c r="J402" s="13" t="s">
        <v>170</v>
      </c>
      <c r="K402" s="13">
        <f t="shared" si="30"/>
        <v>3</v>
      </c>
      <c r="L402" s="13">
        <f t="shared" si="31"/>
        <v>0</v>
      </c>
      <c r="M402" s="13">
        <f>IF(AND(L402=0,COUNTIFS($B$2:$B$1534,B402,$G$2:$G$1534,G402,$E$2:$E$1534,"&gt;="&amp;(E402-Assumptions!$B$5),$E$2:$E$1534,"&lt;="&amp;(E402+Assumptions!$B$5))&gt;1),1,0)</f>
        <v>0</v>
      </c>
      <c r="N402" s="13">
        <f>IF(AND(G402&gt;=Assumptions!$B$4*(1-Assumptions!$B$6),G402&lt;Assumptions!$B$4),1,0)</f>
        <v>0</v>
      </c>
      <c r="O402" s="13">
        <f>IF(AND(G402&gt;=Assumptions!$B$7,MOD(G402,Assumptions!$B$7)=0),1,0)</f>
        <v>0</v>
      </c>
      <c r="P402" s="13">
        <f t="shared" si="32"/>
        <v>0</v>
      </c>
      <c r="Q402" s="13">
        <f t="shared" si="33"/>
        <v>0</v>
      </c>
      <c r="R402" s="13">
        <f>L402*Assumptions!$B$11+M402*Assumptions!$B$12+N402*Assumptions!$B$13+O402*Assumptions!$B$14+P402*Assumptions!$B$15+Q402*Assumptions!$B$16</f>
        <v>0</v>
      </c>
      <c r="S402" s="13" t="str">
        <f>IF(R402&gt;=Assumptions!$B$20,"High",IF(R402&gt;=Assumptions!$B$21,"Medium",IF(R402&gt;=1,"Low","Clear")))</f>
        <v>Clear</v>
      </c>
      <c r="T402" s="13" t="str">
        <f t="shared" si="34"/>
        <v/>
      </c>
    </row>
    <row r="403" spans="1:20" x14ac:dyDescent="0.35">
      <c r="A403" s="13" t="s">
        <v>1742</v>
      </c>
      <c r="B403" s="13" t="s">
        <v>391</v>
      </c>
      <c r="C403" s="13" t="s">
        <v>392</v>
      </c>
      <c r="D403" s="13" t="s">
        <v>1743</v>
      </c>
      <c r="E403" s="14">
        <v>45838</v>
      </c>
      <c r="F403" s="14">
        <v>45880</v>
      </c>
      <c r="G403" s="15">
        <v>30363.45</v>
      </c>
      <c r="H403" s="13" t="s">
        <v>1744</v>
      </c>
      <c r="I403" s="13" t="s">
        <v>1745</v>
      </c>
      <c r="J403" s="13" t="s">
        <v>91</v>
      </c>
      <c r="K403" s="13">
        <f t="shared" si="30"/>
        <v>3</v>
      </c>
      <c r="L403" s="13">
        <f t="shared" si="31"/>
        <v>0</v>
      </c>
      <c r="M403" s="13">
        <f>IF(AND(L403=0,COUNTIFS($B$2:$B$1534,B403,$G$2:$G$1534,G403,$E$2:$E$1534,"&gt;="&amp;(E403-Assumptions!$B$5),$E$2:$E$1534,"&lt;="&amp;(E403+Assumptions!$B$5))&gt;1),1,0)</f>
        <v>0</v>
      </c>
      <c r="N403" s="13">
        <f>IF(AND(G403&gt;=Assumptions!$B$4*(1-Assumptions!$B$6),G403&lt;Assumptions!$B$4),1,0)</f>
        <v>0</v>
      </c>
      <c r="O403" s="13">
        <f>IF(AND(G403&gt;=Assumptions!$B$7,MOD(G403,Assumptions!$B$7)=0),1,0)</f>
        <v>0</v>
      </c>
      <c r="P403" s="13">
        <f t="shared" si="32"/>
        <v>0</v>
      </c>
      <c r="Q403" s="13">
        <f t="shared" si="33"/>
        <v>0</v>
      </c>
      <c r="R403" s="13">
        <f>L403*Assumptions!$B$11+M403*Assumptions!$B$12+N403*Assumptions!$B$13+O403*Assumptions!$B$14+P403*Assumptions!$B$15+Q403*Assumptions!$B$16</f>
        <v>0</v>
      </c>
      <c r="S403" s="13" t="str">
        <f>IF(R403&gt;=Assumptions!$B$20,"High",IF(R403&gt;=Assumptions!$B$21,"Medium",IF(R403&gt;=1,"Low","Clear")))</f>
        <v>Clear</v>
      </c>
      <c r="T403" s="13" t="str">
        <f t="shared" si="34"/>
        <v/>
      </c>
    </row>
    <row r="404" spans="1:20" x14ac:dyDescent="0.35">
      <c r="A404" s="13" t="s">
        <v>1746</v>
      </c>
      <c r="B404" s="13" t="s">
        <v>279</v>
      </c>
      <c r="C404" s="13" t="s">
        <v>280</v>
      </c>
      <c r="D404" s="13" t="s">
        <v>1747</v>
      </c>
      <c r="E404" s="14">
        <v>45842</v>
      </c>
      <c r="F404" s="14">
        <v>45880</v>
      </c>
      <c r="G404" s="15">
        <v>1601.51</v>
      </c>
      <c r="H404" s="13" t="s">
        <v>1748</v>
      </c>
      <c r="I404" s="13" t="s">
        <v>1749</v>
      </c>
      <c r="J404" s="13" t="s">
        <v>98</v>
      </c>
      <c r="K404" s="13">
        <f t="shared" si="30"/>
        <v>1</v>
      </c>
      <c r="L404" s="13">
        <f t="shared" si="31"/>
        <v>0</v>
      </c>
      <c r="M404" s="13">
        <f>IF(AND(L404=0,COUNTIFS($B$2:$B$1534,B404,$G$2:$G$1534,G404,$E$2:$E$1534,"&gt;="&amp;(E404-Assumptions!$B$5),$E$2:$E$1534,"&lt;="&amp;(E404+Assumptions!$B$5))&gt;1),1,0)</f>
        <v>0</v>
      </c>
      <c r="N404" s="13">
        <f>IF(AND(G404&gt;=Assumptions!$B$4*(1-Assumptions!$B$6),G404&lt;Assumptions!$B$4),1,0)</f>
        <v>0</v>
      </c>
      <c r="O404" s="13">
        <f>IF(AND(G404&gt;=Assumptions!$B$7,MOD(G404,Assumptions!$B$7)=0),1,0)</f>
        <v>0</v>
      </c>
      <c r="P404" s="13">
        <f t="shared" si="32"/>
        <v>0</v>
      </c>
      <c r="Q404" s="13">
        <f t="shared" si="33"/>
        <v>0</v>
      </c>
      <c r="R404" s="13">
        <f>L404*Assumptions!$B$11+M404*Assumptions!$B$12+N404*Assumptions!$B$13+O404*Assumptions!$B$14+P404*Assumptions!$B$15+Q404*Assumptions!$B$16</f>
        <v>0</v>
      </c>
      <c r="S404" s="13" t="str">
        <f>IF(R404&gt;=Assumptions!$B$20,"High",IF(R404&gt;=Assumptions!$B$21,"Medium",IF(R404&gt;=1,"Low","Clear")))</f>
        <v>Clear</v>
      </c>
      <c r="T404" s="13" t="str">
        <f t="shared" si="34"/>
        <v/>
      </c>
    </row>
    <row r="405" spans="1:20" x14ac:dyDescent="0.35">
      <c r="A405" s="13" t="s">
        <v>1750</v>
      </c>
      <c r="B405" s="13" t="s">
        <v>279</v>
      </c>
      <c r="C405" s="13" t="s">
        <v>280</v>
      </c>
      <c r="D405" s="13" t="s">
        <v>1751</v>
      </c>
      <c r="E405" s="14">
        <v>45857</v>
      </c>
      <c r="F405" s="14">
        <v>45880</v>
      </c>
      <c r="G405" s="15">
        <v>11741.65</v>
      </c>
      <c r="H405" s="13" t="s">
        <v>1752</v>
      </c>
      <c r="I405" s="13" t="s">
        <v>1753</v>
      </c>
      <c r="J405" s="13" t="s">
        <v>98</v>
      </c>
      <c r="K405" s="13">
        <f t="shared" si="30"/>
        <v>1</v>
      </c>
      <c r="L405" s="13">
        <f t="shared" si="31"/>
        <v>1</v>
      </c>
      <c r="M405" s="13">
        <f>IF(AND(L405=0,COUNTIFS($B$2:$B$1534,B405,$G$2:$G$1534,G405,$E$2:$E$1534,"&gt;="&amp;(E405-Assumptions!$B$5),$E$2:$E$1534,"&lt;="&amp;(E405+Assumptions!$B$5))&gt;1),1,0)</f>
        <v>0</v>
      </c>
      <c r="N405" s="13">
        <f>IF(AND(G405&gt;=Assumptions!$B$4*(1-Assumptions!$B$6),G405&lt;Assumptions!$B$4),1,0)</f>
        <v>0</v>
      </c>
      <c r="O405" s="13">
        <f>IF(AND(G405&gt;=Assumptions!$B$7,MOD(G405,Assumptions!$B$7)=0),1,0)</f>
        <v>0</v>
      </c>
      <c r="P405" s="13">
        <f t="shared" si="32"/>
        <v>0</v>
      </c>
      <c r="Q405" s="13">
        <f t="shared" si="33"/>
        <v>0</v>
      </c>
      <c r="R405" s="13">
        <f>L405*Assumptions!$B$11+M405*Assumptions!$B$12+N405*Assumptions!$B$13+O405*Assumptions!$B$14+P405*Assumptions!$B$15+Q405*Assumptions!$B$16</f>
        <v>5</v>
      </c>
      <c r="S405" s="13" t="str">
        <f>IF(R405&gt;=Assumptions!$B$20,"High",IF(R405&gt;=Assumptions!$B$21,"Medium",IF(R405&gt;=1,"Low","Clear")))</f>
        <v>High</v>
      </c>
      <c r="T405" s="13" t="str">
        <f t="shared" si="34"/>
        <v xml:space="preserve">Duplicate invoice; </v>
      </c>
    </row>
    <row r="406" spans="1:20" x14ac:dyDescent="0.35">
      <c r="A406" s="13" t="s">
        <v>1754</v>
      </c>
      <c r="B406" s="13" t="s">
        <v>131</v>
      </c>
      <c r="C406" s="13" t="s">
        <v>132</v>
      </c>
      <c r="D406" s="13" t="s">
        <v>1755</v>
      </c>
      <c r="E406" s="14">
        <v>45853</v>
      </c>
      <c r="F406" s="14">
        <v>45880</v>
      </c>
      <c r="G406" s="15">
        <v>308369.67</v>
      </c>
      <c r="H406" s="13" t="s">
        <v>1756</v>
      </c>
      <c r="I406" s="13" t="s">
        <v>1757</v>
      </c>
      <c r="J406" s="13" t="s">
        <v>111</v>
      </c>
      <c r="K406" s="13">
        <f t="shared" si="30"/>
        <v>3</v>
      </c>
      <c r="L406" s="13">
        <f t="shared" si="31"/>
        <v>0</v>
      </c>
      <c r="M406" s="13">
        <f>IF(AND(L406=0,COUNTIFS($B$2:$B$1534,B406,$G$2:$G$1534,G406,$E$2:$E$1534,"&gt;="&amp;(E406-Assumptions!$B$5),$E$2:$E$1534,"&lt;="&amp;(E406+Assumptions!$B$5))&gt;1),1,0)</f>
        <v>0</v>
      </c>
      <c r="N406" s="13">
        <f>IF(AND(G406&gt;=Assumptions!$B$4*(1-Assumptions!$B$6),G406&lt;Assumptions!$B$4),1,0)</f>
        <v>0</v>
      </c>
      <c r="O406" s="13">
        <f>IF(AND(G406&gt;=Assumptions!$B$7,MOD(G406,Assumptions!$B$7)=0),1,0)</f>
        <v>0</v>
      </c>
      <c r="P406" s="13">
        <f t="shared" si="32"/>
        <v>0</v>
      </c>
      <c r="Q406" s="13">
        <f t="shared" si="33"/>
        <v>0</v>
      </c>
      <c r="R406" s="13">
        <f>L406*Assumptions!$B$11+M406*Assumptions!$B$12+N406*Assumptions!$B$13+O406*Assumptions!$B$14+P406*Assumptions!$B$15+Q406*Assumptions!$B$16</f>
        <v>0</v>
      </c>
      <c r="S406" s="13" t="str">
        <f>IF(R406&gt;=Assumptions!$B$20,"High",IF(R406&gt;=Assumptions!$B$21,"Medium",IF(R406&gt;=1,"Low","Clear")))</f>
        <v>Clear</v>
      </c>
      <c r="T406" s="13" t="str">
        <f t="shared" si="34"/>
        <v/>
      </c>
    </row>
    <row r="407" spans="1:20" x14ac:dyDescent="0.35">
      <c r="A407" s="13" t="s">
        <v>1758</v>
      </c>
      <c r="B407" s="13" t="s">
        <v>206</v>
      </c>
      <c r="C407" s="13" t="s">
        <v>207</v>
      </c>
      <c r="D407" s="13" t="s">
        <v>1759</v>
      </c>
      <c r="E407" s="14">
        <v>45857</v>
      </c>
      <c r="F407" s="14">
        <v>45880</v>
      </c>
      <c r="G407" s="15">
        <v>60152.79</v>
      </c>
      <c r="H407" s="13" t="s">
        <v>1760</v>
      </c>
      <c r="I407" s="13" t="s">
        <v>1761</v>
      </c>
      <c r="J407" s="13" t="s">
        <v>111</v>
      </c>
      <c r="K407" s="13">
        <f t="shared" si="30"/>
        <v>6</v>
      </c>
      <c r="L407" s="13">
        <f t="shared" si="31"/>
        <v>0</v>
      </c>
      <c r="M407" s="13">
        <f>IF(AND(L407=0,COUNTIFS($B$2:$B$1534,B407,$G$2:$G$1534,G407,$E$2:$E$1534,"&gt;="&amp;(E407-Assumptions!$B$5),$E$2:$E$1534,"&lt;="&amp;(E407+Assumptions!$B$5))&gt;1),1,0)</f>
        <v>0</v>
      </c>
      <c r="N407" s="13">
        <f>IF(AND(G407&gt;=Assumptions!$B$4*(1-Assumptions!$B$6),G407&lt;Assumptions!$B$4),1,0)</f>
        <v>0</v>
      </c>
      <c r="O407" s="13">
        <f>IF(AND(G407&gt;=Assumptions!$B$7,MOD(G407,Assumptions!$B$7)=0),1,0)</f>
        <v>0</v>
      </c>
      <c r="P407" s="13">
        <f t="shared" si="32"/>
        <v>0</v>
      </c>
      <c r="Q407" s="13">
        <f t="shared" si="33"/>
        <v>0</v>
      </c>
      <c r="R407" s="13">
        <f>L407*Assumptions!$B$11+M407*Assumptions!$B$12+N407*Assumptions!$B$13+O407*Assumptions!$B$14+P407*Assumptions!$B$15+Q407*Assumptions!$B$16</f>
        <v>0</v>
      </c>
      <c r="S407" s="13" t="str">
        <f>IF(R407&gt;=Assumptions!$B$20,"High",IF(R407&gt;=Assumptions!$B$21,"Medium",IF(R407&gt;=1,"Low","Clear")))</f>
        <v>Clear</v>
      </c>
      <c r="T407" s="13" t="str">
        <f t="shared" si="34"/>
        <v/>
      </c>
    </row>
    <row r="408" spans="1:20" x14ac:dyDescent="0.35">
      <c r="A408" s="13" t="s">
        <v>1762</v>
      </c>
      <c r="B408" s="13" t="s">
        <v>307</v>
      </c>
      <c r="C408" s="13" t="s">
        <v>308</v>
      </c>
      <c r="D408" s="13" t="s">
        <v>1763</v>
      </c>
      <c r="E408" s="14">
        <v>45843</v>
      </c>
      <c r="F408" s="14">
        <v>45880</v>
      </c>
      <c r="G408" s="15">
        <v>119180.57</v>
      </c>
      <c r="H408" s="13" t="s">
        <v>1764</v>
      </c>
      <c r="I408" s="13" t="s">
        <v>1765</v>
      </c>
      <c r="J408" s="13" t="s">
        <v>170</v>
      </c>
      <c r="K408" s="13">
        <f t="shared" si="30"/>
        <v>1</v>
      </c>
      <c r="L408" s="13">
        <f t="shared" si="31"/>
        <v>0</v>
      </c>
      <c r="M408" s="13">
        <f>IF(AND(L408=0,COUNTIFS($B$2:$B$1534,B408,$G$2:$G$1534,G408,$E$2:$E$1534,"&gt;="&amp;(E408-Assumptions!$B$5),$E$2:$E$1534,"&lt;="&amp;(E408+Assumptions!$B$5))&gt;1),1,0)</f>
        <v>0</v>
      </c>
      <c r="N408" s="13">
        <f>IF(AND(G408&gt;=Assumptions!$B$4*(1-Assumptions!$B$6),G408&lt;Assumptions!$B$4),1,0)</f>
        <v>0</v>
      </c>
      <c r="O408" s="13">
        <f>IF(AND(G408&gt;=Assumptions!$B$7,MOD(G408,Assumptions!$B$7)=0),1,0)</f>
        <v>0</v>
      </c>
      <c r="P408" s="13">
        <f t="shared" si="32"/>
        <v>0</v>
      </c>
      <c r="Q408" s="13">
        <f t="shared" si="33"/>
        <v>0</v>
      </c>
      <c r="R408" s="13">
        <f>L408*Assumptions!$B$11+M408*Assumptions!$B$12+N408*Assumptions!$B$13+O408*Assumptions!$B$14+P408*Assumptions!$B$15+Q408*Assumptions!$B$16</f>
        <v>0</v>
      </c>
      <c r="S408" s="13" t="str">
        <f>IF(R408&gt;=Assumptions!$B$20,"High",IF(R408&gt;=Assumptions!$B$21,"Medium",IF(R408&gt;=1,"Low","Clear")))</f>
        <v>Clear</v>
      </c>
      <c r="T408" s="13" t="str">
        <f t="shared" si="34"/>
        <v/>
      </c>
    </row>
    <row r="409" spans="1:20" x14ac:dyDescent="0.35">
      <c r="A409" s="13" t="s">
        <v>1766</v>
      </c>
      <c r="B409" s="13" t="s">
        <v>212</v>
      </c>
      <c r="C409" s="13" t="s">
        <v>213</v>
      </c>
      <c r="D409" s="13" t="s">
        <v>1767</v>
      </c>
      <c r="E409" s="14">
        <v>45849</v>
      </c>
      <c r="F409" s="14">
        <v>45880</v>
      </c>
      <c r="G409" s="15">
        <v>3988.32</v>
      </c>
      <c r="H409" s="13" t="s">
        <v>1768</v>
      </c>
      <c r="I409" s="13" t="s">
        <v>1769</v>
      </c>
      <c r="J409" s="13" t="s">
        <v>143</v>
      </c>
      <c r="K409" s="13">
        <f t="shared" si="30"/>
        <v>3</v>
      </c>
      <c r="L409" s="13">
        <f t="shared" si="31"/>
        <v>0</v>
      </c>
      <c r="M409" s="13">
        <f>IF(AND(L409=0,COUNTIFS($B$2:$B$1534,B409,$G$2:$G$1534,G409,$E$2:$E$1534,"&gt;="&amp;(E409-Assumptions!$B$5),$E$2:$E$1534,"&lt;="&amp;(E409+Assumptions!$B$5))&gt;1),1,0)</f>
        <v>0</v>
      </c>
      <c r="N409" s="13">
        <f>IF(AND(G409&gt;=Assumptions!$B$4*(1-Assumptions!$B$6),G409&lt;Assumptions!$B$4),1,0)</f>
        <v>0</v>
      </c>
      <c r="O409" s="13">
        <f>IF(AND(G409&gt;=Assumptions!$B$7,MOD(G409,Assumptions!$B$7)=0),1,0)</f>
        <v>0</v>
      </c>
      <c r="P409" s="13">
        <f t="shared" si="32"/>
        <v>0</v>
      </c>
      <c r="Q409" s="13">
        <f t="shared" si="33"/>
        <v>0</v>
      </c>
      <c r="R409" s="13">
        <f>L409*Assumptions!$B$11+M409*Assumptions!$B$12+N409*Assumptions!$B$13+O409*Assumptions!$B$14+P409*Assumptions!$B$15+Q409*Assumptions!$B$16</f>
        <v>0</v>
      </c>
      <c r="S409" s="13" t="str">
        <f>IF(R409&gt;=Assumptions!$B$20,"High",IF(R409&gt;=Assumptions!$B$21,"Medium",IF(R409&gt;=1,"Low","Clear")))</f>
        <v>Clear</v>
      </c>
      <c r="T409" s="13" t="str">
        <f t="shared" si="34"/>
        <v/>
      </c>
    </row>
    <row r="410" spans="1:20" x14ac:dyDescent="0.35">
      <c r="A410" s="13" t="s">
        <v>1770</v>
      </c>
      <c r="B410" s="13" t="s">
        <v>218</v>
      </c>
      <c r="C410" s="13" t="s">
        <v>219</v>
      </c>
      <c r="D410" s="13" t="s">
        <v>1771</v>
      </c>
      <c r="E410" s="14">
        <v>45842</v>
      </c>
      <c r="F410" s="14">
        <v>45880</v>
      </c>
      <c r="G410" s="15">
        <v>26336.400000000001</v>
      </c>
      <c r="H410" s="13" t="s">
        <v>1772</v>
      </c>
      <c r="I410" s="13" t="s">
        <v>1773</v>
      </c>
      <c r="J410" s="13" t="s">
        <v>136</v>
      </c>
      <c r="K410" s="13">
        <f t="shared" si="30"/>
        <v>2</v>
      </c>
      <c r="L410" s="13">
        <f t="shared" si="31"/>
        <v>0</v>
      </c>
      <c r="M410" s="13">
        <f>IF(AND(L410=0,COUNTIFS($B$2:$B$1534,B410,$G$2:$G$1534,G410,$E$2:$E$1534,"&gt;="&amp;(E410-Assumptions!$B$5),$E$2:$E$1534,"&lt;="&amp;(E410+Assumptions!$B$5))&gt;1),1,0)</f>
        <v>0</v>
      </c>
      <c r="N410" s="13">
        <f>IF(AND(G410&gt;=Assumptions!$B$4*(1-Assumptions!$B$6),G410&lt;Assumptions!$B$4),1,0)</f>
        <v>0</v>
      </c>
      <c r="O410" s="13">
        <f>IF(AND(G410&gt;=Assumptions!$B$7,MOD(G410,Assumptions!$B$7)=0),1,0)</f>
        <v>0</v>
      </c>
      <c r="P410" s="13">
        <f t="shared" si="32"/>
        <v>0</v>
      </c>
      <c r="Q410" s="13">
        <f t="shared" si="33"/>
        <v>0</v>
      </c>
      <c r="R410" s="13">
        <f>L410*Assumptions!$B$11+M410*Assumptions!$B$12+N410*Assumptions!$B$13+O410*Assumptions!$B$14+P410*Assumptions!$B$15+Q410*Assumptions!$B$16</f>
        <v>0</v>
      </c>
      <c r="S410" s="13" t="str">
        <f>IF(R410&gt;=Assumptions!$B$20,"High",IF(R410&gt;=Assumptions!$B$21,"Medium",IF(R410&gt;=1,"Low","Clear")))</f>
        <v>Clear</v>
      </c>
      <c r="T410" s="13" t="str">
        <f t="shared" si="34"/>
        <v/>
      </c>
    </row>
    <row r="411" spans="1:20" x14ac:dyDescent="0.35">
      <c r="A411" s="13" t="s">
        <v>1774</v>
      </c>
      <c r="B411" s="13" t="s">
        <v>218</v>
      </c>
      <c r="C411" s="13" t="s">
        <v>219</v>
      </c>
      <c r="D411" s="13" t="s">
        <v>1775</v>
      </c>
      <c r="E411" s="14">
        <v>45851</v>
      </c>
      <c r="F411" s="14">
        <v>45880</v>
      </c>
      <c r="G411" s="15">
        <v>13302.53</v>
      </c>
      <c r="H411" s="13" t="s">
        <v>1776</v>
      </c>
      <c r="I411" s="13" t="s">
        <v>1777</v>
      </c>
      <c r="J411" s="13" t="s">
        <v>111</v>
      </c>
      <c r="K411" s="13">
        <f t="shared" si="30"/>
        <v>1</v>
      </c>
      <c r="L411" s="13">
        <f t="shared" si="31"/>
        <v>0</v>
      </c>
      <c r="M411" s="13">
        <f>IF(AND(L411=0,COUNTIFS($B$2:$B$1534,B411,$G$2:$G$1534,G411,$E$2:$E$1534,"&gt;="&amp;(E411-Assumptions!$B$5),$E$2:$E$1534,"&lt;="&amp;(E411+Assumptions!$B$5))&gt;1),1,0)</f>
        <v>0</v>
      </c>
      <c r="N411" s="13">
        <f>IF(AND(G411&gt;=Assumptions!$B$4*(1-Assumptions!$B$6),G411&lt;Assumptions!$B$4),1,0)</f>
        <v>0</v>
      </c>
      <c r="O411" s="13">
        <f>IF(AND(G411&gt;=Assumptions!$B$7,MOD(G411,Assumptions!$B$7)=0),1,0)</f>
        <v>0</v>
      </c>
      <c r="P411" s="13">
        <f t="shared" si="32"/>
        <v>0</v>
      </c>
      <c r="Q411" s="13">
        <f t="shared" si="33"/>
        <v>0</v>
      </c>
      <c r="R411" s="13">
        <f>L411*Assumptions!$B$11+M411*Assumptions!$B$12+N411*Assumptions!$B$13+O411*Assumptions!$B$14+P411*Assumptions!$B$15+Q411*Assumptions!$B$16</f>
        <v>0</v>
      </c>
      <c r="S411" s="13" t="str">
        <f>IF(R411&gt;=Assumptions!$B$20,"High",IF(R411&gt;=Assumptions!$B$21,"Medium",IF(R411&gt;=1,"Low","Clear")))</f>
        <v>Clear</v>
      </c>
      <c r="T411" s="13" t="str">
        <f t="shared" si="34"/>
        <v/>
      </c>
    </row>
    <row r="412" spans="1:20" x14ac:dyDescent="0.35">
      <c r="A412" s="13" t="s">
        <v>1778</v>
      </c>
      <c r="B412" s="13" t="s">
        <v>438</v>
      </c>
      <c r="C412" s="13" t="s">
        <v>439</v>
      </c>
      <c r="D412" s="13" t="s">
        <v>1779</v>
      </c>
      <c r="E412" s="14">
        <v>45850</v>
      </c>
      <c r="F412" s="14">
        <v>45880</v>
      </c>
      <c r="G412" s="15">
        <v>3889.9</v>
      </c>
      <c r="H412" s="13" t="s">
        <v>1780</v>
      </c>
      <c r="I412" s="13" t="s">
        <v>1781</v>
      </c>
      <c r="J412" s="13" t="s">
        <v>170</v>
      </c>
      <c r="K412" s="13">
        <f t="shared" si="30"/>
        <v>3</v>
      </c>
      <c r="L412" s="13">
        <f t="shared" si="31"/>
        <v>0</v>
      </c>
      <c r="M412" s="13">
        <f>IF(AND(L412=0,COUNTIFS($B$2:$B$1534,B412,$G$2:$G$1534,G412,$E$2:$E$1534,"&gt;="&amp;(E412-Assumptions!$B$5),$E$2:$E$1534,"&lt;="&amp;(E412+Assumptions!$B$5))&gt;1),1,0)</f>
        <v>0</v>
      </c>
      <c r="N412" s="13">
        <f>IF(AND(G412&gt;=Assumptions!$B$4*(1-Assumptions!$B$6),G412&lt;Assumptions!$B$4),1,0)</f>
        <v>0</v>
      </c>
      <c r="O412" s="13">
        <f>IF(AND(G412&gt;=Assumptions!$B$7,MOD(G412,Assumptions!$B$7)=0),1,0)</f>
        <v>0</v>
      </c>
      <c r="P412" s="13">
        <f t="shared" si="32"/>
        <v>0</v>
      </c>
      <c r="Q412" s="13">
        <f t="shared" si="33"/>
        <v>0</v>
      </c>
      <c r="R412" s="13">
        <f>L412*Assumptions!$B$11+M412*Assumptions!$B$12+N412*Assumptions!$B$13+O412*Assumptions!$B$14+P412*Assumptions!$B$15+Q412*Assumptions!$B$16</f>
        <v>0</v>
      </c>
      <c r="S412" s="13" t="str">
        <f>IF(R412&gt;=Assumptions!$B$20,"High",IF(R412&gt;=Assumptions!$B$21,"Medium",IF(R412&gt;=1,"Low","Clear")))</f>
        <v>Clear</v>
      </c>
      <c r="T412" s="13" t="str">
        <f t="shared" si="34"/>
        <v/>
      </c>
    </row>
    <row r="413" spans="1:20" x14ac:dyDescent="0.35">
      <c r="A413" s="13" t="s">
        <v>1782</v>
      </c>
      <c r="B413" s="13" t="s">
        <v>106</v>
      </c>
      <c r="C413" s="13" t="s">
        <v>107</v>
      </c>
      <c r="D413" s="13" t="s">
        <v>1783</v>
      </c>
      <c r="E413" s="14">
        <v>45847</v>
      </c>
      <c r="F413" s="14">
        <v>45880</v>
      </c>
      <c r="G413" s="15">
        <v>45673.97</v>
      </c>
      <c r="H413" s="13" t="s">
        <v>1784</v>
      </c>
      <c r="I413" s="13" t="s">
        <v>1785</v>
      </c>
      <c r="J413" s="13" t="s">
        <v>91</v>
      </c>
      <c r="K413" s="13">
        <f t="shared" si="30"/>
        <v>4</v>
      </c>
      <c r="L413" s="13">
        <f t="shared" si="31"/>
        <v>0</v>
      </c>
      <c r="M413" s="13">
        <f>IF(AND(L413=0,COUNTIFS($B$2:$B$1534,B413,$G$2:$G$1534,G413,$E$2:$E$1534,"&gt;="&amp;(E413-Assumptions!$B$5),$E$2:$E$1534,"&lt;="&amp;(E413+Assumptions!$B$5))&gt;1),1,0)</f>
        <v>0</v>
      </c>
      <c r="N413" s="13">
        <f>IF(AND(G413&gt;=Assumptions!$B$4*(1-Assumptions!$B$6),G413&lt;Assumptions!$B$4),1,0)</f>
        <v>0</v>
      </c>
      <c r="O413" s="13">
        <f>IF(AND(G413&gt;=Assumptions!$B$7,MOD(G413,Assumptions!$B$7)=0),1,0)</f>
        <v>0</v>
      </c>
      <c r="P413" s="13">
        <f t="shared" si="32"/>
        <v>0</v>
      </c>
      <c r="Q413" s="13">
        <f t="shared" si="33"/>
        <v>0</v>
      </c>
      <c r="R413" s="13">
        <f>L413*Assumptions!$B$11+M413*Assumptions!$B$12+N413*Assumptions!$B$13+O413*Assumptions!$B$14+P413*Assumptions!$B$15+Q413*Assumptions!$B$16</f>
        <v>0</v>
      </c>
      <c r="S413" s="13" t="str">
        <f>IF(R413&gt;=Assumptions!$B$20,"High",IF(R413&gt;=Assumptions!$B$21,"Medium",IF(R413&gt;=1,"Low","Clear")))</f>
        <v>Clear</v>
      </c>
      <c r="T413" s="13" t="str">
        <f t="shared" si="34"/>
        <v/>
      </c>
    </row>
    <row r="414" spans="1:20" x14ac:dyDescent="0.35">
      <c r="A414" s="13" t="s">
        <v>1786</v>
      </c>
      <c r="B414" s="13" t="s">
        <v>106</v>
      </c>
      <c r="C414" s="13" t="s">
        <v>107</v>
      </c>
      <c r="D414" s="13" t="s">
        <v>1787</v>
      </c>
      <c r="E414" s="14">
        <v>45838</v>
      </c>
      <c r="F414" s="14">
        <v>45880</v>
      </c>
      <c r="G414" s="15">
        <v>361046.43</v>
      </c>
      <c r="H414" s="13" t="s">
        <v>1788</v>
      </c>
      <c r="I414" s="13" t="s">
        <v>1789</v>
      </c>
      <c r="J414" s="13" t="s">
        <v>111</v>
      </c>
      <c r="K414" s="13">
        <f t="shared" si="30"/>
        <v>3</v>
      </c>
      <c r="L414" s="13">
        <f t="shared" si="31"/>
        <v>0</v>
      </c>
      <c r="M414" s="13">
        <f>IF(AND(L414=0,COUNTIFS($B$2:$B$1534,B414,$G$2:$G$1534,G414,$E$2:$E$1534,"&gt;="&amp;(E414-Assumptions!$B$5),$E$2:$E$1534,"&lt;="&amp;(E414+Assumptions!$B$5))&gt;1),1,0)</f>
        <v>0</v>
      </c>
      <c r="N414" s="13">
        <f>IF(AND(G414&gt;=Assumptions!$B$4*(1-Assumptions!$B$6),G414&lt;Assumptions!$B$4),1,0)</f>
        <v>0</v>
      </c>
      <c r="O414" s="13">
        <f>IF(AND(G414&gt;=Assumptions!$B$7,MOD(G414,Assumptions!$B$7)=0),1,0)</f>
        <v>0</v>
      </c>
      <c r="P414" s="13">
        <f t="shared" si="32"/>
        <v>0</v>
      </c>
      <c r="Q414" s="13">
        <f t="shared" si="33"/>
        <v>0</v>
      </c>
      <c r="R414" s="13">
        <f>L414*Assumptions!$B$11+M414*Assumptions!$B$12+N414*Assumptions!$B$13+O414*Assumptions!$B$14+P414*Assumptions!$B$15+Q414*Assumptions!$B$16</f>
        <v>0</v>
      </c>
      <c r="S414" s="13" t="str">
        <f>IF(R414&gt;=Assumptions!$B$20,"High",IF(R414&gt;=Assumptions!$B$21,"Medium",IF(R414&gt;=1,"Low","Clear")))</f>
        <v>Clear</v>
      </c>
      <c r="T414" s="13" t="str">
        <f t="shared" si="34"/>
        <v/>
      </c>
    </row>
    <row r="415" spans="1:20" x14ac:dyDescent="0.35">
      <c r="A415" s="13" t="s">
        <v>1790</v>
      </c>
      <c r="B415" s="13" t="s">
        <v>145</v>
      </c>
      <c r="C415" s="13" t="s">
        <v>146</v>
      </c>
      <c r="D415" s="13" t="s">
        <v>1791</v>
      </c>
      <c r="E415" s="14">
        <v>45847</v>
      </c>
      <c r="F415" s="14">
        <v>45880</v>
      </c>
      <c r="G415" s="15">
        <v>30418.06</v>
      </c>
      <c r="H415" s="13" t="s">
        <v>1792</v>
      </c>
      <c r="I415" s="13" t="s">
        <v>1793</v>
      </c>
      <c r="J415" s="13" t="s">
        <v>136</v>
      </c>
      <c r="K415" s="13">
        <f t="shared" si="30"/>
        <v>3</v>
      </c>
      <c r="L415" s="13">
        <f t="shared" si="31"/>
        <v>0</v>
      </c>
      <c r="M415" s="13">
        <f>IF(AND(L415=0,COUNTIFS($B$2:$B$1534,B415,$G$2:$G$1534,G415,$E$2:$E$1534,"&gt;="&amp;(E415-Assumptions!$B$5),$E$2:$E$1534,"&lt;="&amp;(E415+Assumptions!$B$5))&gt;1),1,0)</f>
        <v>0</v>
      </c>
      <c r="N415" s="13">
        <f>IF(AND(G415&gt;=Assumptions!$B$4*(1-Assumptions!$B$6),G415&lt;Assumptions!$B$4),1,0)</f>
        <v>0</v>
      </c>
      <c r="O415" s="13">
        <f>IF(AND(G415&gt;=Assumptions!$B$7,MOD(G415,Assumptions!$B$7)=0),1,0)</f>
        <v>0</v>
      </c>
      <c r="P415" s="13">
        <f t="shared" si="32"/>
        <v>0</v>
      </c>
      <c r="Q415" s="13">
        <f t="shared" si="33"/>
        <v>0</v>
      </c>
      <c r="R415" s="13">
        <f>L415*Assumptions!$B$11+M415*Assumptions!$B$12+N415*Assumptions!$B$13+O415*Assumptions!$B$14+P415*Assumptions!$B$15+Q415*Assumptions!$B$16</f>
        <v>0</v>
      </c>
      <c r="S415" s="13" t="str">
        <f>IF(R415&gt;=Assumptions!$B$20,"High",IF(R415&gt;=Assumptions!$B$21,"Medium",IF(R415&gt;=1,"Low","Clear")))</f>
        <v>Clear</v>
      </c>
      <c r="T415" s="13" t="str">
        <f t="shared" si="34"/>
        <v/>
      </c>
    </row>
    <row r="416" spans="1:20" x14ac:dyDescent="0.35">
      <c r="A416" s="13" t="s">
        <v>1794</v>
      </c>
      <c r="B416" s="13" t="s">
        <v>125</v>
      </c>
      <c r="C416" s="13" t="s">
        <v>126</v>
      </c>
      <c r="D416" s="13" t="s">
        <v>1795</v>
      </c>
      <c r="E416" s="14">
        <v>45850</v>
      </c>
      <c r="F416" s="14">
        <v>45880</v>
      </c>
      <c r="G416" s="15">
        <v>312245.7</v>
      </c>
      <c r="H416" s="13"/>
      <c r="I416" s="13"/>
      <c r="J416" s="13" t="s">
        <v>136</v>
      </c>
      <c r="K416" s="13">
        <f t="shared" si="30"/>
        <v>3</v>
      </c>
      <c r="L416" s="13">
        <f t="shared" si="31"/>
        <v>0</v>
      </c>
      <c r="M416" s="13">
        <f>IF(AND(L416=0,COUNTIFS($B$2:$B$1534,B416,$G$2:$G$1534,G416,$E$2:$E$1534,"&gt;="&amp;(E416-Assumptions!$B$5),$E$2:$E$1534,"&lt;="&amp;(E416+Assumptions!$B$5))&gt;1),1,0)</f>
        <v>0</v>
      </c>
      <c r="N416" s="13">
        <f>IF(AND(G416&gt;=Assumptions!$B$4*(1-Assumptions!$B$6),G416&lt;Assumptions!$B$4),1,0)</f>
        <v>0</v>
      </c>
      <c r="O416" s="13">
        <f>IF(AND(G416&gt;=Assumptions!$B$7,MOD(G416,Assumptions!$B$7)=0),1,0)</f>
        <v>0</v>
      </c>
      <c r="P416" s="13">
        <f t="shared" si="32"/>
        <v>1</v>
      </c>
      <c r="Q416" s="13">
        <f t="shared" si="33"/>
        <v>0</v>
      </c>
      <c r="R416" s="13">
        <f>L416*Assumptions!$B$11+M416*Assumptions!$B$12+N416*Assumptions!$B$13+O416*Assumptions!$B$14+P416*Assumptions!$B$15+Q416*Assumptions!$B$16</f>
        <v>4</v>
      </c>
      <c r="S416" s="13" t="str">
        <f>IF(R416&gt;=Assumptions!$B$20,"High",IF(R416&gt;=Assumptions!$B$21,"Medium",IF(R416&gt;=1,"Low","Clear")))</f>
        <v>Medium</v>
      </c>
      <c r="T416" s="13" t="str">
        <f t="shared" si="34"/>
        <v xml:space="preserve">No PO/GRN; </v>
      </c>
    </row>
    <row r="417" spans="1:20" x14ac:dyDescent="0.35">
      <c r="A417" s="13" t="s">
        <v>1796</v>
      </c>
      <c r="B417" s="13" t="s">
        <v>176</v>
      </c>
      <c r="C417" s="13" t="s">
        <v>177</v>
      </c>
      <c r="D417" s="13" t="s">
        <v>1797</v>
      </c>
      <c r="E417" s="14">
        <v>45852</v>
      </c>
      <c r="F417" s="14">
        <v>45881</v>
      </c>
      <c r="G417" s="15">
        <v>685444.45</v>
      </c>
      <c r="H417" s="13" t="s">
        <v>545</v>
      </c>
      <c r="I417" s="13" t="s">
        <v>546</v>
      </c>
      <c r="J417" s="13" t="s">
        <v>170</v>
      </c>
      <c r="K417" s="13">
        <f t="shared" si="30"/>
        <v>6</v>
      </c>
      <c r="L417" s="13">
        <f t="shared" si="31"/>
        <v>0</v>
      </c>
      <c r="M417" s="13">
        <f>IF(AND(L417=0,COUNTIFS($B$2:$B$1534,B417,$G$2:$G$1534,G417,$E$2:$E$1534,"&gt;="&amp;(E417-Assumptions!$B$5),$E$2:$E$1534,"&lt;="&amp;(E417+Assumptions!$B$5))&gt;1),1,0)</f>
        <v>0</v>
      </c>
      <c r="N417" s="13">
        <f>IF(AND(G417&gt;=Assumptions!$B$4*(1-Assumptions!$B$6),G417&lt;Assumptions!$B$4),1,0)</f>
        <v>0</v>
      </c>
      <c r="O417" s="13">
        <f>IF(AND(G417&gt;=Assumptions!$B$7,MOD(G417,Assumptions!$B$7)=0),1,0)</f>
        <v>0</v>
      </c>
      <c r="P417" s="13">
        <f t="shared" si="32"/>
        <v>0</v>
      </c>
      <c r="Q417" s="13">
        <f t="shared" si="33"/>
        <v>0</v>
      </c>
      <c r="R417" s="13">
        <f>L417*Assumptions!$B$11+M417*Assumptions!$B$12+N417*Assumptions!$B$13+O417*Assumptions!$B$14+P417*Assumptions!$B$15+Q417*Assumptions!$B$16</f>
        <v>0</v>
      </c>
      <c r="S417" s="13" t="str">
        <f>IF(R417&gt;=Assumptions!$B$20,"High",IF(R417&gt;=Assumptions!$B$21,"Medium",IF(R417&gt;=1,"Low","Clear")))</f>
        <v>Clear</v>
      </c>
      <c r="T417" s="13" t="str">
        <f t="shared" si="34"/>
        <v/>
      </c>
    </row>
    <row r="418" spans="1:20" x14ac:dyDescent="0.35">
      <c r="A418" s="13" t="s">
        <v>1798</v>
      </c>
      <c r="B418" s="13" t="s">
        <v>680</v>
      </c>
      <c r="C418" s="13" t="s">
        <v>681</v>
      </c>
      <c r="D418" s="13" t="s">
        <v>1799</v>
      </c>
      <c r="E418" s="14">
        <v>45853</v>
      </c>
      <c r="F418" s="14">
        <v>45881</v>
      </c>
      <c r="G418" s="15">
        <v>180707.63</v>
      </c>
      <c r="H418" s="13" t="s">
        <v>1800</v>
      </c>
      <c r="I418" s="13" t="s">
        <v>1801</v>
      </c>
      <c r="J418" s="13" t="s">
        <v>111</v>
      </c>
      <c r="K418" s="13">
        <f t="shared" si="30"/>
        <v>1</v>
      </c>
      <c r="L418" s="13">
        <f t="shared" si="31"/>
        <v>0</v>
      </c>
      <c r="M418" s="13">
        <f>IF(AND(L418=0,COUNTIFS($B$2:$B$1534,B418,$G$2:$G$1534,G418,$E$2:$E$1534,"&gt;="&amp;(E418-Assumptions!$B$5),$E$2:$E$1534,"&lt;="&amp;(E418+Assumptions!$B$5))&gt;1),1,0)</f>
        <v>0</v>
      </c>
      <c r="N418" s="13">
        <f>IF(AND(G418&gt;=Assumptions!$B$4*(1-Assumptions!$B$6),G418&lt;Assumptions!$B$4),1,0)</f>
        <v>0</v>
      </c>
      <c r="O418" s="13">
        <f>IF(AND(G418&gt;=Assumptions!$B$7,MOD(G418,Assumptions!$B$7)=0),1,0)</f>
        <v>0</v>
      </c>
      <c r="P418" s="13">
        <f t="shared" si="32"/>
        <v>0</v>
      </c>
      <c r="Q418" s="13">
        <f t="shared" si="33"/>
        <v>0</v>
      </c>
      <c r="R418" s="13">
        <f>L418*Assumptions!$B$11+M418*Assumptions!$B$12+N418*Assumptions!$B$13+O418*Assumptions!$B$14+P418*Assumptions!$B$15+Q418*Assumptions!$B$16</f>
        <v>0</v>
      </c>
      <c r="S418" s="13" t="str">
        <f>IF(R418&gt;=Assumptions!$B$20,"High",IF(R418&gt;=Assumptions!$B$21,"Medium",IF(R418&gt;=1,"Low","Clear")))</f>
        <v>Clear</v>
      </c>
      <c r="T418" s="13" t="str">
        <f t="shared" si="34"/>
        <v/>
      </c>
    </row>
    <row r="419" spans="1:20" x14ac:dyDescent="0.35">
      <c r="A419" s="13" t="s">
        <v>1802</v>
      </c>
      <c r="B419" s="13" t="s">
        <v>339</v>
      </c>
      <c r="C419" s="13" t="s">
        <v>340</v>
      </c>
      <c r="D419" s="13" t="s">
        <v>1803</v>
      </c>
      <c r="E419" s="14">
        <v>45843</v>
      </c>
      <c r="F419" s="14">
        <v>45881</v>
      </c>
      <c r="G419" s="15">
        <v>31449.29</v>
      </c>
      <c r="H419" s="13" t="s">
        <v>1804</v>
      </c>
      <c r="I419" s="13" t="s">
        <v>1805</v>
      </c>
      <c r="J419" s="13" t="s">
        <v>170</v>
      </c>
      <c r="K419" s="13">
        <f t="shared" si="30"/>
        <v>3</v>
      </c>
      <c r="L419" s="13">
        <f t="shared" si="31"/>
        <v>0</v>
      </c>
      <c r="M419" s="13">
        <f>IF(AND(L419=0,COUNTIFS($B$2:$B$1534,B419,$G$2:$G$1534,G419,$E$2:$E$1534,"&gt;="&amp;(E419-Assumptions!$B$5),$E$2:$E$1534,"&lt;="&amp;(E419+Assumptions!$B$5))&gt;1),1,0)</f>
        <v>0</v>
      </c>
      <c r="N419" s="13">
        <f>IF(AND(G419&gt;=Assumptions!$B$4*(1-Assumptions!$B$6),G419&lt;Assumptions!$B$4),1,0)</f>
        <v>0</v>
      </c>
      <c r="O419" s="13">
        <f>IF(AND(G419&gt;=Assumptions!$B$7,MOD(G419,Assumptions!$B$7)=0),1,0)</f>
        <v>0</v>
      </c>
      <c r="P419" s="13">
        <f t="shared" si="32"/>
        <v>0</v>
      </c>
      <c r="Q419" s="13">
        <f t="shared" si="33"/>
        <v>0</v>
      </c>
      <c r="R419" s="13">
        <f>L419*Assumptions!$B$11+M419*Assumptions!$B$12+N419*Assumptions!$B$13+O419*Assumptions!$B$14+P419*Assumptions!$B$15+Q419*Assumptions!$B$16</f>
        <v>0</v>
      </c>
      <c r="S419" s="13" t="str">
        <f>IF(R419&gt;=Assumptions!$B$20,"High",IF(R419&gt;=Assumptions!$B$21,"Medium",IF(R419&gt;=1,"Low","Clear")))</f>
        <v>Clear</v>
      </c>
      <c r="T419" s="13" t="str">
        <f t="shared" si="34"/>
        <v/>
      </c>
    </row>
    <row r="420" spans="1:20" x14ac:dyDescent="0.35">
      <c r="A420" s="13" t="s">
        <v>1806</v>
      </c>
      <c r="B420" s="13" t="s">
        <v>339</v>
      </c>
      <c r="C420" s="13" t="s">
        <v>340</v>
      </c>
      <c r="D420" s="13" t="s">
        <v>1807</v>
      </c>
      <c r="E420" s="14">
        <v>45850</v>
      </c>
      <c r="F420" s="14">
        <v>45881</v>
      </c>
      <c r="G420" s="15">
        <v>24403.95</v>
      </c>
      <c r="H420" s="13" t="s">
        <v>1808</v>
      </c>
      <c r="I420" s="13" t="s">
        <v>1809</v>
      </c>
      <c r="J420" s="13" t="s">
        <v>136</v>
      </c>
      <c r="K420" s="13">
        <f t="shared" si="30"/>
        <v>2</v>
      </c>
      <c r="L420" s="13">
        <f t="shared" si="31"/>
        <v>0</v>
      </c>
      <c r="M420" s="13">
        <f>IF(AND(L420=0,COUNTIFS($B$2:$B$1534,B420,$G$2:$G$1534,G420,$E$2:$E$1534,"&gt;="&amp;(E420-Assumptions!$B$5),$E$2:$E$1534,"&lt;="&amp;(E420+Assumptions!$B$5))&gt;1),1,0)</f>
        <v>0</v>
      </c>
      <c r="N420" s="13">
        <f>IF(AND(G420&gt;=Assumptions!$B$4*(1-Assumptions!$B$6),G420&lt;Assumptions!$B$4),1,0)</f>
        <v>0</v>
      </c>
      <c r="O420" s="13">
        <f>IF(AND(G420&gt;=Assumptions!$B$7,MOD(G420,Assumptions!$B$7)=0),1,0)</f>
        <v>0</v>
      </c>
      <c r="P420" s="13">
        <f t="shared" si="32"/>
        <v>0</v>
      </c>
      <c r="Q420" s="13">
        <f t="shared" si="33"/>
        <v>0</v>
      </c>
      <c r="R420" s="13">
        <f>L420*Assumptions!$B$11+M420*Assumptions!$B$12+N420*Assumptions!$B$13+O420*Assumptions!$B$14+P420*Assumptions!$B$15+Q420*Assumptions!$B$16</f>
        <v>0</v>
      </c>
      <c r="S420" s="13" t="str">
        <f>IF(R420&gt;=Assumptions!$B$20,"High",IF(R420&gt;=Assumptions!$B$21,"Medium",IF(R420&gt;=1,"Low","Clear")))</f>
        <v>Clear</v>
      </c>
      <c r="T420" s="13" t="str">
        <f t="shared" si="34"/>
        <v/>
      </c>
    </row>
    <row r="421" spans="1:20" x14ac:dyDescent="0.35">
      <c r="A421" s="13" t="s">
        <v>1810</v>
      </c>
      <c r="B421" s="13" t="s">
        <v>119</v>
      </c>
      <c r="C421" s="13" t="s">
        <v>120</v>
      </c>
      <c r="D421" s="13" t="s">
        <v>1674</v>
      </c>
      <c r="E421" s="14">
        <v>45848</v>
      </c>
      <c r="F421" s="14">
        <v>45882</v>
      </c>
      <c r="G421" s="15">
        <v>83495.75</v>
      </c>
      <c r="H421" s="13" t="s">
        <v>1675</v>
      </c>
      <c r="I421" s="13" t="s">
        <v>1676</v>
      </c>
      <c r="J421" s="13" t="s">
        <v>170</v>
      </c>
      <c r="K421" s="13">
        <f t="shared" si="30"/>
        <v>8</v>
      </c>
      <c r="L421" s="13">
        <f t="shared" si="31"/>
        <v>1</v>
      </c>
      <c r="M421" s="13">
        <f>IF(AND(L421=0,COUNTIFS($B$2:$B$1534,B421,$G$2:$G$1534,G421,$E$2:$E$1534,"&gt;="&amp;(E421-Assumptions!$B$5),$E$2:$E$1534,"&lt;="&amp;(E421+Assumptions!$B$5))&gt;1),1,0)</f>
        <v>0</v>
      </c>
      <c r="N421" s="13">
        <f>IF(AND(G421&gt;=Assumptions!$B$4*(1-Assumptions!$B$6),G421&lt;Assumptions!$B$4),1,0)</f>
        <v>0</v>
      </c>
      <c r="O421" s="13">
        <f>IF(AND(G421&gt;=Assumptions!$B$7,MOD(G421,Assumptions!$B$7)=0),1,0)</f>
        <v>0</v>
      </c>
      <c r="P421" s="13">
        <f t="shared" si="32"/>
        <v>0</v>
      </c>
      <c r="Q421" s="13">
        <f t="shared" si="33"/>
        <v>0</v>
      </c>
      <c r="R421" s="13">
        <f>L421*Assumptions!$B$11+M421*Assumptions!$B$12+N421*Assumptions!$B$13+O421*Assumptions!$B$14+P421*Assumptions!$B$15+Q421*Assumptions!$B$16</f>
        <v>5</v>
      </c>
      <c r="S421" s="13" t="str">
        <f>IF(R421&gt;=Assumptions!$B$20,"High",IF(R421&gt;=Assumptions!$B$21,"Medium",IF(R421&gt;=1,"Low","Clear")))</f>
        <v>High</v>
      </c>
      <c r="T421" s="13" t="str">
        <f t="shared" si="34"/>
        <v xml:space="preserve">Duplicate invoice; </v>
      </c>
    </row>
    <row r="422" spans="1:20" x14ac:dyDescent="0.35">
      <c r="A422" s="13" t="s">
        <v>1811</v>
      </c>
      <c r="B422" s="13" t="s">
        <v>476</v>
      </c>
      <c r="C422" s="13" t="s">
        <v>477</v>
      </c>
      <c r="D422" s="13" t="s">
        <v>1812</v>
      </c>
      <c r="E422" s="14">
        <v>45860</v>
      </c>
      <c r="F422" s="14">
        <v>45882</v>
      </c>
      <c r="G422" s="15">
        <v>49125.74</v>
      </c>
      <c r="H422" s="13" t="s">
        <v>1813</v>
      </c>
      <c r="I422" s="13" t="s">
        <v>1814</v>
      </c>
      <c r="J422" s="13" t="s">
        <v>143</v>
      </c>
      <c r="K422" s="13">
        <f t="shared" si="30"/>
        <v>4</v>
      </c>
      <c r="L422" s="13">
        <f t="shared" si="31"/>
        <v>0</v>
      </c>
      <c r="M422" s="13">
        <f>IF(AND(L422=0,COUNTIFS($B$2:$B$1534,B422,$G$2:$G$1534,G422,$E$2:$E$1534,"&gt;="&amp;(E422-Assumptions!$B$5),$E$2:$E$1534,"&lt;="&amp;(E422+Assumptions!$B$5))&gt;1),1,0)</f>
        <v>0</v>
      </c>
      <c r="N422" s="13">
        <f>IF(AND(G422&gt;=Assumptions!$B$4*(1-Assumptions!$B$6),G422&lt;Assumptions!$B$4),1,0)</f>
        <v>1</v>
      </c>
      <c r="O422" s="13">
        <f>IF(AND(G422&gt;=Assumptions!$B$7,MOD(G422,Assumptions!$B$7)=0),1,0)</f>
        <v>0</v>
      </c>
      <c r="P422" s="13">
        <f t="shared" si="32"/>
        <v>0</v>
      </c>
      <c r="Q422" s="13">
        <f t="shared" si="33"/>
        <v>0</v>
      </c>
      <c r="R422" s="13">
        <f>L422*Assumptions!$B$11+M422*Assumptions!$B$12+N422*Assumptions!$B$13+O422*Assumptions!$B$14+P422*Assumptions!$B$15+Q422*Assumptions!$B$16</f>
        <v>3</v>
      </c>
      <c r="S422" s="13" t="str">
        <f>IF(R422&gt;=Assumptions!$B$20,"High",IF(R422&gt;=Assumptions!$B$21,"Medium",IF(R422&gt;=1,"Low","Clear")))</f>
        <v>Medium</v>
      </c>
      <c r="T422" s="13" t="str">
        <f t="shared" si="34"/>
        <v xml:space="preserve">Just below limit; </v>
      </c>
    </row>
    <row r="423" spans="1:20" x14ac:dyDescent="0.35">
      <c r="A423" s="13" t="s">
        <v>1815</v>
      </c>
      <c r="B423" s="13" t="s">
        <v>100</v>
      </c>
      <c r="C423" s="13" t="s">
        <v>101</v>
      </c>
      <c r="D423" s="13" t="s">
        <v>1654</v>
      </c>
      <c r="E423" s="14">
        <v>45835</v>
      </c>
      <c r="F423" s="14">
        <v>45882</v>
      </c>
      <c r="G423" s="15">
        <v>3813.39</v>
      </c>
      <c r="H423" s="13" t="s">
        <v>1655</v>
      </c>
      <c r="I423" s="13" t="s">
        <v>1656</v>
      </c>
      <c r="J423" s="13" t="s">
        <v>136</v>
      </c>
      <c r="K423" s="13">
        <f t="shared" si="30"/>
        <v>3</v>
      </c>
      <c r="L423" s="13">
        <f t="shared" si="31"/>
        <v>1</v>
      </c>
      <c r="M423" s="13">
        <f>IF(AND(L423=0,COUNTIFS($B$2:$B$1534,B423,$G$2:$G$1534,G423,$E$2:$E$1534,"&gt;="&amp;(E423-Assumptions!$B$5),$E$2:$E$1534,"&lt;="&amp;(E423+Assumptions!$B$5))&gt;1),1,0)</f>
        <v>0</v>
      </c>
      <c r="N423" s="13">
        <f>IF(AND(G423&gt;=Assumptions!$B$4*(1-Assumptions!$B$6),G423&lt;Assumptions!$B$4),1,0)</f>
        <v>0</v>
      </c>
      <c r="O423" s="13">
        <f>IF(AND(G423&gt;=Assumptions!$B$7,MOD(G423,Assumptions!$B$7)=0),1,0)</f>
        <v>0</v>
      </c>
      <c r="P423" s="13">
        <f t="shared" si="32"/>
        <v>0</v>
      </c>
      <c r="Q423" s="13">
        <f t="shared" si="33"/>
        <v>0</v>
      </c>
      <c r="R423" s="13">
        <f>L423*Assumptions!$B$11+M423*Assumptions!$B$12+N423*Assumptions!$B$13+O423*Assumptions!$B$14+P423*Assumptions!$B$15+Q423*Assumptions!$B$16</f>
        <v>5</v>
      </c>
      <c r="S423" s="13" t="str">
        <f>IF(R423&gt;=Assumptions!$B$20,"High",IF(R423&gt;=Assumptions!$B$21,"Medium",IF(R423&gt;=1,"Low","Clear")))</f>
        <v>High</v>
      </c>
      <c r="T423" s="13" t="str">
        <f t="shared" si="34"/>
        <v xml:space="preserve">Duplicate invoice; </v>
      </c>
    </row>
    <row r="424" spans="1:20" x14ac:dyDescent="0.35">
      <c r="A424" s="13" t="s">
        <v>1816</v>
      </c>
      <c r="B424" s="13" t="s">
        <v>391</v>
      </c>
      <c r="C424" s="13" t="s">
        <v>392</v>
      </c>
      <c r="D424" s="13" t="s">
        <v>1817</v>
      </c>
      <c r="E424" s="14">
        <v>45860</v>
      </c>
      <c r="F424" s="14">
        <v>45883</v>
      </c>
      <c r="G424" s="15">
        <v>245907.91</v>
      </c>
      <c r="H424" s="13" t="s">
        <v>1818</v>
      </c>
      <c r="I424" s="13" t="s">
        <v>1819</v>
      </c>
      <c r="J424" s="13" t="s">
        <v>136</v>
      </c>
      <c r="K424" s="13">
        <f t="shared" si="30"/>
        <v>2</v>
      </c>
      <c r="L424" s="13">
        <f t="shared" si="31"/>
        <v>0</v>
      </c>
      <c r="M424" s="13">
        <f>IF(AND(L424=0,COUNTIFS($B$2:$B$1534,B424,$G$2:$G$1534,G424,$E$2:$E$1534,"&gt;="&amp;(E424-Assumptions!$B$5),$E$2:$E$1534,"&lt;="&amp;(E424+Assumptions!$B$5))&gt;1),1,0)</f>
        <v>0</v>
      </c>
      <c r="N424" s="13">
        <f>IF(AND(G424&gt;=Assumptions!$B$4*(1-Assumptions!$B$6),G424&lt;Assumptions!$B$4),1,0)</f>
        <v>0</v>
      </c>
      <c r="O424" s="13">
        <f>IF(AND(G424&gt;=Assumptions!$B$7,MOD(G424,Assumptions!$B$7)=0),1,0)</f>
        <v>0</v>
      </c>
      <c r="P424" s="13">
        <f t="shared" si="32"/>
        <v>0</v>
      </c>
      <c r="Q424" s="13">
        <f t="shared" si="33"/>
        <v>0</v>
      </c>
      <c r="R424" s="13">
        <f>L424*Assumptions!$B$11+M424*Assumptions!$B$12+N424*Assumptions!$B$13+O424*Assumptions!$B$14+P424*Assumptions!$B$15+Q424*Assumptions!$B$16</f>
        <v>0</v>
      </c>
      <c r="S424" s="13" t="str">
        <f>IF(R424&gt;=Assumptions!$B$20,"High",IF(R424&gt;=Assumptions!$B$21,"Medium",IF(R424&gt;=1,"Low","Clear")))</f>
        <v>Clear</v>
      </c>
      <c r="T424" s="13" t="str">
        <f t="shared" si="34"/>
        <v/>
      </c>
    </row>
    <row r="425" spans="1:20" x14ac:dyDescent="0.35">
      <c r="A425" s="13" t="s">
        <v>1820</v>
      </c>
      <c r="B425" s="13" t="s">
        <v>252</v>
      </c>
      <c r="C425" s="13" t="s">
        <v>253</v>
      </c>
      <c r="D425" s="13" t="s">
        <v>1821</v>
      </c>
      <c r="E425" s="14">
        <v>45854</v>
      </c>
      <c r="F425" s="14">
        <v>45883</v>
      </c>
      <c r="G425" s="15">
        <v>26536.240000000002</v>
      </c>
      <c r="H425" s="13" t="s">
        <v>1822</v>
      </c>
      <c r="I425" s="13" t="s">
        <v>1823</v>
      </c>
      <c r="J425" s="13" t="s">
        <v>111</v>
      </c>
      <c r="K425" s="13">
        <f t="shared" si="30"/>
        <v>2</v>
      </c>
      <c r="L425" s="13">
        <f t="shared" si="31"/>
        <v>0</v>
      </c>
      <c r="M425" s="13">
        <f>IF(AND(L425=0,COUNTIFS($B$2:$B$1534,B425,$G$2:$G$1534,G425,$E$2:$E$1534,"&gt;="&amp;(E425-Assumptions!$B$5),$E$2:$E$1534,"&lt;="&amp;(E425+Assumptions!$B$5))&gt;1),1,0)</f>
        <v>0</v>
      </c>
      <c r="N425" s="13">
        <f>IF(AND(G425&gt;=Assumptions!$B$4*(1-Assumptions!$B$6),G425&lt;Assumptions!$B$4),1,0)</f>
        <v>0</v>
      </c>
      <c r="O425" s="13">
        <f>IF(AND(G425&gt;=Assumptions!$B$7,MOD(G425,Assumptions!$B$7)=0),1,0)</f>
        <v>0</v>
      </c>
      <c r="P425" s="13">
        <f t="shared" si="32"/>
        <v>0</v>
      </c>
      <c r="Q425" s="13">
        <f t="shared" si="33"/>
        <v>0</v>
      </c>
      <c r="R425" s="13">
        <f>L425*Assumptions!$B$11+M425*Assumptions!$B$12+N425*Assumptions!$B$13+O425*Assumptions!$B$14+P425*Assumptions!$B$15+Q425*Assumptions!$B$16</f>
        <v>0</v>
      </c>
      <c r="S425" s="13" t="str">
        <f>IF(R425&gt;=Assumptions!$B$20,"High",IF(R425&gt;=Assumptions!$B$21,"Medium",IF(R425&gt;=1,"Low","Clear")))</f>
        <v>Clear</v>
      </c>
      <c r="T425" s="13" t="str">
        <f t="shared" si="34"/>
        <v/>
      </c>
    </row>
    <row r="426" spans="1:20" x14ac:dyDescent="0.35">
      <c r="A426" s="13" t="s">
        <v>1824</v>
      </c>
      <c r="B426" s="13" t="s">
        <v>279</v>
      </c>
      <c r="C426" s="13" t="s">
        <v>280</v>
      </c>
      <c r="D426" s="13" t="s">
        <v>1751</v>
      </c>
      <c r="E426" s="14">
        <v>45857</v>
      </c>
      <c r="F426" s="14">
        <v>45883</v>
      </c>
      <c r="G426" s="15">
        <v>11741.65</v>
      </c>
      <c r="H426" s="13" t="s">
        <v>1752</v>
      </c>
      <c r="I426" s="13" t="s">
        <v>1753</v>
      </c>
      <c r="J426" s="13" t="s">
        <v>98</v>
      </c>
      <c r="K426" s="13">
        <f t="shared" si="30"/>
        <v>1</v>
      </c>
      <c r="L426" s="13">
        <f t="shared" si="31"/>
        <v>1</v>
      </c>
      <c r="M426" s="13">
        <f>IF(AND(L426=0,COUNTIFS($B$2:$B$1534,B426,$G$2:$G$1534,G426,$E$2:$E$1534,"&gt;="&amp;(E426-Assumptions!$B$5),$E$2:$E$1534,"&lt;="&amp;(E426+Assumptions!$B$5))&gt;1),1,0)</f>
        <v>0</v>
      </c>
      <c r="N426" s="13">
        <f>IF(AND(G426&gt;=Assumptions!$B$4*(1-Assumptions!$B$6),G426&lt;Assumptions!$B$4),1,0)</f>
        <v>0</v>
      </c>
      <c r="O426" s="13">
        <f>IF(AND(G426&gt;=Assumptions!$B$7,MOD(G426,Assumptions!$B$7)=0),1,0)</f>
        <v>0</v>
      </c>
      <c r="P426" s="13">
        <f t="shared" si="32"/>
        <v>0</v>
      </c>
      <c r="Q426" s="13">
        <f t="shared" si="33"/>
        <v>0</v>
      </c>
      <c r="R426" s="13">
        <f>L426*Assumptions!$B$11+M426*Assumptions!$B$12+N426*Assumptions!$B$13+O426*Assumptions!$B$14+P426*Assumptions!$B$15+Q426*Assumptions!$B$16</f>
        <v>5</v>
      </c>
      <c r="S426" s="13" t="str">
        <f>IF(R426&gt;=Assumptions!$B$20,"High",IF(R426&gt;=Assumptions!$B$21,"Medium",IF(R426&gt;=1,"Low","Clear")))</f>
        <v>High</v>
      </c>
      <c r="T426" s="13" t="str">
        <f t="shared" si="34"/>
        <v xml:space="preserve">Duplicate invoice; </v>
      </c>
    </row>
    <row r="427" spans="1:20" x14ac:dyDescent="0.35">
      <c r="A427" s="13" t="s">
        <v>1825</v>
      </c>
      <c r="B427" s="13" t="s">
        <v>556</v>
      </c>
      <c r="C427" s="13" t="s">
        <v>557</v>
      </c>
      <c r="D427" s="13" t="s">
        <v>1826</v>
      </c>
      <c r="E427" s="14">
        <v>45847</v>
      </c>
      <c r="F427" s="14">
        <v>45883</v>
      </c>
      <c r="G427" s="15">
        <v>10285.370000000001</v>
      </c>
      <c r="H427" s="13" t="s">
        <v>1827</v>
      </c>
      <c r="I427" s="13" t="s">
        <v>1828</v>
      </c>
      <c r="J427" s="13" t="s">
        <v>170</v>
      </c>
      <c r="K427" s="13">
        <f t="shared" si="30"/>
        <v>1</v>
      </c>
      <c r="L427" s="13">
        <f t="shared" si="31"/>
        <v>0</v>
      </c>
      <c r="M427" s="13">
        <f>IF(AND(L427=0,COUNTIFS($B$2:$B$1534,B427,$G$2:$G$1534,G427,$E$2:$E$1534,"&gt;="&amp;(E427-Assumptions!$B$5),$E$2:$E$1534,"&lt;="&amp;(E427+Assumptions!$B$5))&gt;1),1,0)</f>
        <v>0</v>
      </c>
      <c r="N427" s="13">
        <f>IF(AND(G427&gt;=Assumptions!$B$4*(1-Assumptions!$B$6),G427&lt;Assumptions!$B$4),1,0)</f>
        <v>0</v>
      </c>
      <c r="O427" s="13">
        <f>IF(AND(G427&gt;=Assumptions!$B$7,MOD(G427,Assumptions!$B$7)=0),1,0)</f>
        <v>0</v>
      </c>
      <c r="P427" s="13">
        <f t="shared" si="32"/>
        <v>0</v>
      </c>
      <c r="Q427" s="13">
        <f t="shared" si="33"/>
        <v>0</v>
      </c>
      <c r="R427" s="13">
        <f>L427*Assumptions!$B$11+M427*Assumptions!$B$12+N427*Assumptions!$B$13+O427*Assumptions!$B$14+P427*Assumptions!$B$15+Q427*Assumptions!$B$16</f>
        <v>0</v>
      </c>
      <c r="S427" s="13" t="str">
        <f>IF(R427&gt;=Assumptions!$B$20,"High",IF(R427&gt;=Assumptions!$B$21,"Medium",IF(R427&gt;=1,"Low","Clear")))</f>
        <v>Clear</v>
      </c>
      <c r="T427" s="13" t="str">
        <f t="shared" si="34"/>
        <v/>
      </c>
    </row>
    <row r="428" spans="1:20" x14ac:dyDescent="0.35">
      <c r="A428" s="13" t="s">
        <v>1829</v>
      </c>
      <c r="B428" s="13" t="s">
        <v>131</v>
      </c>
      <c r="C428" s="13" t="s">
        <v>132</v>
      </c>
      <c r="D428" s="13" t="s">
        <v>1830</v>
      </c>
      <c r="E428" s="14">
        <v>45845</v>
      </c>
      <c r="F428" s="14">
        <v>45884</v>
      </c>
      <c r="G428" s="15">
        <v>986250.23</v>
      </c>
      <c r="H428" s="13" t="s">
        <v>1831</v>
      </c>
      <c r="I428" s="13" t="s">
        <v>1832</v>
      </c>
      <c r="J428" s="13" t="s">
        <v>170</v>
      </c>
      <c r="K428" s="13">
        <f t="shared" si="30"/>
        <v>9</v>
      </c>
      <c r="L428" s="13">
        <f t="shared" si="31"/>
        <v>0</v>
      </c>
      <c r="M428" s="13">
        <f>IF(AND(L428=0,COUNTIFS($B$2:$B$1534,B428,$G$2:$G$1534,G428,$E$2:$E$1534,"&gt;="&amp;(E428-Assumptions!$B$5),$E$2:$E$1534,"&lt;="&amp;(E428+Assumptions!$B$5))&gt;1),1,0)</f>
        <v>0</v>
      </c>
      <c r="N428" s="13">
        <f>IF(AND(G428&gt;=Assumptions!$B$4*(1-Assumptions!$B$6),G428&lt;Assumptions!$B$4),1,0)</f>
        <v>0</v>
      </c>
      <c r="O428" s="13">
        <f>IF(AND(G428&gt;=Assumptions!$B$7,MOD(G428,Assumptions!$B$7)=0),1,0)</f>
        <v>0</v>
      </c>
      <c r="P428" s="13">
        <f t="shared" si="32"/>
        <v>0</v>
      </c>
      <c r="Q428" s="13">
        <f t="shared" si="33"/>
        <v>0</v>
      </c>
      <c r="R428" s="13">
        <f>L428*Assumptions!$B$11+M428*Assumptions!$B$12+N428*Assumptions!$B$13+O428*Assumptions!$B$14+P428*Assumptions!$B$15+Q428*Assumptions!$B$16</f>
        <v>0</v>
      </c>
      <c r="S428" s="13" t="str">
        <f>IF(R428&gt;=Assumptions!$B$20,"High",IF(R428&gt;=Assumptions!$B$21,"Medium",IF(R428&gt;=1,"Low","Clear")))</f>
        <v>Clear</v>
      </c>
      <c r="T428" s="13" t="str">
        <f t="shared" si="34"/>
        <v/>
      </c>
    </row>
    <row r="429" spans="1:20" x14ac:dyDescent="0.35">
      <c r="A429" s="13" t="s">
        <v>1833</v>
      </c>
      <c r="B429" s="13" t="s">
        <v>212</v>
      </c>
      <c r="C429" s="13" t="s">
        <v>213</v>
      </c>
      <c r="D429" s="13" t="s">
        <v>1834</v>
      </c>
      <c r="E429" s="14">
        <v>45860</v>
      </c>
      <c r="F429" s="14">
        <v>45884</v>
      </c>
      <c r="G429" s="15">
        <v>33773.72</v>
      </c>
      <c r="H429" s="13" t="s">
        <v>1835</v>
      </c>
      <c r="I429" s="13" t="s">
        <v>1836</v>
      </c>
      <c r="J429" s="13" t="s">
        <v>111</v>
      </c>
      <c r="K429" s="13">
        <f t="shared" si="30"/>
        <v>3</v>
      </c>
      <c r="L429" s="13">
        <f t="shared" si="31"/>
        <v>0</v>
      </c>
      <c r="M429" s="13">
        <f>IF(AND(L429=0,COUNTIFS($B$2:$B$1534,B429,$G$2:$G$1534,G429,$E$2:$E$1534,"&gt;="&amp;(E429-Assumptions!$B$5),$E$2:$E$1534,"&lt;="&amp;(E429+Assumptions!$B$5))&gt;1),1,0)</f>
        <v>0</v>
      </c>
      <c r="N429" s="13">
        <f>IF(AND(G429&gt;=Assumptions!$B$4*(1-Assumptions!$B$6),G429&lt;Assumptions!$B$4),1,0)</f>
        <v>0</v>
      </c>
      <c r="O429" s="13">
        <f>IF(AND(G429&gt;=Assumptions!$B$7,MOD(G429,Assumptions!$B$7)=0),1,0)</f>
        <v>0</v>
      </c>
      <c r="P429" s="13">
        <f t="shared" si="32"/>
        <v>0</v>
      </c>
      <c r="Q429" s="13">
        <f t="shared" si="33"/>
        <v>0</v>
      </c>
      <c r="R429" s="13">
        <f>L429*Assumptions!$B$11+M429*Assumptions!$B$12+N429*Assumptions!$B$13+O429*Assumptions!$B$14+P429*Assumptions!$B$15+Q429*Assumptions!$B$16</f>
        <v>0</v>
      </c>
      <c r="S429" s="13" t="str">
        <f>IF(R429&gt;=Assumptions!$B$20,"High",IF(R429&gt;=Assumptions!$B$21,"Medium",IF(R429&gt;=1,"Low","Clear")))</f>
        <v>Clear</v>
      </c>
      <c r="T429" s="13" t="str">
        <f t="shared" si="34"/>
        <v/>
      </c>
    </row>
    <row r="430" spans="1:20" x14ac:dyDescent="0.35">
      <c r="A430" s="13" t="s">
        <v>1837</v>
      </c>
      <c r="B430" s="13" t="s">
        <v>188</v>
      </c>
      <c r="C430" s="13" t="s">
        <v>189</v>
      </c>
      <c r="D430" s="13" t="s">
        <v>1838</v>
      </c>
      <c r="E430" s="14">
        <v>45861</v>
      </c>
      <c r="F430" s="14">
        <v>45887</v>
      </c>
      <c r="G430" s="15">
        <v>3930.06</v>
      </c>
      <c r="H430" s="13" t="s">
        <v>1839</v>
      </c>
      <c r="I430" s="13" t="s">
        <v>1840</v>
      </c>
      <c r="J430" s="13" t="s">
        <v>136</v>
      </c>
      <c r="K430" s="13">
        <f t="shared" si="30"/>
        <v>3</v>
      </c>
      <c r="L430" s="13">
        <f t="shared" si="31"/>
        <v>0</v>
      </c>
      <c r="M430" s="13">
        <f>IF(AND(L430=0,COUNTIFS($B$2:$B$1534,B430,$G$2:$G$1534,G430,$E$2:$E$1534,"&gt;="&amp;(E430-Assumptions!$B$5),$E$2:$E$1534,"&lt;="&amp;(E430+Assumptions!$B$5))&gt;1),1,0)</f>
        <v>0</v>
      </c>
      <c r="N430" s="13">
        <f>IF(AND(G430&gt;=Assumptions!$B$4*(1-Assumptions!$B$6),G430&lt;Assumptions!$B$4),1,0)</f>
        <v>0</v>
      </c>
      <c r="O430" s="13">
        <f>IF(AND(G430&gt;=Assumptions!$B$7,MOD(G430,Assumptions!$B$7)=0),1,0)</f>
        <v>0</v>
      </c>
      <c r="P430" s="13">
        <f t="shared" si="32"/>
        <v>0</v>
      </c>
      <c r="Q430" s="13">
        <f t="shared" si="33"/>
        <v>0</v>
      </c>
      <c r="R430" s="13">
        <f>L430*Assumptions!$B$11+M430*Assumptions!$B$12+N430*Assumptions!$B$13+O430*Assumptions!$B$14+P430*Assumptions!$B$15+Q430*Assumptions!$B$16</f>
        <v>0</v>
      </c>
      <c r="S430" s="13" t="str">
        <f>IF(R430&gt;=Assumptions!$B$20,"High",IF(R430&gt;=Assumptions!$B$21,"Medium",IF(R430&gt;=1,"Low","Clear")))</f>
        <v>Clear</v>
      </c>
      <c r="T430" s="13" t="str">
        <f t="shared" si="34"/>
        <v/>
      </c>
    </row>
    <row r="431" spans="1:20" x14ac:dyDescent="0.35">
      <c r="A431" s="13" t="s">
        <v>1841</v>
      </c>
      <c r="B431" s="13" t="s">
        <v>680</v>
      </c>
      <c r="C431" s="13" t="s">
        <v>681</v>
      </c>
      <c r="D431" s="13" t="s">
        <v>1842</v>
      </c>
      <c r="E431" s="14">
        <v>45860</v>
      </c>
      <c r="F431" s="14">
        <v>45887</v>
      </c>
      <c r="G431" s="15">
        <v>22711.21</v>
      </c>
      <c r="H431" s="13" t="s">
        <v>1843</v>
      </c>
      <c r="I431" s="13" t="s">
        <v>1844</v>
      </c>
      <c r="J431" s="13" t="s">
        <v>143</v>
      </c>
      <c r="K431" s="13">
        <f t="shared" si="30"/>
        <v>2</v>
      </c>
      <c r="L431" s="13">
        <f t="shared" si="31"/>
        <v>0</v>
      </c>
      <c r="M431" s="13">
        <f>IF(AND(L431=0,COUNTIFS($B$2:$B$1534,B431,$G$2:$G$1534,G431,$E$2:$E$1534,"&gt;="&amp;(E431-Assumptions!$B$5),$E$2:$E$1534,"&lt;="&amp;(E431+Assumptions!$B$5))&gt;1),1,0)</f>
        <v>0</v>
      </c>
      <c r="N431" s="13">
        <f>IF(AND(G431&gt;=Assumptions!$B$4*(1-Assumptions!$B$6),G431&lt;Assumptions!$B$4),1,0)</f>
        <v>0</v>
      </c>
      <c r="O431" s="13">
        <f>IF(AND(G431&gt;=Assumptions!$B$7,MOD(G431,Assumptions!$B$7)=0),1,0)</f>
        <v>0</v>
      </c>
      <c r="P431" s="13">
        <f t="shared" si="32"/>
        <v>0</v>
      </c>
      <c r="Q431" s="13">
        <f t="shared" si="33"/>
        <v>0</v>
      </c>
      <c r="R431" s="13">
        <f>L431*Assumptions!$B$11+M431*Assumptions!$B$12+N431*Assumptions!$B$13+O431*Assumptions!$B$14+P431*Assumptions!$B$15+Q431*Assumptions!$B$16</f>
        <v>0</v>
      </c>
      <c r="S431" s="13" t="str">
        <f>IF(R431&gt;=Assumptions!$B$20,"High",IF(R431&gt;=Assumptions!$B$21,"Medium",IF(R431&gt;=1,"Low","Clear")))</f>
        <v>Clear</v>
      </c>
      <c r="T431" s="13" t="str">
        <f t="shared" si="34"/>
        <v/>
      </c>
    </row>
    <row r="432" spans="1:20" x14ac:dyDescent="0.35">
      <c r="A432" s="13" t="s">
        <v>1845</v>
      </c>
      <c r="B432" s="13" t="s">
        <v>279</v>
      </c>
      <c r="C432" s="13" t="s">
        <v>280</v>
      </c>
      <c r="D432" s="13" t="s">
        <v>1846</v>
      </c>
      <c r="E432" s="14">
        <v>45857</v>
      </c>
      <c r="F432" s="14">
        <v>45887</v>
      </c>
      <c r="G432" s="15">
        <v>1161.73</v>
      </c>
      <c r="H432" s="13" t="s">
        <v>1847</v>
      </c>
      <c r="I432" s="13" t="s">
        <v>1848</v>
      </c>
      <c r="J432" s="13" t="s">
        <v>91</v>
      </c>
      <c r="K432" s="13">
        <f t="shared" si="30"/>
        <v>1</v>
      </c>
      <c r="L432" s="13">
        <f t="shared" si="31"/>
        <v>0</v>
      </c>
      <c r="M432" s="13">
        <f>IF(AND(L432=0,COUNTIFS($B$2:$B$1534,B432,$G$2:$G$1534,G432,$E$2:$E$1534,"&gt;="&amp;(E432-Assumptions!$B$5),$E$2:$E$1534,"&lt;="&amp;(E432+Assumptions!$B$5))&gt;1),1,0)</f>
        <v>0</v>
      </c>
      <c r="N432" s="13">
        <f>IF(AND(G432&gt;=Assumptions!$B$4*(1-Assumptions!$B$6),G432&lt;Assumptions!$B$4),1,0)</f>
        <v>0</v>
      </c>
      <c r="O432" s="13">
        <f>IF(AND(G432&gt;=Assumptions!$B$7,MOD(G432,Assumptions!$B$7)=0),1,0)</f>
        <v>0</v>
      </c>
      <c r="P432" s="13">
        <f t="shared" si="32"/>
        <v>0</v>
      </c>
      <c r="Q432" s="13">
        <f t="shared" si="33"/>
        <v>0</v>
      </c>
      <c r="R432" s="13">
        <f>L432*Assumptions!$B$11+M432*Assumptions!$B$12+N432*Assumptions!$B$13+O432*Assumptions!$B$14+P432*Assumptions!$B$15+Q432*Assumptions!$B$16</f>
        <v>0</v>
      </c>
      <c r="S432" s="13" t="str">
        <f>IF(R432&gt;=Assumptions!$B$20,"High",IF(R432&gt;=Assumptions!$B$21,"Medium",IF(R432&gt;=1,"Low","Clear")))</f>
        <v>Clear</v>
      </c>
      <c r="T432" s="13" t="str">
        <f t="shared" si="34"/>
        <v/>
      </c>
    </row>
    <row r="433" spans="1:20" x14ac:dyDescent="0.35">
      <c r="A433" s="13" t="s">
        <v>1849</v>
      </c>
      <c r="B433" s="13" t="s">
        <v>466</v>
      </c>
      <c r="C433" s="13" t="s">
        <v>467</v>
      </c>
      <c r="D433" s="13" t="s">
        <v>1850</v>
      </c>
      <c r="E433" s="14">
        <v>45864</v>
      </c>
      <c r="F433" s="14">
        <v>45887</v>
      </c>
      <c r="G433" s="15">
        <v>20040.77</v>
      </c>
      <c r="H433" s="13" t="s">
        <v>1851</v>
      </c>
      <c r="I433" s="13" t="s">
        <v>1852</v>
      </c>
      <c r="J433" s="13" t="s">
        <v>136</v>
      </c>
      <c r="K433" s="13">
        <f t="shared" si="30"/>
        <v>2</v>
      </c>
      <c r="L433" s="13">
        <f t="shared" si="31"/>
        <v>0</v>
      </c>
      <c r="M433" s="13">
        <f>IF(AND(L433=0,COUNTIFS($B$2:$B$1534,B433,$G$2:$G$1534,G433,$E$2:$E$1534,"&gt;="&amp;(E433-Assumptions!$B$5),$E$2:$E$1534,"&lt;="&amp;(E433+Assumptions!$B$5))&gt;1),1,0)</f>
        <v>0</v>
      </c>
      <c r="N433" s="13">
        <f>IF(AND(G433&gt;=Assumptions!$B$4*(1-Assumptions!$B$6),G433&lt;Assumptions!$B$4),1,0)</f>
        <v>0</v>
      </c>
      <c r="O433" s="13">
        <f>IF(AND(G433&gt;=Assumptions!$B$7,MOD(G433,Assumptions!$B$7)=0),1,0)</f>
        <v>0</v>
      </c>
      <c r="P433" s="13">
        <f t="shared" si="32"/>
        <v>0</v>
      </c>
      <c r="Q433" s="13">
        <f t="shared" si="33"/>
        <v>0</v>
      </c>
      <c r="R433" s="13">
        <f>L433*Assumptions!$B$11+M433*Assumptions!$B$12+N433*Assumptions!$B$13+O433*Assumptions!$B$14+P433*Assumptions!$B$15+Q433*Assumptions!$B$16</f>
        <v>0</v>
      </c>
      <c r="S433" s="13" t="str">
        <f>IF(R433&gt;=Assumptions!$B$20,"High",IF(R433&gt;=Assumptions!$B$21,"Medium",IF(R433&gt;=1,"Low","Clear")))</f>
        <v>Clear</v>
      </c>
      <c r="T433" s="13" t="str">
        <f t="shared" si="34"/>
        <v/>
      </c>
    </row>
    <row r="434" spans="1:20" x14ac:dyDescent="0.35">
      <c r="A434" s="13" t="s">
        <v>1853</v>
      </c>
      <c r="B434" s="13" t="s">
        <v>317</v>
      </c>
      <c r="C434" s="13" t="s">
        <v>318</v>
      </c>
      <c r="D434" s="13" t="s">
        <v>1854</v>
      </c>
      <c r="E434" s="14">
        <v>45852</v>
      </c>
      <c r="F434" s="14">
        <v>45887</v>
      </c>
      <c r="G434" s="15">
        <v>45322.6</v>
      </c>
      <c r="H434" s="13" t="s">
        <v>1855</v>
      </c>
      <c r="I434" s="13" t="s">
        <v>1856</v>
      </c>
      <c r="J434" s="13" t="s">
        <v>143</v>
      </c>
      <c r="K434" s="13">
        <f t="shared" si="30"/>
        <v>4</v>
      </c>
      <c r="L434" s="13">
        <f t="shared" si="31"/>
        <v>0</v>
      </c>
      <c r="M434" s="13">
        <f>IF(AND(L434=0,COUNTIFS($B$2:$B$1534,B434,$G$2:$G$1534,G434,$E$2:$E$1534,"&gt;="&amp;(E434-Assumptions!$B$5),$E$2:$E$1534,"&lt;="&amp;(E434+Assumptions!$B$5))&gt;1),1,0)</f>
        <v>0</v>
      </c>
      <c r="N434" s="13">
        <f>IF(AND(G434&gt;=Assumptions!$B$4*(1-Assumptions!$B$6),G434&lt;Assumptions!$B$4),1,0)</f>
        <v>0</v>
      </c>
      <c r="O434" s="13">
        <f>IF(AND(G434&gt;=Assumptions!$B$7,MOD(G434,Assumptions!$B$7)=0),1,0)</f>
        <v>0</v>
      </c>
      <c r="P434" s="13">
        <f t="shared" si="32"/>
        <v>0</v>
      </c>
      <c r="Q434" s="13">
        <f t="shared" si="33"/>
        <v>0</v>
      </c>
      <c r="R434" s="13">
        <f>L434*Assumptions!$B$11+M434*Assumptions!$B$12+N434*Assumptions!$B$13+O434*Assumptions!$B$14+P434*Assumptions!$B$15+Q434*Assumptions!$B$16</f>
        <v>0</v>
      </c>
      <c r="S434" s="13" t="str">
        <f>IF(R434&gt;=Assumptions!$B$20,"High",IF(R434&gt;=Assumptions!$B$21,"Medium",IF(R434&gt;=1,"Low","Clear")))</f>
        <v>Clear</v>
      </c>
      <c r="T434" s="13" t="str">
        <f t="shared" si="34"/>
        <v/>
      </c>
    </row>
    <row r="435" spans="1:20" x14ac:dyDescent="0.35">
      <c r="A435" s="13" t="s">
        <v>1857</v>
      </c>
      <c r="B435" s="13" t="s">
        <v>161</v>
      </c>
      <c r="C435" s="13" t="s">
        <v>162</v>
      </c>
      <c r="D435" s="13" t="s">
        <v>1858</v>
      </c>
      <c r="E435" s="14">
        <v>45847</v>
      </c>
      <c r="F435" s="14">
        <v>45887</v>
      </c>
      <c r="G435" s="15">
        <v>11906.13</v>
      </c>
      <c r="H435" s="13" t="s">
        <v>1859</v>
      </c>
      <c r="I435" s="13" t="s">
        <v>1860</v>
      </c>
      <c r="J435" s="13" t="s">
        <v>170</v>
      </c>
      <c r="K435" s="13">
        <f t="shared" si="30"/>
        <v>1</v>
      </c>
      <c r="L435" s="13">
        <f t="shared" si="31"/>
        <v>0</v>
      </c>
      <c r="M435" s="13">
        <f>IF(AND(L435=0,COUNTIFS($B$2:$B$1534,B435,$G$2:$G$1534,G435,$E$2:$E$1534,"&gt;="&amp;(E435-Assumptions!$B$5),$E$2:$E$1534,"&lt;="&amp;(E435+Assumptions!$B$5))&gt;1),1,0)</f>
        <v>0</v>
      </c>
      <c r="N435" s="13">
        <f>IF(AND(G435&gt;=Assumptions!$B$4*(1-Assumptions!$B$6),G435&lt;Assumptions!$B$4),1,0)</f>
        <v>0</v>
      </c>
      <c r="O435" s="13">
        <f>IF(AND(G435&gt;=Assumptions!$B$7,MOD(G435,Assumptions!$B$7)=0),1,0)</f>
        <v>0</v>
      </c>
      <c r="P435" s="13">
        <f t="shared" si="32"/>
        <v>0</v>
      </c>
      <c r="Q435" s="13">
        <f t="shared" si="33"/>
        <v>0</v>
      </c>
      <c r="R435" s="13">
        <f>L435*Assumptions!$B$11+M435*Assumptions!$B$12+N435*Assumptions!$B$13+O435*Assumptions!$B$14+P435*Assumptions!$B$15+Q435*Assumptions!$B$16</f>
        <v>0</v>
      </c>
      <c r="S435" s="13" t="str">
        <f>IF(R435&gt;=Assumptions!$B$20,"High",IF(R435&gt;=Assumptions!$B$21,"Medium",IF(R435&gt;=1,"Low","Clear")))</f>
        <v>Clear</v>
      </c>
      <c r="T435" s="13" t="str">
        <f t="shared" si="34"/>
        <v/>
      </c>
    </row>
    <row r="436" spans="1:20" x14ac:dyDescent="0.35">
      <c r="A436" s="13" t="s">
        <v>1861</v>
      </c>
      <c r="B436" s="13" t="s">
        <v>476</v>
      </c>
      <c r="C436" s="13" t="s">
        <v>477</v>
      </c>
      <c r="D436" s="13" t="s">
        <v>1862</v>
      </c>
      <c r="E436" s="14">
        <v>45849</v>
      </c>
      <c r="F436" s="14">
        <v>45887</v>
      </c>
      <c r="G436" s="15">
        <v>48850.38</v>
      </c>
      <c r="H436" s="13" t="s">
        <v>1863</v>
      </c>
      <c r="I436" s="13" t="s">
        <v>1864</v>
      </c>
      <c r="J436" s="13" t="s">
        <v>98</v>
      </c>
      <c r="K436" s="13">
        <f t="shared" si="30"/>
        <v>4</v>
      </c>
      <c r="L436" s="13">
        <f t="shared" si="31"/>
        <v>0</v>
      </c>
      <c r="M436" s="13">
        <f>IF(AND(L436=0,COUNTIFS($B$2:$B$1534,B436,$G$2:$G$1534,G436,$E$2:$E$1534,"&gt;="&amp;(E436-Assumptions!$B$5),$E$2:$E$1534,"&lt;="&amp;(E436+Assumptions!$B$5))&gt;1),1,0)</f>
        <v>0</v>
      </c>
      <c r="N436" s="13">
        <f>IF(AND(G436&gt;=Assumptions!$B$4*(1-Assumptions!$B$6),G436&lt;Assumptions!$B$4),1,0)</f>
        <v>1</v>
      </c>
      <c r="O436" s="13">
        <f>IF(AND(G436&gt;=Assumptions!$B$7,MOD(G436,Assumptions!$B$7)=0),1,0)</f>
        <v>0</v>
      </c>
      <c r="P436" s="13">
        <f t="shared" si="32"/>
        <v>0</v>
      </c>
      <c r="Q436" s="13">
        <f t="shared" si="33"/>
        <v>0</v>
      </c>
      <c r="R436" s="13">
        <f>L436*Assumptions!$B$11+M436*Assumptions!$B$12+N436*Assumptions!$B$13+O436*Assumptions!$B$14+P436*Assumptions!$B$15+Q436*Assumptions!$B$16</f>
        <v>3</v>
      </c>
      <c r="S436" s="13" t="str">
        <f>IF(R436&gt;=Assumptions!$B$20,"High",IF(R436&gt;=Assumptions!$B$21,"Medium",IF(R436&gt;=1,"Low","Clear")))</f>
        <v>Medium</v>
      </c>
      <c r="T436" s="13" t="str">
        <f t="shared" si="34"/>
        <v xml:space="preserve">Just below limit; </v>
      </c>
    </row>
    <row r="437" spans="1:20" x14ac:dyDescent="0.35">
      <c r="A437" s="13" t="s">
        <v>1865</v>
      </c>
      <c r="B437" s="13" t="s">
        <v>125</v>
      </c>
      <c r="C437" s="13" t="s">
        <v>126</v>
      </c>
      <c r="D437" s="13" t="s">
        <v>1866</v>
      </c>
      <c r="E437" s="14">
        <v>45855</v>
      </c>
      <c r="F437" s="14">
        <v>45887</v>
      </c>
      <c r="G437" s="15">
        <v>4081.24</v>
      </c>
      <c r="H437" s="13" t="s">
        <v>1867</v>
      </c>
      <c r="I437" s="13" t="s">
        <v>1868</v>
      </c>
      <c r="J437" s="13" t="s">
        <v>91</v>
      </c>
      <c r="K437" s="13">
        <f t="shared" si="30"/>
        <v>4</v>
      </c>
      <c r="L437" s="13">
        <f t="shared" si="31"/>
        <v>0</v>
      </c>
      <c r="M437" s="13">
        <f>IF(AND(L437=0,COUNTIFS($B$2:$B$1534,B437,$G$2:$G$1534,G437,$E$2:$E$1534,"&gt;="&amp;(E437-Assumptions!$B$5),$E$2:$E$1534,"&lt;="&amp;(E437+Assumptions!$B$5))&gt;1),1,0)</f>
        <v>0</v>
      </c>
      <c r="N437" s="13">
        <f>IF(AND(G437&gt;=Assumptions!$B$4*(1-Assumptions!$B$6),G437&lt;Assumptions!$B$4),1,0)</f>
        <v>0</v>
      </c>
      <c r="O437" s="13">
        <f>IF(AND(G437&gt;=Assumptions!$B$7,MOD(G437,Assumptions!$B$7)=0),1,0)</f>
        <v>0</v>
      </c>
      <c r="P437" s="13">
        <f t="shared" si="32"/>
        <v>0</v>
      </c>
      <c r="Q437" s="13">
        <f t="shared" si="33"/>
        <v>0</v>
      </c>
      <c r="R437" s="13">
        <f>L437*Assumptions!$B$11+M437*Assumptions!$B$12+N437*Assumptions!$B$13+O437*Assumptions!$B$14+P437*Assumptions!$B$15+Q437*Assumptions!$B$16</f>
        <v>0</v>
      </c>
      <c r="S437" s="13" t="str">
        <f>IF(R437&gt;=Assumptions!$B$20,"High",IF(R437&gt;=Assumptions!$B$21,"Medium",IF(R437&gt;=1,"Low","Clear")))</f>
        <v>Clear</v>
      </c>
      <c r="T437" s="13" t="str">
        <f t="shared" si="34"/>
        <v/>
      </c>
    </row>
    <row r="438" spans="1:20" x14ac:dyDescent="0.35">
      <c r="A438" s="13" t="s">
        <v>1869</v>
      </c>
      <c r="B438" s="13" t="s">
        <v>176</v>
      </c>
      <c r="C438" s="13" t="s">
        <v>177</v>
      </c>
      <c r="D438" s="13" t="s">
        <v>1870</v>
      </c>
      <c r="E438" s="14">
        <v>45848</v>
      </c>
      <c r="F438" s="14">
        <v>45888</v>
      </c>
      <c r="G438" s="15">
        <v>15426.19</v>
      </c>
      <c r="H438" s="13" t="s">
        <v>1871</v>
      </c>
      <c r="I438" s="13" t="s">
        <v>1872</v>
      </c>
      <c r="J438" s="13" t="s">
        <v>91</v>
      </c>
      <c r="K438" s="13">
        <f t="shared" si="30"/>
        <v>1</v>
      </c>
      <c r="L438" s="13">
        <f t="shared" si="31"/>
        <v>0</v>
      </c>
      <c r="M438" s="13">
        <f>IF(AND(L438=0,COUNTIFS($B$2:$B$1534,B438,$G$2:$G$1534,G438,$E$2:$E$1534,"&gt;="&amp;(E438-Assumptions!$B$5),$E$2:$E$1534,"&lt;="&amp;(E438+Assumptions!$B$5))&gt;1),1,0)</f>
        <v>0</v>
      </c>
      <c r="N438" s="13">
        <f>IF(AND(G438&gt;=Assumptions!$B$4*(1-Assumptions!$B$6),G438&lt;Assumptions!$B$4),1,0)</f>
        <v>0</v>
      </c>
      <c r="O438" s="13">
        <f>IF(AND(G438&gt;=Assumptions!$B$7,MOD(G438,Assumptions!$B$7)=0),1,0)</f>
        <v>0</v>
      </c>
      <c r="P438" s="13">
        <f t="shared" si="32"/>
        <v>0</v>
      </c>
      <c r="Q438" s="13">
        <f t="shared" si="33"/>
        <v>0</v>
      </c>
      <c r="R438" s="13">
        <f>L438*Assumptions!$B$11+M438*Assumptions!$B$12+N438*Assumptions!$B$13+O438*Assumptions!$B$14+P438*Assumptions!$B$15+Q438*Assumptions!$B$16</f>
        <v>0</v>
      </c>
      <c r="S438" s="13" t="str">
        <f>IF(R438&gt;=Assumptions!$B$20,"High",IF(R438&gt;=Assumptions!$B$21,"Medium",IF(R438&gt;=1,"Low","Clear")))</f>
        <v>Clear</v>
      </c>
      <c r="T438" s="13" t="str">
        <f t="shared" si="34"/>
        <v/>
      </c>
    </row>
    <row r="439" spans="1:20" x14ac:dyDescent="0.35">
      <c r="A439" s="13" t="s">
        <v>1873</v>
      </c>
      <c r="B439" s="13" t="s">
        <v>252</v>
      </c>
      <c r="C439" s="13" t="s">
        <v>253</v>
      </c>
      <c r="D439" s="13" t="s">
        <v>1874</v>
      </c>
      <c r="E439" s="14">
        <v>45849</v>
      </c>
      <c r="F439" s="14">
        <v>45888</v>
      </c>
      <c r="G439" s="15">
        <v>33679.65</v>
      </c>
      <c r="H439" s="13" t="s">
        <v>1875</v>
      </c>
      <c r="I439" s="13" t="s">
        <v>1876</v>
      </c>
      <c r="J439" s="13" t="s">
        <v>111</v>
      </c>
      <c r="K439" s="13">
        <f t="shared" si="30"/>
        <v>3</v>
      </c>
      <c r="L439" s="13">
        <f t="shared" si="31"/>
        <v>0</v>
      </c>
      <c r="M439" s="13">
        <f>IF(AND(L439=0,COUNTIFS($B$2:$B$1534,B439,$G$2:$G$1534,G439,$E$2:$E$1534,"&gt;="&amp;(E439-Assumptions!$B$5),$E$2:$E$1534,"&lt;="&amp;(E439+Assumptions!$B$5))&gt;1),1,0)</f>
        <v>0</v>
      </c>
      <c r="N439" s="13">
        <f>IF(AND(G439&gt;=Assumptions!$B$4*(1-Assumptions!$B$6),G439&lt;Assumptions!$B$4),1,0)</f>
        <v>0</v>
      </c>
      <c r="O439" s="13">
        <f>IF(AND(G439&gt;=Assumptions!$B$7,MOD(G439,Assumptions!$B$7)=0),1,0)</f>
        <v>0</v>
      </c>
      <c r="P439" s="13">
        <f t="shared" si="32"/>
        <v>0</v>
      </c>
      <c r="Q439" s="13">
        <f t="shared" si="33"/>
        <v>0</v>
      </c>
      <c r="R439" s="13">
        <f>L439*Assumptions!$B$11+M439*Assumptions!$B$12+N439*Assumptions!$B$13+O439*Assumptions!$B$14+P439*Assumptions!$B$15+Q439*Assumptions!$B$16</f>
        <v>0</v>
      </c>
      <c r="S439" s="13" t="str">
        <f>IF(R439&gt;=Assumptions!$B$20,"High",IF(R439&gt;=Assumptions!$B$21,"Medium",IF(R439&gt;=1,"Low","Clear")))</f>
        <v>Clear</v>
      </c>
      <c r="T439" s="13" t="str">
        <f t="shared" si="34"/>
        <v/>
      </c>
    </row>
    <row r="440" spans="1:20" x14ac:dyDescent="0.35">
      <c r="A440" s="13" t="s">
        <v>1877</v>
      </c>
      <c r="B440" s="13" t="s">
        <v>329</v>
      </c>
      <c r="C440" s="13" t="s">
        <v>330</v>
      </c>
      <c r="D440" s="13" t="s">
        <v>1878</v>
      </c>
      <c r="E440" s="14">
        <v>45866</v>
      </c>
      <c r="F440" s="14">
        <v>45888</v>
      </c>
      <c r="G440" s="15">
        <v>10514.25</v>
      </c>
      <c r="H440" s="13" t="s">
        <v>1879</v>
      </c>
      <c r="I440" s="13" t="s">
        <v>1880</v>
      </c>
      <c r="J440" s="13" t="s">
        <v>98</v>
      </c>
      <c r="K440" s="13">
        <f t="shared" si="30"/>
        <v>1</v>
      </c>
      <c r="L440" s="13">
        <f t="shared" si="31"/>
        <v>0</v>
      </c>
      <c r="M440" s="13">
        <f>IF(AND(L440=0,COUNTIFS($B$2:$B$1534,B440,$G$2:$G$1534,G440,$E$2:$E$1534,"&gt;="&amp;(E440-Assumptions!$B$5),$E$2:$E$1534,"&lt;="&amp;(E440+Assumptions!$B$5))&gt;1),1,0)</f>
        <v>0</v>
      </c>
      <c r="N440" s="13">
        <f>IF(AND(G440&gt;=Assumptions!$B$4*(1-Assumptions!$B$6),G440&lt;Assumptions!$B$4),1,0)</f>
        <v>0</v>
      </c>
      <c r="O440" s="13">
        <f>IF(AND(G440&gt;=Assumptions!$B$7,MOD(G440,Assumptions!$B$7)=0),1,0)</f>
        <v>0</v>
      </c>
      <c r="P440" s="13">
        <f t="shared" si="32"/>
        <v>0</v>
      </c>
      <c r="Q440" s="13">
        <f t="shared" si="33"/>
        <v>0</v>
      </c>
      <c r="R440" s="13">
        <f>L440*Assumptions!$B$11+M440*Assumptions!$B$12+N440*Assumptions!$B$13+O440*Assumptions!$B$14+P440*Assumptions!$B$15+Q440*Assumptions!$B$16</f>
        <v>0</v>
      </c>
      <c r="S440" s="13" t="str">
        <f>IF(R440&gt;=Assumptions!$B$20,"High",IF(R440&gt;=Assumptions!$B$21,"Medium",IF(R440&gt;=1,"Low","Clear")))</f>
        <v>Clear</v>
      </c>
      <c r="T440" s="13" t="str">
        <f t="shared" si="34"/>
        <v/>
      </c>
    </row>
    <row r="441" spans="1:20" x14ac:dyDescent="0.35">
      <c r="A441" s="13" t="s">
        <v>1881</v>
      </c>
      <c r="B441" s="13" t="s">
        <v>466</v>
      </c>
      <c r="C441" s="13" t="s">
        <v>467</v>
      </c>
      <c r="D441" s="13" t="s">
        <v>1882</v>
      </c>
      <c r="E441" s="14">
        <v>45866</v>
      </c>
      <c r="F441" s="14">
        <v>45889</v>
      </c>
      <c r="G441" s="15">
        <v>49867.39</v>
      </c>
      <c r="H441" s="13" t="s">
        <v>1883</v>
      </c>
      <c r="I441" s="13" t="s">
        <v>1884</v>
      </c>
      <c r="J441" s="13" t="s">
        <v>143</v>
      </c>
      <c r="K441" s="13">
        <f t="shared" si="30"/>
        <v>4</v>
      </c>
      <c r="L441" s="13">
        <f t="shared" si="31"/>
        <v>0</v>
      </c>
      <c r="M441" s="13">
        <f>IF(AND(L441=0,COUNTIFS($B$2:$B$1534,B441,$G$2:$G$1534,G441,$E$2:$E$1534,"&gt;="&amp;(E441-Assumptions!$B$5),$E$2:$E$1534,"&lt;="&amp;(E441+Assumptions!$B$5))&gt;1),1,0)</f>
        <v>0</v>
      </c>
      <c r="N441" s="13">
        <f>IF(AND(G441&gt;=Assumptions!$B$4*(1-Assumptions!$B$6),G441&lt;Assumptions!$B$4),1,0)</f>
        <v>1</v>
      </c>
      <c r="O441" s="13">
        <f>IF(AND(G441&gt;=Assumptions!$B$7,MOD(G441,Assumptions!$B$7)=0),1,0)</f>
        <v>0</v>
      </c>
      <c r="P441" s="13">
        <f t="shared" si="32"/>
        <v>0</v>
      </c>
      <c r="Q441" s="13">
        <f t="shared" si="33"/>
        <v>0</v>
      </c>
      <c r="R441" s="13">
        <f>L441*Assumptions!$B$11+M441*Assumptions!$B$12+N441*Assumptions!$B$13+O441*Assumptions!$B$14+P441*Assumptions!$B$15+Q441*Assumptions!$B$16</f>
        <v>3</v>
      </c>
      <c r="S441" s="13" t="str">
        <f>IF(R441&gt;=Assumptions!$B$20,"High",IF(R441&gt;=Assumptions!$B$21,"Medium",IF(R441&gt;=1,"Low","Clear")))</f>
        <v>Medium</v>
      </c>
      <c r="T441" s="13" t="str">
        <f t="shared" si="34"/>
        <v xml:space="preserve">Just below limit; </v>
      </c>
    </row>
    <row r="442" spans="1:20" x14ac:dyDescent="0.35">
      <c r="A442" s="13" t="s">
        <v>1885</v>
      </c>
      <c r="B442" s="13" t="s">
        <v>323</v>
      </c>
      <c r="C442" s="13" t="s">
        <v>324</v>
      </c>
      <c r="D442" s="13" t="s">
        <v>1886</v>
      </c>
      <c r="E442" s="14">
        <v>45855</v>
      </c>
      <c r="F442" s="14">
        <v>45889</v>
      </c>
      <c r="G442" s="15">
        <v>22382.87</v>
      </c>
      <c r="H442" s="13" t="s">
        <v>1887</v>
      </c>
      <c r="I442" s="13" t="s">
        <v>1888</v>
      </c>
      <c r="J442" s="13" t="s">
        <v>170</v>
      </c>
      <c r="K442" s="13">
        <f t="shared" si="30"/>
        <v>2</v>
      </c>
      <c r="L442" s="13">
        <f t="shared" si="31"/>
        <v>0</v>
      </c>
      <c r="M442" s="13">
        <f>IF(AND(L442=0,COUNTIFS($B$2:$B$1534,B442,$G$2:$G$1534,G442,$E$2:$E$1534,"&gt;="&amp;(E442-Assumptions!$B$5),$E$2:$E$1534,"&lt;="&amp;(E442+Assumptions!$B$5))&gt;1),1,0)</f>
        <v>0</v>
      </c>
      <c r="N442" s="13">
        <f>IF(AND(G442&gt;=Assumptions!$B$4*(1-Assumptions!$B$6),G442&lt;Assumptions!$B$4),1,0)</f>
        <v>0</v>
      </c>
      <c r="O442" s="13">
        <f>IF(AND(G442&gt;=Assumptions!$B$7,MOD(G442,Assumptions!$B$7)=0),1,0)</f>
        <v>0</v>
      </c>
      <c r="P442" s="13">
        <f t="shared" si="32"/>
        <v>0</v>
      </c>
      <c r="Q442" s="13">
        <f t="shared" si="33"/>
        <v>0</v>
      </c>
      <c r="R442" s="13">
        <f>L442*Assumptions!$B$11+M442*Assumptions!$B$12+N442*Assumptions!$B$13+O442*Assumptions!$B$14+P442*Assumptions!$B$15+Q442*Assumptions!$B$16</f>
        <v>0</v>
      </c>
      <c r="S442" s="13" t="str">
        <f>IF(R442&gt;=Assumptions!$B$20,"High",IF(R442&gt;=Assumptions!$B$21,"Medium",IF(R442&gt;=1,"Low","Clear")))</f>
        <v>Clear</v>
      </c>
      <c r="T442" s="13" t="str">
        <f t="shared" si="34"/>
        <v/>
      </c>
    </row>
    <row r="443" spans="1:20" x14ac:dyDescent="0.35">
      <c r="A443" s="13" t="s">
        <v>1889</v>
      </c>
      <c r="B443" s="13" t="s">
        <v>556</v>
      </c>
      <c r="C443" s="13" t="s">
        <v>557</v>
      </c>
      <c r="D443" s="13" t="s">
        <v>1890</v>
      </c>
      <c r="E443" s="14">
        <v>45867</v>
      </c>
      <c r="F443" s="14">
        <v>45889</v>
      </c>
      <c r="G443" s="15">
        <v>1290.1300000000001</v>
      </c>
      <c r="H443" s="13" t="s">
        <v>1891</v>
      </c>
      <c r="I443" s="13" t="s">
        <v>1892</v>
      </c>
      <c r="J443" s="13" t="s">
        <v>136</v>
      </c>
      <c r="K443" s="13">
        <f t="shared" si="30"/>
        <v>1</v>
      </c>
      <c r="L443" s="13">
        <f t="shared" si="31"/>
        <v>0</v>
      </c>
      <c r="M443" s="13">
        <f>IF(AND(L443=0,COUNTIFS($B$2:$B$1534,B443,$G$2:$G$1534,G443,$E$2:$E$1534,"&gt;="&amp;(E443-Assumptions!$B$5),$E$2:$E$1534,"&lt;="&amp;(E443+Assumptions!$B$5))&gt;1),1,0)</f>
        <v>0</v>
      </c>
      <c r="N443" s="13">
        <f>IF(AND(G443&gt;=Assumptions!$B$4*(1-Assumptions!$B$6),G443&lt;Assumptions!$B$4),1,0)</f>
        <v>0</v>
      </c>
      <c r="O443" s="13">
        <f>IF(AND(G443&gt;=Assumptions!$B$7,MOD(G443,Assumptions!$B$7)=0),1,0)</f>
        <v>0</v>
      </c>
      <c r="P443" s="13">
        <f t="shared" si="32"/>
        <v>0</v>
      </c>
      <c r="Q443" s="13">
        <f t="shared" si="33"/>
        <v>0</v>
      </c>
      <c r="R443" s="13">
        <f>L443*Assumptions!$B$11+M443*Assumptions!$B$12+N443*Assumptions!$B$13+O443*Assumptions!$B$14+P443*Assumptions!$B$15+Q443*Assumptions!$B$16</f>
        <v>0</v>
      </c>
      <c r="S443" s="13" t="str">
        <f>IF(R443&gt;=Assumptions!$B$20,"High",IF(R443&gt;=Assumptions!$B$21,"Medium",IF(R443&gt;=1,"Low","Clear")))</f>
        <v>Clear</v>
      </c>
      <c r="T443" s="13" t="str">
        <f t="shared" si="34"/>
        <v/>
      </c>
    </row>
    <row r="444" spans="1:20" x14ac:dyDescent="0.35">
      <c r="A444" s="13" t="s">
        <v>1893</v>
      </c>
      <c r="B444" s="13" t="s">
        <v>188</v>
      </c>
      <c r="C444" s="13" t="s">
        <v>189</v>
      </c>
      <c r="D444" s="13" t="s">
        <v>1894</v>
      </c>
      <c r="E444" s="14">
        <v>45865</v>
      </c>
      <c r="F444" s="14">
        <v>45890</v>
      </c>
      <c r="G444" s="15">
        <v>1281.1099999999999</v>
      </c>
      <c r="H444" s="13" t="s">
        <v>1895</v>
      </c>
      <c r="I444" s="13" t="s">
        <v>1896</v>
      </c>
      <c r="J444" s="13" t="s">
        <v>136</v>
      </c>
      <c r="K444" s="13">
        <f t="shared" si="30"/>
        <v>1</v>
      </c>
      <c r="L444" s="13">
        <f t="shared" si="31"/>
        <v>0</v>
      </c>
      <c r="M444" s="13">
        <f>IF(AND(L444=0,COUNTIFS($B$2:$B$1534,B444,$G$2:$G$1534,G444,$E$2:$E$1534,"&gt;="&amp;(E444-Assumptions!$B$5),$E$2:$E$1534,"&lt;="&amp;(E444+Assumptions!$B$5))&gt;1),1,0)</f>
        <v>0</v>
      </c>
      <c r="N444" s="13">
        <f>IF(AND(G444&gt;=Assumptions!$B$4*(1-Assumptions!$B$6),G444&lt;Assumptions!$B$4),1,0)</f>
        <v>0</v>
      </c>
      <c r="O444" s="13">
        <f>IF(AND(G444&gt;=Assumptions!$B$7,MOD(G444,Assumptions!$B$7)=0),1,0)</f>
        <v>0</v>
      </c>
      <c r="P444" s="13">
        <f t="shared" si="32"/>
        <v>0</v>
      </c>
      <c r="Q444" s="13">
        <f t="shared" si="33"/>
        <v>0</v>
      </c>
      <c r="R444" s="13">
        <f>L444*Assumptions!$B$11+M444*Assumptions!$B$12+N444*Assumptions!$B$13+O444*Assumptions!$B$14+P444*Assumptions!$B$15+Q444*Assumptions!$B$16</f>
        <v>0</v>
      </c>
      <c r="S444" s="13" t="str">
        <f>IF(R444&gt;=Assumptions!$B$20,"High",IF(R444&gt;=Assumptions!$B$21,"Medium",IF(R444&gt;=1,"Low","Clear")))</f>
        <v>Clear</v>
      </c>
      <c r="T444" s="13" t="str">
        <f t="shared" si="34"/>
        <v/>
      </c>
    </row>
    <row r="445" spans="1:20" x14ac:dyDescent="0.35">
      <c r="A445" s="13" t="s">
        <v>1897</v>
      </c>
      <c r="B445" s="13" t="s">
        <v>279</v>
      </c>
      <c r="C445" s="13" t="s">
        <v>280</v>
      </c>
      <c r="D445" s="13" t="s">
        <v>1898</v>
      </c>
      <c r="E445" s="14">
        <v>45864</v>
      </c>
      <c r="F445" s="14">
        <v>45890</v>
      </c>
      <c r="G445" s="15">
        <v>26504.2</v>
      </c>
      <c r="H445" s="13" t="s">
        <v>1899</v>
      </c>
      <c r="I445" s="13" t="s">
        <v>1900</v>
      </c>
      <c r="J445" s="13" t="s">
        <v>91</v>
      </c>
      <c r="K445" s="13">
        <f t="shared" si="30"/>
        <v>2</v>
      </c>
      <c r="L445" s="13">
        <f t="shared" si="31"/>
        <v>0</v>
      </c>
      <c r="M445" s="13">
        <f>IF(AND(L445=0,COUNTIFS($B$2:$B$1534,B445,$G$2:$G$1534,G445,$E$2:$E$1534,"&gt;="&amp;(E445-Assumptions!$B$5),$E$2:$E$1534,"&lt;="&amp;(E445+Assumptions!$B$5))&gt;1),1,0)</f>
        <v>0</v>
      </c>
      <c r="N445" s="13">
        <f>IF(AND(G445&gt;=Assumptions!$B$4*(1-Assumptions!$B$6),G445&lt;Assumptions!$B$4),1,0)</f>
        <v>0</v>
      </c>
      <c r="O445" s="13">
        <f>IF(AND(G445&gt;=Assumptions!$B$7,MOD(G445,Assumptions!$B$7)=0),1,0)</f>
        <v>0</v>
      </c>
      <c r="P445" s="13">
        <f t="shared" si="32"/>
        <v>0</v>
      </c>
      <c r="Q445" s="13">
        <f t="shared" si="33"/>
        <v>0</v>
      </c>
      <c r="R445" s="13">
        <f>L445*Assumptions!$B$11+M445*Assumptions!$B$12+N445*Assumptions!$B$13+O445*Assumptions!$B$14+P445*Assumptions!$B$15+Q445*Assumptions!$B$16</f>
        <v>0</v>
      </c>
      <c r="S445" s="13" t="str">
        <f>IF(R445&gt;=Assumptions!$B$20,"High",IF(R445&gt;=Assumptions!$B$21,"Medium",IF(R445&gt;=1,"Low","Clear")))</f>
        <v>Clear</v>
      </c>
      <c r="T445" s="13" t="str">
        <f t="shared" si="34"/>
        <v/>
      </c>
    </row>
    <row r="446" spans="1:20" x14ac:dyDescent="0.35">
      <c r="A446" s="13" t="s">
        <v>1901</v>
      </c>
      <c r="B446" s="13" t="s">
        <v>774</v>
      </c>
      <c r="C446" s="13" t="s">
        <v>775</v>
      </c>
      <c r="D446" s="13" t="s">
        <v>1902</v>
      </c>
      <c r="E446" s="14">
        <v>45853</v>
      </c>
      <c r="F446" s="14">
        <v>45890</v>
      </c>
      <c r="G446" s="15">
        <v>1452.85</v>
      </c>
      <c r="H446" s="13" t="s">
        <v>1903</v>
      </c>
      <c r="I446" s="13" t="s">
        <v>1904</v>
      </c>
      <c r="J446" s="13" t="s">
        <v>136</v>
      </c>
      <c r="K446" s="13">
        <f t="shared" si="30"/>
        <v>1</v>
      </c>
      <c r="L446" s="13">
        <f t="shared" si="31"/>
        <v>0</v>
      </c>
      <c r="M446" s="13">
        <f>IF(AND(L446=0,COUNTIFS($B$2:$B$1534,B446,$G$2:$G$1534,G446,$E$2:$E$1534,"&gt;="&amp;(E446-Assumptions!$B$5),$E$2:$E$1534,"&lt;="&amp;(E446+Assumptions!$B$5))&gt;1),1,0)</f>
        <v>0</v>
      </c>
      <c r="N446" s="13">
        <f>IF(AND(G446&gt;=Assumptions!$B$4*(1-Assumptions!$B$6),G446&lt;Assumptions!$B$4),1,0)</f>
        <v>0</v>
      </c>
      <c r="O446" s="13">
        <f>IF(AND(G446&gt;=Assumptions!$B$7,MOD(G446,Assumptions!$B$7)=0),1,0)</f>
        <v>0</v>
      </c>
      <c r="P446" s="13">
        <f t="shared" si="32"/>
        <v>0</v>
      </c>
      <c r="Q446" s="13">
        <f t="shared" si="33"/>
        <v>0</v>
      </c>
      <c r="R446" s="13">
        <f>L446*Assumptions!$B$11+M446*Assumptions!$B$12+N446*Assumptions!$B$13+O446*Assumptions!$B$14+P446*Assumptions!$B$15+Q446*Assumptions!$B$16</f>
        <v>0</v>
      </c>
      <c r="S446" s="13" t="str">
        <f>IF(R446&gt;=Assumptions!$B$20,"High",IF(R446&gt;=Assumptions!$B$21,"Medium",IF(R446&gt;=1,"Low","Clear")))</f>
        <v>Clear</v>
      </c>
      <c r="T446" s="13" t="str">
        <f t="shared" si="34"/>
        <v/>
      </c>
    </row>
    <row r="447" spans="1:20" x14ac:dyDescent="0.35">
      <c r="A447" s="13" t="s">
        <v>1905</v>
      </c>
      <c r="B447" s="13" t="s">
        <v>113</v>
      </c>
      <c r="C447" s="13" t="s">
        <v>114</v>
      </c>
      <c r="D447" s="13" t="s">
        <v>1906</v>
      </c>
      <c r="E447" s="14">
        <v>45870</v>
      </c>
      <c r="F447" s="14">
        <v>45891</v>
      </c>
      <c r="G447" s="15">
        <v>5279.77</v>
      </c>
      <c r="H447" s="13" t="s">
        <v>1907</v>
      </c>
      <c r="I447" s="13" t="s">
        <v>1908</v>
      </c>
      <c r="J447" s="13" t="s">
        <v>111</v>
      </c>
      <c r="K447" s="13">
        <f t="shared" si="30"/>
        <v>5</v>
      </c>
      <c r="L447" s="13">
        <f t="shared" si="31"/>
        <v>0</v>
      </c>
      <c r="M447" s="13">
        <f>IF(AND(L447=0,COUNTIFS($B$2:$B$1534,B447,$G$2:$G$1534,G447,$E$2:$E$1534,"&gt;="&amp;(E447-Assumptions!$B$5),$E$2:$E$1534,"&lt;="&amp;(E447+Assumptions!$B$5))&gt;1),1,0)</f>
        <v>0</v>
      </c>
      <c r="N447" s="13">
        <f>IF(AND(G447&gt;=Assumptions!$B$4*(1-Assumptions!$B$6),G447&lt;Assumptions!$B$4),1,0)</f>
        <v>0</v>
      </c>
      <c r="O447" s="13">
        <f>IF(AND(G447&gt;=Assumptions!$B$7,MOD(G447,Assumptions!$B$7)=0),1,0)</f>
        <v>0</v>
      </c>
      <c r="P447" s="13">
        <f t="shared" si="32"/>
        <v>0</v>
      </c>
      <c r="Q447" s="13">
        <f t="shared" si="33"/>
        <v>0</v>
      </c>
      <c r="R447" s="13">
        <f>L447*Assumptions!$B$11+M447*Assumptions!$B$12+N447*Assumptions!$B$13+O447*Assumptions!$B$14+P447*Assumptions!$B$15+Q447*Assumptions!$B$16</f>
        <v>0</v>
      </c>
      <c r="S447" s="13" t="str">
        <f>IF(R447&gt;=Assumptions!$B$20,"High",IF(R447&gt;=Assumptions!$B$21,"Medium",IF(R447&gt;=1,"Low","Clear")))</f>
        <v>Clear</v>
      </c>
      <c r="T447" s="13" t="str">
        <f t="shared" si="34"/>
        <v/>
      </c>
    </row>
    <row r="448" spans="1:20" x14ac:dyDescent="0.35">
      <c r="A448" s="13" t="s">
        <v>1909</v>
      </c>
      <c r="B448" s="13" t="s">
        <v>106</v>
      </c>
      <c r="C448" s="13" t="s">
        <v>107</v>
      </c>
      <c r="D448" s="13" t="s">
        <v>1910</v>
      </c>
      <c r="E448" s="14">
        <v>45858</v>
      </c>
      <c r="F448" s="14">
        <v>45891</v>
      </c>
      <c r="G448" s="15">
        <v>22628.97</v>
      </c>
      <c r="H448" s="13" t="s">
        <v>1911</v>
      </c>
      <c r="I448" s="13" t="s">
        <v>1912</v>
      </c>
      <c r="J448" s="13" t="s">
        <v>170</v>
      </c>
      <c r="K448" s="13">
        <f t="shared" si="30"/>
        <v>2</v>
      </c>
      <c r="L448" s="13">
        <f t="shared" si="31"/>
        <v>0</v>
      </c>
      <c r="M448" s="13">
        <f>IF(AND(L448=0,COUNTIFS($B$2:$B$1534,B448,$G$2:$G$1534,G448,$E$2:$E$1534,"&gt;="&amp;(E448-Assumptions!$B$5),$E$2:$E$1534,"&lt;="&amp;(E448+Assumptions!$B$5))&gt;1),1,0)</f>
        <v>0</v>
      </c>
      <c r="N448" s="13">
        <f>IF(AND(G448&gt;=Assumptions!$B$4*(1-Assumptions!$B$6),G448&lt;Assumptions!$B$4),1,0)</f>
        <v>0</v>
      </c>
      <c r="O448" s="13">
        <f>IF(AND(G448&gt;=Assumptions!$B$7,MOD(G448,Assumptions!$B$7)=0),1,0)</f>
        <v>0</v>
      </c>
      <c r="P448" s="13">
        <f t="shared" si="32"/>
        <v>0</v>
      </c>
      <c r="Q448" s="13">
        <f t="shared" si="33"/>
        <v>0</v>
      </c>
      <c r="R448" s="13">
        <f>L448*Assumptions!$B$11+M448*Assumptions!$B$12+N448*Assumptions!$B$13+O448*Assumptions!$B$14+P448*Assumptions!$B$15+Q448*Assumptions!$B$16</f>
        <v>0</v>
      </c>
      <c r="S448" s="13" t="str">
        <f>IF(R448&gt;=Assumptions!$B$20,"High",IF(R448&gt;=Assumptions!$B$21,"Medium",IF(R448&gt;=1,"Low","Clear")))</f>
        <v>Clear</v>
      </c>
      <c r="T448" s="13" t="str">
        <f t="shared" si="34"/>
        <v/>
      </c>
    </row>
    <row r="449" spans="1:20" x14ac:dyDescent="0.35">
      <c r="A449" s="13" t="s">
        <v>1913</v>
      </c>
      <c r="B449" s="13" t="s">
        <v>391</v>
      </c>
      <c r="C449" s="13" t="s">
        <v>392</v>
      </c>
      <c r="D449" s="13" t="s">
        <v>1914</v>
      </c>
      <c r="E449" s="14">
        <v>45856</v>
      </c>
      <c r="F449" s="14">
        <v>45894</v>
      </c>
      <c r="G449" s="15">
        <v>425699.24</v>
      </c>
      <c r="H449" s="13" t="s">
        <v>1915</v>
      </c>
      <c r="I449" s="13" t="s">
        <v>1916</v>
      </c>
      <c r="J449" s="13" t="s">
        <v>136</v>
      </c>
      <c r="K449" s="13">
        <f t="shared" si="30"/>
        <v>4</v>
      </c>
      <c r="L449" s="13">
        <f t="shared" si="31"/>
        <v>0</v>
      </c>
      <c r="M449" s="13">
        <f>IF(AND(L449=0,COUNTIFS($B$2:$B$1534,B449,$G$2:$G$1534,G449,$E$2:$E$1534,"&gt;="&amp;(E449-Assumptions!$B$5),$E$2:$E$1534,"&lt;="&amp;(E449+Assumptions!$B$5))&gt;1),1,0)</f>
        <v>0</v>
      </c>
      <c r="N449" s="13">
        <f>IF(AND(G449&gt;=Assumptions!$B$4*(1-Assumptions!$B$6),G449&lt;Assumptions!$B$4),1,0)</f>
        <v>0</v>
      </c>
      <c r="O449" s="13">
        <f>IF(AND(G449&gt;=Assumptions!$B$7,MOD(G449,Assumptions!$B$7)=0),1,0)</f>
        <v>0</v>
      </c>
      <c r="P449" s="13">
        <f t="shared" si="32"/>
        <v>0</v>
      </c>
      <c r="Q449" s="13">
        <f t="shared" si="33"/>
        <v>0</v>
      </c>
      <c r="R449" s="13">
        <f>L449*Assumptions!$B$11+M449*Assumptions!$B$12+N449*Assumptions!$B$13+O449*Assumptions!$B$14+P449*Assumptions!$B$15+Q449*Assumptions!$B$16</f>
        <v>0</v>
      </c>
      <c r="S449" s="13" t="str">
        <f>IF(R449&gt;=Assumptions!$B$20,"High",IF(R449&gt;=Assumptions!$B$21,"Medium",IF(R449&gt;=1,"Low","Clear")))</f>
        <v>Clear</v>
      </c>
      <c r="T449" s="13" t="str">
        <f t="shared" si="34"/>
        <v/>
      </c>
    </row>
    <row r="450" spans="1:20" x14ac:dyDescent="0.35">
      <c r="A450" s="13" t="s">
        <v>1917</v>
      </c>
      <c r="B450" s="13" t="s">
        <v>391</v>
      </c>
      <c r="C450" s="13" t="s">
        <v>392</v>
      </c>
      <c r="D450" s="13" t="s">
        <v>1918</v>
      </c>
      <c r="E450" s="14">
        <v>45858</v>
      </c>
      <c r="F450" s="14">
        <v>45894</v>
      </c>
      <c r="G450" s="15">
        <v>1955.95</v>
      </c>
      <c r="H450" s="13" t="s">
        <v>1919</v>
      </c>
      <c r="I450" s="13" t="s">
        <v>1920</v>
      </c>
      <c r="J450" s="13" t="s">
        <v>91</v>
      </c>
      <c r="K450" s="13">
        <f t="shared" ref="K450:K513" si="35">VALUE(LEFT(TEXT(G450,"0"),1))</f>
        <v>1</v>
      </c>
      <c r="L450" s="13">
        <f t="shared" ref="L450:L513" si="36">IF(COUNTIFS($B$2:$B$1534,B450,$D$2:$D$1534,D450)&gt;1,1,0)</f>
        <v>0</v>
      </c>
      <c r="M450" s="13">
        <f>IF(AND(L450=0,COUNTIFS($B$2:$B$1534,B450,$G$2:$G$1534,G450,$E$2:$E$1534,"&gt;="&amp;(E450-Assumptions!$B$5),$E$2:$E$1534,"&lt;="&amp;(E450+Assumptions!$B$5))&gt;1),1,0)</f>
        <v>0</v>
      </c>
      <c r="N450" s="13">
        <f>IF(AND(G450&gt;=Assumptions!$B$4*(1-Assumptions!$B$6),G450&lt;Assumptions!$B$4),1,0)</f>
        <v>0</v>
      </c>
      <c r="O450" s="13">
        <f>IF(AND(G450&gt;=Assumptions!$B$7,MOD(G450,Assumptions!$B$7)=0),1,0)</f>
        <v>0</v>
      </c>
      <c r="P450" s="13">
        <f t="shared" ref="P450:P513" si="37">IF(OR(H450="",I450=""),1,0)</f>
        <v>0</v>
      </c>
      <c r="Q450" s="13">
        <f t="shared" ref="Q450:Q513" si="38">IF(WEEKDAY(F450,2)&gt;5,1,0)</f>
        <v>0</v>
      </c>
      <c r="R450" s="13">
        <f>L450*Assumptions!$B$11+M450*Assumptions!$B$12+N450*Assumptions!$B$13+O450*Assumptions!$B$14+P450*Assumptions!$B$15+Q450*Assumptions!$B$16</f>
        <v>0</v>
      </c>
      <c r="S450" s="13" t="str">
        <f>IF(R450&gt;=Assumptions!$B$20,"High",IF(R450&gt;=Assumptions!$B$21,"Medium",IF(R450&gt;=1,"Low","Clear")))</f>
        <v>Clear</v>
      </c>
      <c r="T450" s="13" t="str">
        <f t="shared" ref="T450:T513" si="39">IF(R450=0,"",IF(L450=1,"Duplicate invoice; ","")&amp;IF(M450=1,"Near-duplicate; ","")&amp;IF(N450=1,"Just below limit; ","")&amp;IF(O450=1,"Round amount; ","")&amp;IF(P450=1,"No PO/GRN; ","")&amp;IF(Q450=1,"Weekend payment; ",""))</f>
        <v/>
      </c>
    </row>
    <row r="451" spans="1:20" x14ac:dyDescent="0.35">
      <c r="A451" s="13" t="s">
        <v>1921</v>
      </c>
      <c r="B451" s="13" t="s">
        <v>409</v>
      </c>
      <c r="C451" s="13" t="s">
        <v>410</v>
      </c>
      <c r="D451" s="13" t="s">
        <v>1922</v>
      </c>
      <c r="E451" s="14">
        <v>45858</v>
      </c>
      <c r="F451" s="14">
        <v>45894</v>
      </c>
      <c r="G451" s="15">
        <v>66005.13</v>
      </c>
      <c r="H451" s="13" t="s">
        <v>1923</v>
      </c>
      <c r="I451" s="13" t="s">
        <v>1924</v>
      </c>
      <c r="J451" s="13" t="s">
        <v>143</v>
      </c>
      <c r="K451" s="13">
        <f t="shared" si="35"/>
        <v>6</v>
      </c>
      <c r="L451" s="13">
        <f t="shared" si="36"/>
        <v>0</v>
      </c>
      <c r="M451" s="13">
        <f>IF(AND(L451=0,COUNTIFS($B$2:$B$1534,B451,$G$2:$G$1534,G451,$E$2:$E$1534,"&gt;="&amp;(E451-Assumptions!$B$5),$E$2:$E$1534,"&lt;="&amp;(E451+Assumptions!$B$5))&gt;1),1,0)</f>
        <v>0</v>
      </c>
      <c r="N451" s="13">
        <f>IF(AND(G451&gt;=Assumptions!$B$4*(1-Assumptions!$B$6),G451&lt;Assumptions!$B$4),1,0)</f>
        <v>0</v>
      </c>
      <c r="O451" s="13">
        <f>IF(AND(G451&gt;=Assumptions!$B$7,MOD(G451,Assumptions!$B$7)=0),1,0)</f>
        <v>0</v>
      </c>
      <c r="P451" s="13">
        <f t="shared" si="37"/>
        <v>0</v>
      </c>
      <c r="Q451" s="13">
        <f t="shared" si="38"/>
        <v>0</v>
      </c>
      <c r="R451" s="13">
        <f>L451*Assumptions!$B$11+M451*Assumptions!$B$12+N451*Assumptions!$B$13+O451*Assumptions!$B$14+P451*Assumptions!$B$15+Q451*Assumptions!$B$16</f>
        <v>0</v>
      </c>
      <c r="S451" s="13" t="str">
        <f>IF(R451&gt;=Assumptions!$B$20,"High",IF(R451&gt;=Assumptions!$B$21,"Medium",IF(R451&gt;=1,"Low","Clear")))</f>
        <v>Clear</v>
      </c>
      <c r="T451" s="13" t="str">
        <f t="shared" si="39"/>
        <v/>
      </c>
    </row>
    <row r="452" spans="1:20" x14ac:dyDescent="0.35">
      <c r="A452" s="13" t="s">
        <v>1925</v>
      </c>
      <c r="B452" s="13" t="s">
        <v>409</v>
      </c>
      <c r="C452" s="13" t="s">
        <v>410</v>
      </c>
      <c r="D452" s="13" t="s">
        <v>1926</v>
      </c>
      <c r="E452" s="14">
        <v>45858</v>
      </c>
      <c r="F452" s="14">
        <v>45894</v>
      </c>
      <c r="G452" s="15">
        <v>167719.29999999999</v>
      </c>
      <c r="H452" s="13"/>
      <c r="I452" s="13"/>
      <c r="J452" s="13" t="s">
        <v>170</v>
      </c>
      <c r="K452" s="13">
        <f t="shared" si="35"/>
        <v>1</v>
      </c>
      <c r="L452" s="13">
        <f t="shared" si="36"/>
        <v>0</v>
      </c>
      <c r="M452" s="13">
        <f>IF(AND(L452=0,COUNTIFS($B$2:$B$1534,B452,$G$2:$G$1534,G452,$E$2:$E$1534,"&gt;="&amp;(E452-Assumptions!$B$5),$E$2:$E$1534,"&lt;="&amp;(E452+Assumptions!$B$5))&gt;1),1,0)</f>
        <v>0</v>
      </c>
      <c r="N452" s="13">
        <f>IF(AND(G452&gt;=Assumptions!$B$4*(1-Assumptions!$B$6),G452&lt;Assumptions!$B$4),1,0)</f>
        <v>0</v>
      </c>
      <c r="O452" s="13">
        <f>IF(AND(G452&gt;=Assumptions!$B$7,MOD(G452,Assumptions!$B$7)=0),1,0)</f>
        <v>0</v>
      </c>
      <c r="P452" s="13">
        <f t="shared" si="37"/>
        <v>1</v>
      </c>
      <c r="Q452" s="13">
        <f t="shared" si="38"/>
        <v>0</v>
      </c>
      <c r="R452" s="13">
        <f>L452*Assumptions!$B$11+M452*Assumptions!$B$12+N452*Assumptions!$B$13+O452*Assumptions!$B$14+P452*Assumptions!$B$15+Q452*Assumptions!$B$16</f>
        <v>4</v>
      </c>
      <c r="S452" s="13" t="str">
        <f>IF(R452&gt;=Assumptions!$B$20,"High",IF(R452&gt;=Assumptions!$B$21,"Medium",IF(R452&gt;=1,"Low","Clear")))</f>
        <v>Medium</v>
      </c>
      <c r="T452" s="13" t="str">
        <f t="shared" si="39"/>
        <v xml:space="preserve">No PO/GRN; </v>
      </c>
    </row>
    <row r="453" spans="1:20" x14ac:dyDescent="0.35">
      <c r="A453" s="13" t="s">
        <v>1927</v>
      </c>
      <c r="B453" s="13" t="s">
        <v>228</v>
      </c>
      <c r="C453" s="13" t="s">
        <v>229</v>
      </c>
      <c r="D453" s="13" t="s">
        <v>1928</v>
      </c>
      <c r="E453" s="14">
        <v>45869</v>
      </c>
      <c r="F453" s="14">
        <v>45894</v>
      </c>
      <c r="G453" s="15">
        <v>48696.59</v>
      </c>
      <c r="H453" s="13" t="s">
        <v>1929</v>
      </c>
      <c r="I453" s="13" t="s">
        <v>1930</v>
      </c>
      <c r="J453" s="13" t="s">
        <v>143</v>
      </c>
      <c r="K453" s="13">
        <f t="shared" si="35"/>
        <v>4</v>
      </c>
      <c r="L453" s="13">
        <f t="shared" si="36"/>
        <v>0</v>
      </c>
      <c r="M453" s="13">
        <f>IF(AND(L453=0,COUNTIFS($B$2:$B$1534,B453,$G$2:$G$1534,G453,$E$2:$E$1534,"&gt;="&amp;(E453-Assumptions!$B$5),$E$2:$E$1534,"&lt;="&amp;(E453+Assumptions!$B$5))&gt;1),1,0)</f>
        <v>0</v>
      </c>
      <c r="N453" s="13">
        <f>IF(AND(G453&gt;=Assumptions!$B$4*(1-Assumptions!$B$6),G453&lt;Assumptions!$B$4),1,0)</f>
        <v>1</v>
      </c>
      <c r="O453" s="13">
        <f>IF(AND(G453&gt;=Assumptions!$B$7,MOD(G453,Assumptions!$B$7)=0),1,0)</f>
        <v>0</v>
      </c>
      <c r="P453" s="13">
        <f t="shared" si="37"/>
        <v>0</v>
      </c>
      <c r="Q453" s="13">
        <f t="shared" si="38"/>
        <v>0</v>
      </c>
      <c r="R453" s="13">
        <f>L453*Assumptions!$B$11+M453*Assumptions!$B$12+N453*Assumptions!$B$13+O453*Assumptions!$B$14+P453*Assumptions!$B$15+Q453*Assumptions!$B$16</f>
        <v>3</v>
      </c>
      <c r="S453" s="13" t="str">
        <f>IF(R453&gt;=Assumptions!$B$20,"High",IF(R453&gt;=Assumptions!$B$21,"Medium",IF(R453&gt;=1,"Low","Clear")))</f>
        <v>Medium</v>
      </c>
      <c r="T453" s="13" t="str">
        <f t="shared" si="39"/>
        <v xml:space="preserve">Just below limit; </v>
      </c>
    </row>
    <row r="454" spans="1:20" x14ac:dyDescent="0.35">
      <c r="A454" s="13" t="s">
        <v>1931</v>
      </c>
      <c r="B454" s="13" t="s">
        <v>228</v>
      </c>
      <c r="C454" s="13" t="s">
        <v>229</v>
      </c>
      <c r="D454" s="13" t="s">
        <v>1932</v>
      </c>
      <c r="E454" s="14">
        <v>45857</v>
      </c>
      <c r="F454" s="14">
        <v>45894</v>
      </c>
      <c r="G454" s="15">
        <v>358006.1</v>
      </c>
      <c r="H454" s="13" t="s">
        <v>1933</v>
      </c>
      <c r="I454" s="13" t="s">
        <v>1934</v>
      </c>
      <c r="J454" s="13" t="s">
        <v>136</v>
      </c>
      <c r="K454" s="13">
        <f t="shared" si="35"/>
        <v>3</v>
      </c>
      <c r="L454" s="13">
        <f t="shared" si="36"/>
        <v>0</v>
      </c>
      <c r="M454" s="13">
        <f>IF(AND(L454=0,COUNTIFS($B$2:$B$1534,B454,$G$2:$G$1534,G454,$E$2:$E$1534,"&gt;="&amp;(E454-Assumptions!$B$5),$E$2:$E$1534,"&lt;="&amp;(E454+Assumptions!$B$5))&gt;1),1,0)</f>
        <v>0</v>
      </c>
      <c r="N454" s="13">
        <f>IF(AND(G454&gt;=Assumptions!$B$4*(1-Assumptions!$B$6),G454&lt;Assumptions!$B$4),1,0)</f>
        <v>0</v>
      </c>
      <c r="O454" s="13">
        <f>IF(AND(G454&gt;=Assumptions!$B$7,MOD(G454,Assumptions!$B$7)=0),1,0)</f>
        <v>0</v>
      </c>
      <c r="P454" s="13">
        <f t="shared" si="37"/>
        <v>0</v>
      </c>
      <c r="Q454" s="13">
        <f t="shared" si="38"/>
        <v>0</v>
      </c>
      <c r="R454" s="13">
        <f>L454*Assumptions!$B$11+M454*Assumptions!$B$12+N454*Assumptions!$B$13+O454*Assumptions!$B$14+P454*Assumptions!$B$15+Q454*Assumptions!$B$16</f>
        <v>0</v>
      </c>
      <c r="S454" s="13" t="str">
        <f>IF(R454&gt;=Assumptions!$B$20,"High",IF(R454&gt;=Assumptions!$B$21,"Medium",IF(R454&gt;=1,"Low","Clear")))</f>
        <v>Clear</v>
      </c>
      <c r="T454" s="13" t="str">
        <f t="shared" si="39"/>
        <v/>
      </c>
    </row>
    <row r="455" spans="1:20" x14ac:dyDescent="0.35">
      <c r="A455" s="13" t="s">
        <v>1935</v>
      </c>
      <c r="B455" s="13" t="s">
        <v>252</v>
      </c>
      <c r="C455" s="13" t="s">
        <v>253</v>
      </c>
      <c r="D455" s="13" t="s">
        <v>1936</v>
      </c>
      <c r="E455" s="14">
        <v>45853</v>
      </c>
      <c r="F455" s="14">
        <v>45894</v>
      </c>
      <c r="G455" s="15">
        <v>1066.3800000000001</v>
      </c>
      <c r="H455" s="13" t="s">
        <v>1937</v>
      </c>
      <c r="I455" s="13" t="s">
        <v>1938</v>
      </c>
      <c r="J455" s="13" t="s">
        <v>111</v>
      </c>
      <c r="K455" s="13">
        <f t="shared" si="35"/>
        <v>1</v>
      </c>
      <c r="L455" s="13">
        <f t="shared" si="36"/>
        <v>0</v>
      </c>
      <c r="M455" s="13">
        <f>IF(AND(L455=0,COUNTIFS($B$2:$B$1534,B455,$G$2:$G$1534,G455,$E$2:$E$1534,"&gt;="&amp;(E455-Assumptions!$B$5),$E$2:$E$1534,"&lt;="&amp;(E455+Assumptions!$B$5))&gt;1),1,0)</f>
        <v>0</v>
      </c>
      <c r="N455" s="13">
        <f>IF(AND(G455&gt;=Assumptions!$B$4*(1-Assumptions!$B$6),G455&lt;Assumptions!$B$4),1,0)</f>
        <v>0</v>
      </c>
      <c r="O455" s="13">
        <f>IF(AND(G455&gt;=Assumptions!$B$7,MOD(G455,Assumptions!$B$7)=0),1,0)</f>
        <v>0</v>
      </c>
      <c r="P455" s="13">
        <f t="shared" si="37"/>
        <v>0</v>
      </c>
      <c r="Q455" s="13">
        <f t="shared" si="38"/>
        <v>0</v>
      </c>
      <c r="R455" s="13">
        <f>L455*Assumptions!$B$11+M455*Assumptions!$B$12+N455*Assumptions!$B$13+O455*Assumptions!$B$14+P455*Assumptions!$B$15+Q455*Assumptions!$B$16</f>
        <v>0</v>
      </c>
      <c r="S455" s="13" t="str">
        <f>IF(R455&gt;=Assumptions!$B$20,"High",IF(R455&gt;=Assumptions!$B$21,"Medium",IF(R455&gt;=1,"Low","Clear")))</f>
        <v>Clear</v>
      </c>
      <c r="T455" s="13" t="str">
        <f t="shared" si="39"/>
        <v/>
      </c>
    </row>
    <row r="456" spans="1:20" x14ac:dyDescent="0.35">
      <c r="A456" s="13" t="s">
        <v>1939</v>
      </c>
      <c r="B456" s="13" t="s">
        <v>86</v>
      </c>
      <c r="C456" s="13" t="s">
        <v>87</v>
      </c>
      <c r="D456" s="13" t="s">
        <v>1940</v>
      </c>
      <c r="E456" s="14">
        <v>45855</v>
      </c>
      <c r="F456" s="14">
        <v>45894</v>
      </c>
      <c r="G456" s="15">
        <v>159618.54</v>
      </c>
      <c r="H456" s="13" t="s">
        <v>1941</v>
      </c>
      <c r="I456" s="13" t="s">
        <v>1942</v>
      </c>
      <c r="J456" s="13" t="s">
        <v>136</v>
      </c>
      <c r="K456" s="13">
        <f t="shared" si="35"/>
        <v>1</v>
      </c>
      <c r="L456" s="13">
        <f t="shared" si="36"/>
        <v>0</v>
      </c>
      <c r="M456" s="13">
        <f>IF(AND(L456=0,COUNTIFS($B$2:$B$1534,B456,$G$2:$G$1534,G456,$E$2:$E$1534,"&gt;="&amp;(E456-Assumptions!$B$5),$E$2:$E$1534,"&lt;="&amp;(E456+Assumptions!$B$5))&gt;1),1,0)</f>
        <v>0</v>
      </c>
      <c r="N456" s="13">
        <f>IF(AND(G456&gt;=Assumptions!$B$4*(1-Assumptions!$B$6),G456&lt;Assumptions!$B$4),1,0)</f>
        <v>0</v>
      </c>
      <c r="O456" s="13">
        <f>IF(AND(G456&gt;=Assumptions!$B$7,MOD(G456,Assumptions!$B$7)=0),1,0)</f>
        <v>0</v>
      </c>
      <c r="P456" s="13">
        <f t="shared" si="37"/>
        <v>0</v>
      </c>
      <c r="Q456" s="13">
        <f t="shared" si="38"/>
        <v>0</v>
      </c>
      <c r="R456" s="13">
        <f>L456*Assumptions!$B$11+M456*Assumptions!$B$12+N456*Assumptions!$B$13+O456*Assumptions!$B$14+P456*Assumptions!$B$15+Q456*Assumptions!$B$16</f>
        <v>0</v>
      </c>
      <c r="S456" s="13" t="str">
        <f>IF(R456&gt;=Assumptions!$B$20,"High",IF(R456&gt;=Assumptions!$B$21,"Medium",IF(R456&gt;=1,"Low","Clear")))</f>
        <v>Clear</v>
      </c>
      <c r="T456" s="13" t="str">
        <f t="shared" si="39"/>
        <v/>
      </c>
    </row>
    <row r="457" spans="1:20" x14ac:dyDescent="0.35">
      <c r="A457" s="13" t="s">
        <v>1943</v>
      </c>
      <c r="B457" s="13" t="s">
        <v>86</v>
      </c>
      <c r="C457" s="13" t="s">
        <v>87</v>
      </c>
      <c r="D457" s="13" t="s">
        <v>1944</v>
      </c>
      <c r="E457" s="14">
        <v>45869</v>
      </c>
      <c r="F457" s="14">
        <v>45894</v>
      </c>
      <c r="G457" s="15">
        <v>1328.78</v>
      </c>
      <c r="H457" s="13" t="s">
        <v>1945</v>
      </c>
      <c r="I457" s="13" t="s">
        <v>1946</v>
      </c>
      <c r="J457" s="13" t="s">
        <v>143</v>
      </c>
      <c r="K457" s="13">
        <f t="shared" si="35"/>
        <v>1</v>
      </c>
      <c r="L457" s="13">
        <f t="shared" si="36"/>
        <v>0</v>
      </c>
      <c r="M457" s="13">
        <f>IF(AND(L457=0,COUNTIFS($B$2:$B$1534,B457,$G$2:$G$1534,G457,$E$2:$E$1534,"&gt;="&amp;(E457-Assumptions!$B$5),$E$2:$E$1534,"&lt;="&amp;(E457+Assumptions!$B$5))&gt;1),1,0)</f>
        <v>0</v>
      </c>
      <c r="N457" s="13">
        <f>IF(AND(G457&gt;=Assumptions!$B$4*(1-Assumptions!$B$6),G457&lt;Assumptions!$B$4),1,0)</f>
        <v>0</v>
      </c>
      <c r="O457" s="13">
        <f>IF(AND(G457&gt;=Assumptions!$B$7,MOD(G457,Assumptions!$B$7)=0),1,0)</f>
        <v>0</v>
      </c>
      <c r="P457" s="13">
        <f t="shared" si="37"/>
        <v>0</v>
      </c>
      <c r="Q457" s="13">
        <f t="shared" si="38"/>
        <v>0</v>
      </c>
      <c r="R457" s="13">
        <f>L457*Assumptions!$B$11+M457*Assumptions!$B$12+N457*Assumptions!$B$13+O457*Assumptions!$B$14+P457*Assumptions!$B$15+Q457*Assumptions!$B$16</f>
        <v>0</v>
      </c>
      <c r="S457" s="13" t="str">
        <f>IF(R457&gt;=Assumptions!$B$20,"High",IF(R457&gt;=Assumptions!$B$21,"Medium",IF(R457&gt;=1,"Low","Clear")))</f>
        <v>Clear</v>
      </c>
      <c r="T457" s="13" t="str">
        <f t="shared" si="39"/>
        <v/>
      </c>
    </row>
    <row r="458" spans="1:20" x14ac:dyDescent="0.35">
      <c r="A458" s="13" t="s">
        <v>1947</v>
      </c>
      <c r="B458" s="13" t="s">
        <v>680</v>
      </c>
      <c r="C458" s="13" t="s">
        <v>681</v>
      </c>
      <c r="D458" s="13" t="s">
        <v>1948</v>
      </c>
      <c r="E458" s="14">
        <v>45863</v>
      </c>
      <c r="F458" s="14">
        <v>45894</v>
      </c>
      <c r="G458" s="15">
        <v>11432.34</v>
      </c>
      <c r="H458" s="13" t="s">
        <v>1949</v>
      </c>
      <c r="I458" s="13" t="s">
        <v>1950</v>
      </c>
      <c r="J458" s="13" t="s">
        <v>136</v>
      </c>
      <c r="K458" s="13">
        <f t="shared" si="35"/>
        <v>1</v>
      </c>
      <c r="L458" s="13">
        <f t="shared" si="36"/>
        <v>1</v>
      </c>
      <c r="M458" s="13">
        <f>IF(AND(L458=0,COUNTIFS($B$2:$B$1534,B458,$G$2:$G$1534,G458,$E$2:$E$1534,"&gt;="&amp;(E458-Assumptions!$B$5),$E$2:$E$1534,"&lt;="&amp;(E458+Assumptions!$B$5))&gt;1),1,0)</f>
        <v>0</v>
      </c>
      <c r="N458" s="13">
        <f>IF(AND(G458&gt;=Assumptions!$B$4*(1-Assumptions!$B$6),G458&lt;Assumptions!$B$4),1,0)</f>
        <v>0</v>
      </c>
      <c r="O458" s="13">
        <f>IF(AND(G458&gt;=Assumptions!$B$7,MOD(G458,Assumptions!$B$7)=0),1,0)</f>
        <v>0</v>
      </c>
      <c r="P458" s="13">
        <f t="shared" si="37"/>
        <v>0</v>
      </c>
      <c r="Q458" s="13">
        <f t="shared" si="38"/>
        <v>0</v>
      </c>
      <c r="R458" s="13">
        <f>L458*Assumptions!$B$11+M458*Assumptions!$B$12+N458*Assumptions!$B$13+O458*Assumptions!$B$14+P458*Assumptions!$B$15+Q458*Assumptions!$B$16</f>
        <v>5</v>
      </c>
      <c r="S458" s="13" t="str">
        <f>IF(R458&gt;=Assumptions!$B$20,"High",IF(R458&gt;=Assumptions!$B$21,"Medium",IF(R458&gt;=1,"Low","Clear")))</f>
        <v>High</v>
      </c>
      <c r="T458" s="13" t="str">
        <f t="shared" si="39"/>
        <v xml:space="preserve">Duplicate invoice; </v>
      </c>
    </row>
    <row r="459" spans="1:20" x14ac:dyDescent="0.35">
      <c r="A459" s="13" t="s">
        <v>1951</v>
      </c>
      <c r="B459" s="13" t="s">
        <v>113</v>
      </c>
      <c r="C459" s="13" t="s">
        <v>114</v>
      </c>
      <c r="D459" s="13" t="s">
        <v>1952</v>
      </c>
      <c r="E459" s="14">
        <v>45863</v>
      </c>
      <c r="F459" s="14">
        <v>45894</v>
      </c>
      <c r="G459" s="15">
        <v>205836.7</v>
      </c>
      <c r="H459" s="13" t="s">
        <v>1953</v>
      </c>
      <c r="I459" s="13" t="s">
        <v>1954</v>
      </c>
      <c r="J459" s="13" t="s">
        <v>136</v>
      </c>
      <c r="K459" s="13">
        <f t="shared" si="35"/>
        <v>2</v>
      </c>
      <c r="L459" s="13">
        <f t="shared" si="36"/>
        <v>0</v>
      </c>
      <c r="M459" s="13">
        <f>IF(AND(L459=0,COUNTIFS($B$2:$B$1534,B459,$G$2:$G$1534,G459,$E$2:$E$1534,"&gt;="&amp;(E459-Assumptions!$B$5),$E$2:$E$1534,"&lt;="&amp;(E459+Assumptions!$B$5))&gt;1),1,0)</f>
        <v>0</v>
      </c>
      <c r="N459" s="13">
        <f>IF(AND(G459&gt;=Assumptions!$B$4*(1-Assumptions!$B$6),G459&lt;Assumptions!$B$4),1,0)</f>
        <v>0</v>
      </c>
      <c r="O459" s="13">
        <f>IF(AND(G459&gt;=Assumptions!$B$7,MOD(G459,Assumptions!$B$7)=0),1,0)</f>
        <v>0</v>
      </c>
      <c r="P459" s="13">
        <f t="shared" si="37"/>
        <v>0</v>
      </c>
      <c r="Q459" s="13">
        <f t="shared" si="38"/>
        <v>0</v>
      </c>
      <c r="R459" s="13">
        <f>L459*Assumptions!$B$11+M459*Assumptions!$B$12+N459*Assumptions!$B$13+O459*Assumptions!$B$14+P459*Assumptions!$B$15+Q459*Assumptions!$B$16</f>
        <v>0</v>
      </c>
      <c r="S459" s="13" t="str">
        <f>IF(R459&gt;=Assumptions!$B$20,"High",IF(R459&gt;=Assumptions!$B$21,"Medium",IF(R459&gt;=1,"Low","Clear")))</f>
        <v>Clear</v>
      </c>
      <c r="T459" s="13" t="str">
        <f t="shared" si="39"/>
        <v/>
      </c>
    </row>
    <row r="460" spans="1:20" x14ac:dyDescent="0.35">
      <c r="A460" s="13" t="s">
        <v>1955</v>
      </c>
      <c r="B460" s="13" t="s">
        <v>212</v>
      </c>
      <c r="C460" s="13" t="s">
        <v>213</v>
      </c>
      <c r="D460" s="13" t="s">
        <v>1956</v>
      </c>
      <c r="E460" s="14">
        <v>45859</v>
      </c>
      <c r="F460" s="14">
        <v>45894</v>
      </c>
      <c r="G460" s="15">
        <v>21581.8</v>
      </c>
      <c r="H460" s="13" t="s">
        <v>1957</v>
      </c>
      <c r="I460" s="13" t="s">
        <v>1958</v>
      </c>
      <c r="J460" s="13" t="s">
        <v>111</v>
      </c>
      <c r="K460" s="13">
        <f t="shared" si="35"/>
        <v>2</v>
      </c>
      <c r="L460" s="13">
        <f t="shared" si="36"/>
        <v>0</v>
      </c>
      <c r="M460" s="13">
        <f>IF(AND(L460=0,COUNTIFS($B$2:$B$1534,B460,$G$2:$G$1534,G460,$E$2:$E$1534,"&gt;="&amp;(E460-Assumptions!$B$5),$E$2:$E$1534,"&lt;="&amp;(E460+Assumptions!$B$5))&gt;1),1,0)</f>
        <v>0</v>
      </c>
      <c r="N460" s="13">
        <f>IF(AND(G460&gt;=Assumptions!$B$4*(1-Assumptions!$B$6),G460&lt;Assumptions!$B$4),1,0)</f>
        <v>0</v>
      </c>
      <c r="O460" s="13">
        <f>IF(AND(G460&gt;=Assumptions!$B$7,MOD(G460,Assumptions!$B$7)=0),1,0)</f>
        <v>0</v>
      </c>
      <c r="P460" s="13">
        <f t="shared" si="37"/>
        <v>0</v>
      </c>
      <c r="Q460" s="13">
        <f t="shared" si="38"/>
        <v>0</v>
      </c>
      <c r="R460" s="13">
        <f>L460*Assumptions!$B$11+M460*Assumptions!$B$12+N460*Assumptions!$B$13+O460*Assumptions!$B$14+P460*Assumptions!$B$15+Q460*Assumptions!$B$16</f>
        <v>0</v>
      </c>
      <c r="S460" s="13" t="str">
        <f>IF(R460&gt;=Assumptions!$B$20,"High",IF(R460&gt;=Assumptions!$B$21,"Medium",IF(R460&gt;=1,"Low","Clear")))</f>
        <v>Clear</v>
      </c>
      <c r="T460" s="13" t="str">
        <f t="shared" si="39"/>
        <v/>
      </c>
    </row>
    <row r="461" spans="1:20" x14ac:dyDescent="0.35">
      <c r="A461" s="13" t="s">
        <v>1959</v>
      </c>
      <c r="B461" s="13" t="s">
        <v>317</v>
      </c>
      <c r="C461" s="13" t="s">
        <v>318</v>
      </c>
      <c r="D461" s="13" t="s">
        <v>1960</v>
      </c>
      <c r="E461" s="14">
        <v>45870</v>
      </c>
      <c r="F461" s="14">
        <v>45894</v>
      </c>
      <c r="G461" s="15">
        <v>2817.65</v>
      </c>
      <c r="H461" s="13" t="s">
        <v>1961</v>
      </c>
      <c r="I461" s="13" t="s">
        <v>1962</v>
      </c>
      <c r="J461" s="13" t="s">
        <v>170</v>
      </c>
      <c r="K461" s="13">
        <f t="shared" si="35"/>
        <v>2</v>
      </c>
      <c r="L461" s="13">
        <f t="shared" si="36"/>
        <v>0</v>
      </c>
      <c r="M461" s="13">
        <f>IF(AND(L461=0,COUNTIFS($B$2:$B$1534,B461,$G$2:$G$1534,G461,$E$2:$E$1534,"&gt;="&amp;(E461-Assumptions!$B$5),$E$2:$E$1534,"&lt;="&amp;(E461+Assumptions!$B$5))&gt;1),1,0)</f>
        <v>0</v>
      </c>
      <c r="N461" s="13">
        <f>IF(AND(G461&gt;=Assumptions!$B$4*(1-Assumptions!$B$6),G461&lt;Assumptions!$B$4),1,0)</f>
        <v>0</v>
      </c>
      <c r="O461" s="13">
        <f>IF(AND(G461&gt;=Assumptions!$B$7,MOD(G461,Assumptions!$B$7)=0),1,0)</f>
        <v>0</v>
      </c>
      <c r="P461" s="13">
        <f t="shared" si="37"/>
        <v>0</v>
      </c>
      <c r="Q461" s="13">
        <f t="shared" si="38"/>
        <v>0</v>
      </c>
      <c r="R461" s="13">
        <f>L461*Assumptions!$B$11+M461*Assumptions!$B$12+N461*Assumptions!$B$13+O461*Assumptions!$B$14+P461*Assumptions!$B$15+Q461*Assumptions!$B$16</f>
        <v>0</v>
      </c>
      <c r="S461" s="13" t="str">
        <f>IF(R461&gt;=Assumptions!$B$20,"High",IF(R461&gt;=Assumptions!$B$21,"Medium",IF(R461&gt;=1,"Low","Clear")))</f>
        <v>Clear</v>
      </c>
      <c r="T461" s="13" t="str">
        <f t="shared" si="39"/>
        <v/>
      </c>
    </row>
    <row r="462" spans="1:20" x14ac:dyDescent="0.35">
      <c r="A462" s="13" t="s">
        <v>1963</v>
      </c>
      <c r="B462" s="13" t="s">
        <v>323</v>
      </c>
      <c r="C462" s="13" t="s">
        <v>324</v>
      </c>
      <c r="D462" s="13" t="s">
        <v>1964</v>
      </c>
      <c r="E462" s="14">
        <v>45862</v>
      </c>
      <c r="F462" s="14">
        <v>45894</v>
      </c>
      <c r="G462" s="15">
        <v>5556.35</v>
      </c>
      <c r="H462" s="13" t="s">
        <v>1965</v>
      </c>
      <c r="I462" s="13" t="s">
        <v>1966</v>
      </c>
      <c r="J462" s="13" t="s">
        <v>170</v>
      </c>
      <c r="K462" s="13">
        <f t="shared" si="35"/>
        <v>5</v>
      </c>
      <c r="L462" s="13">
        <f t="shared" si="36"/>
        <v>0</v>
      </c>
      <c r="M462" s="13">
        <f>IF(AND(L462=0,COUNTIFS($B$2:$B$1534,B462,$G$2:$G$1534,G462,$E$2:$E$1534,"&gt;="&amp;(E462-Assumptions!$B$5),$E$2:$E$1534,"&lt;="&amp;(E462+Assumptions!$B$5))&gt;1),1,0)</f>
        <v>0</v>
      </c>
      <c r="N462" s="13">
        <f>IF(AND(G462&gt;=Assumptions!$B$4*(1-Assumptions!$B$6),G462&lt;Assumptions!$B$4),1,0)</f>
        <v>0</v>
      </c>
      <c r="O462" s="13">
        <f>IF(AND(G462&gt;=Assumptions!$B$7,MOD(G462,Assumptions!$B$7)=0),1,0)</f>
        <v>0</v>
      </c>
      <c r="P462" s="13">
        <f t="shared" si="37"/>
        <v>0</v>
      </c>
      <c r="Q462" s="13">
        <f t="shared" si="38"/>
        <v>0</v>
      </c>
      <c r="R462" s="13">
        <f>L462*Assumptions!$B$11+M462*Assumptions!$B$12+N462*Assumptions!$B$13+O462*Assumptions!$B$14+P462*Assumptions!$B$15+Q462*Assumptions!$B$16</f>
        <v>0</v>
      </c>
      <c r="S462" s="13" t="str">
        <f>IF(R462&gt;=Assumptions!$B$20,"High",IF(R462&gt;=Assumptions!$B$21,"Medium",IF(R462&gt;=1,"Low","Clear")))</f>
        <v>Clear</v>
      </c>
      <c r="T462" s="13" t="str">
        <f t="shared" si="39"/>
        <v/>
      </c>
    </row>
    <row r="463" spans="1:20" x14ac:dyDescent="0.35">
      <c r="A463" s="13" t="s">
        <v>1967</v>
      </c>
      <c r="B463" s="13" t="s">
        <v>329</v>
      </c>
      <c r="C463" s="13" t="s">
        <v>330</v>
      </c>
      <c r="D463" s="13" t="s">
        <v>1968</v>
      </c>
      <c r="E463" s="14">
        <v>45853</v>
      </c>
      <c r="F463" s="14">
        <v>45894</v>
      </c>
      <c r="G463" s="15">
        <v>4433.0200000000004</v>
      </c>
      <c r="H463" s="13"/>
      <c r="I463" s="13"/>
      <c r="J463" s="13" t="s">
        <v>143</v>
      </c>
      <c r="K463" s="13">
        <f t="shared" si="35"/>
        <v>4</v>
      </c>
      <c r="L463" s="13">
        <f t="shared" si="36"/>
        <v>0</v>
      </c>
      <c r="M463" s="13">
        <f>IF(AND(L463=0,COUNTIFS($B$2:$B$1534,B463,$G$2:$G$1534,G463,$E$2:$E$1534,"&gt;="&amp;(E463-Assumptions!$B$5),$E$2:$E$1534,"&lt;="&amp;(E463+Assumptions!$B$5))&gt;1),1,0)</f>
        <v>0</v>
      </c>
      <c r="N463" s="13">
        <f>IF(AND(G463&gt;=Assumptions!$B$4*(1-Assumptions!$B$6),G463&lt;Assumptions!$B$4),1,0)</f>
        <v>0</v>
      </c>
      <c r="O463" s="13">
        <f>IF(AND(G463&gt;=Assumptions!$B$7,MOD(G463,Assumptions!$B$7)=0),1,0)</f>
        <v>0</v>
      </c>
      <c r="P463" s="13">
        <f t="shared" si="37"/>
        <v>1</v>
      </c>
      <c r="Q463" s="13">
        <f t="shared" si="38"/>
        <v>0</v>
      </c>
      <c r="R463" s="13">
        <f>L463*Assumptions!$B$11+M463*Assumptions!$B$12+N463*Assumptions!$B$13+O463*Assumptions!$B$14+P463*Assumptions!$B$15+Q463*Assumptions!$B$16</f>
        <v>4</v>
      </c>
      <c r="S463" s="13" t="str">
        <f>IF(R463&gt;=Assumptions!$B$20,"High",IF(R463&gt;=Assumptions!$B$21,"Medium",IF(R463&gt;=1,"Low","Clear")))</f>
        <v>Medium</v>
      </c>
      <c r="T463" s="13" t="str">
        <f t="shared" si="39"/>
        <v xml:space="preserve">No PO/GRN; </v>
      </c>
    </row>
    <row r="464" spans="1:20" x14ac:dyDescent="0.35">
      <c r="A464" s="13" t="s">
        <v>1969</v>
      </c>
      <c r="B464" s="13" t="s">
        <v>329</v>
      </c>
      <c r="C464" s="13" t="s">
        <v>330</v>
      </c>
      <c r="D464" s="13" t="s">
        <v>1970</v>
      </c>
      <c r="E464" s="14">
        <v>45855</v>
      </c>
      <c r="F464" s="14">
        <v>45894</v>
      </c>
      <c r="G464" s="15">
        <v>32693.45</v>
      </c>
      <c r="H464" s="13" t="s">
        <v>1971</v>
      </c>
      <c r="I464" s="13" t="s">
        <v>1972</v>
      </c>
      <c r="J464" s="13" t="s">
        <v>170</v>
      </c>
      <c r="K464" s="13">
        <f t="shared" si="35"/>
        <v>3</v>
      </c>
      <c r="L464" s="13">
        <f t="shared" si="36"/>
        <v>0</v>
      </c>
      <c r="M464" s="13">
        <f>IF(AND(L464=0,COUNTIFS($B$2:$B$1534,B464,$G$2:$G$1534,G464,$E$2:$E$1534,"&gt;="&amp;(E464-Assumptions!$B$5),$E$2:$E$1534,"&lt;="&amp;(E464+Assumptions!$B$5))&gt;1),1,0)</f>
        <v>0</v>
      </c>
      <c r="N464" s="13">
        <f>IF(AND(G464&gt;=Assumptions!$B$4*(1-Assumptions!$B$6),G464&lt;Assumptions!$B$4),1,0)</f>
        <v>0</v>
      </c>
      <c r="O464" s="13">
        <f>IF(AND(G464&gt;=Assumptions!$B$7,MOD(G464,Assumptions!$B$7)=0),1,0)</f>
        <v>0</v>
      </c>
      <c r="P464" s="13">
        <f t="shared" si="37"/>
        <v>0</v>
      </c>
      <c r="Q464" s="13">
        <f t="shared" si="38"/>
        <v>0</v>
      </c>
      <c r="R464" s="13">
        <f>L464*Assumptions!$B$11+M464*Assumptions!$B$12+N464*Assumptions!$B$13+O464*Assumptions!$B$14+P464*Assumptions!$B$15+Q464*Assumptions!$B$16</f>
        <v>0</v>
      </c>
      <c r="S464" s="13" t="str">
        <f>IF(R464&gt;=Assumptions!$B$20,"High",IF(R464&gt;=Assumptions!$B$21,"Medium",IF(R464&gt;=1,"Low","Clear")))</f>
        <v>Clear</v>
      </c>
      <c r="T464" s="13" t="str">
        <f t="shared" si="39"/>
        <v/>
      </c>
    </row>
    <row r="465" spans="1:20" x14ac:dyDescent="0.35">
      <c r="A465" s="13" t="s">
        <v>1973</v>
      </c>
      <c r="B465" s="13" t="s">
        <v>476</v>
      </c>
      <c r="C465" s="13" t="s">
        <v>477</v>
      </c>
      <c r="D465" s="13" t="s">
        <v>1974</v>
      </c>
      <c r="E465" s="14">
        <v>45855</v>
      </c>
      <c r="F465" s="14">
        <v>45894</v>
      </c>
      <c r="G465" s="15">
        <v>3046.06</v>
      </c>
      <c r="H465" s="13" t="s">
        <v>1975</v>
      </c>
      <c r="I465" s="13" t="s">
        <v>1976</v>
      </c>
      <c r="J465" s="13" t="s">
        <v>143</v>
      </c>
      <c r="K465" s="13">
        <f t="shared" si="35"/>
        <v>3</v>
      </c>
      <c r="L465" s="13">
        <f t="shared" si="36"/>
        <v>0</v>
      </c>
      <c r="M465" s="13">
        <f>IF(AND(L465=0,COUNTIFS($B$2:$B$1534,B465,$G$2:$G$1534,G465,$E$2:$E$1534,"&gt;="&amp;(E465-Assumptions!$B$5),$E$2:$E$1534,"&lt;="&amp;(E465+Assumptions!$B$5))&gt;1),1,0)</f>
        <v>0</v>
      </c>
      <c r="N465" s="13">
        <f>IF(AND(G465&gt;=Assumptions!$B$4*(1-Assumptions!$B$6),G465&lt;Assumptions!$B$4),1,0)</f>
        <v>0</v>
      </c>
      <c r="O465" s="13">
        <f>IF(AND(G465&gt;=Assumptions!$B$7,MOD(G465,Assumptions!$B$7)=0),1,0)</f>
        <v>0</v>
      </c>
      <c r="P465" s="13">
        <f t="shared" si="37"/>
        <v>0</v>
      </c>
      <c r="Q465" s="13">
        <f t="shared" si="38"/>
        <v>0</v>
      </c>
      <c r="R465" s="13">
        <f>L465*Assumptions!$B$11+M465*Assumptions!$B$12+N465*Assumptions!$B$13+O465*Assumptions!$B$14+P465*Assumptions!$B$15+Q465*Assumptions!$B$16</f>
        <v>0</v>
      </c>
      <c r="S465" s="13" t="str">
        <f>IF(R465&gt;=Assumptions!$B$20,"High",IF(R465&gt;=Assumptions!$B$21,"Medium",IF(R465&gt;=1,"Low","Clear")))</f>
        <v>Clear</v>
      </c>
      <c r="T465" s="13" t="str">
        <f t="shared" si="39"/>
        <v/>
      </c>
    </row>
    <row r="466" spans="1:20" x14ac:dyDescent="0.35">
      <c r="A466" s="13" t="s">
        <v>1977</v>
      </c>
      <c r="B466" s="13" t="s">
        <v>100</v>
      </c>
      <c r="C466" s="13" t="s">
        <v>101</v>
      </c>
      <c r="D466" s="13" t="s">
        <v>1978</v>
      </c>
      <c r="E466" s="14">
        <v>45871</v>
      </c>
      <c r="F466" s="14">
        <v>45894</v>
      </c>
      <c r="G466" s="15">
        <v>190000</v>
      </c>
      <c r="H466" s="13" t="s">
        <v>1979</v>
      </c>
      <c r="I466" s="13" t="s">
        <v>1980</v>
      </c>
      <c r="J466" s="13" t="s">
        <v>143</v>
      </c>
      <c r="K466" s="13">
        <f t="shared" si="35"/>
        <v>1</v>
      </c>
      <c r="L466" s="13">
        <f t="shared" si="36"/>
        <v>0</v>
      </c>
      <c r="M466" s="13">
        <f>IF(AND(L466=0,COUNTIFS($B$2:$B$1534,B466,$G$2:$G$1534,G466,$E$2:$E$1534,"&gt;="&amp;(E466-Assumptions!$B$5),$E$2:$E$1534,"&lt;="&amp;(E466+Assumptions!$B$5))&gt;1),1,0)</f>
        <v>0</v>
      </c>
      <c r="N466" s="13">
        <f>IF(AND(G466&gt;=Assumptions!$B$4*(1-Assumptions!$B$6),G466&lt;Assumptions!$B$4),1,0)</f>
        <v>0</v>
      </c>
      <c r="O466" s="13">
        <f>IF(AND(G466&gt;=Assumptions!$B$7,MOD(G466,Assumptions!$B$7)=0),1,0)</f>
        <v>1</v>
      </c>
      <c r="P466" s="13">
        <f t="shared" si="37"/>
        <v>0</v>
      </c>
      <c r="Q466" s="13">
        <f t="shared" si="38"/>
        <v>0</v>
      </c>
      <c r="R466" s="13">
        <f>L466*Assumptions!$B$11+M466*Assumptions!$B$12+N466*Assumptions!$B$13+O466*Assumptions!$B$14+P466*Assumptions!$B$15+Q466*Assumptions!$B$16</f>
        <v>1</v>
      </c>
      <c r="S466" s="13" t="str">
        <f>IF(R466&gt;=Assumptions!$B$20,"High",IF(R466&gt;=Assumptions!$B$21,"Medium",IF(R466&gt;=1,"Low","Clear")))</f>
        <v>Low</v>
      </c>
      <c r="T466" s="13" t="str">
        <f t="shared" si="39"/>
        <v xml:space="preserve">Round amount; </v>
      </c>
    </row>
    <row r="467" spans="1:20" x14ac:dyDescent="0.35">
      <c r="A467" s="13" t="s">
        <v>1981</v>
      </c>
      <c r="B467" s="13" t="s">
        <v>438</v>
      </c>
      <c r="C467" s="13" t="s">
        <v>439</v>
      </c>
      <c r="D467" s="13" t="s">
        <v>1982</v>
      </c>
      <c r="E467" s="14">
        <v>45858</v>
      </c>
      <c r="F467" s="14">
        <v>45894</v>
      </c>
      <c r="G467" s="15">
        <v>123091.22</v>
      </c>
      <c r="H467" s="13" t="s">
        <v>1983</v>
      </c>
      <c r="I467" s="13" t="s">
        <v>1984</v>
      </c>
      <c r="J467" s="13" t="s">
        <v>136</v>
      </c>
      <c r="K467" s="13">
        <f t="shared" si="35"/>
        <v>1</v>
      </c>
      <c r="L467" s="13">
        <f t="shared" si="36"/>
        <v>0</v>
      </c>
      <c r="M467" s="13">
        <f>IF(AND(L467=0,COUNTIFS($B$2:$B$1534,B467,$G$2:$G$1534,G467,$E$2:$E$1534,"&gt;="&amp;(E467-Assumptions!$B$5),$E$2:$E$1534,"&lt;="&amp;(E467+Assumptions!$B$5))&gt;1),1,0)</f>
        <v>0</v>
      </c>
      <c r="N467" s="13">
        <f>IF(AND(G467&gt;=Assumptions!$B$4*(1-Assumptions!$B$6),G467&lt;Assumptions!$B$4),1,0)</f>
        <v>0</v>
      </c>
      <c r="O467" s="13">
        <f>IF(AND(G467&gt;=Assumptions!$B$7,MOD(G467,Assumptions!$B$7)=0),1,0)</f>
        <v>0</v>
      </c>
      <c r="P467" s="13">
        <f t="shared" si="37"/>
        <v>0</v>
      </c>
      <c r="Q467" s="13">
        <f t="shared" si="38"/>
        <v>0</v>
      </c>
      <c r="R467" s="13">
        <f>L467*Assumptions!$B$11+M467*Assumptions!$B$12+N467*Assumptions!$B$13+O467*Assumptions!$B$14+P467*Assumptions!$B$15+Q467*Assumptions!$B$16</f>
        <v>0</v>
      </c>
      <c r="S467" s="13" t="str">
        <f>IF(R467&gt;=Assumptions!$B$20,"High",IF(R467&gt;=Assumptions!$B$21,"Medium",IF(R467&gt;=1,"Low","Clear")))</f>
        <v>Clear</v>
      </c>
      <c r="T467" s="13" t="str">
        <f t="shared" si="39"/>
        <v/>
      </c>
    </row>
    <row r="468" spans="1:20" x14ac:dyDescent="0.35">
      <c r="A468" s="13" t="s">
        <v>1985</v>
      </c>
      <c r="B468" s="13" t="s">
        <v>106</v>
      </c>
      <c r="C468" s="13" t="s">
        <v>107</v>
      </c>
      <c r="D468" s="13" t="s">
        <v>1986</v>
      </c>
      <c r="E468" s="14">
        <v>45859</v>
      </c>
      <c r="F468" s="14">
        <v>45894</v>
      </c>
      <c r="G468" s="15">
        <v>4233.1899999999996</v>
      </c>
      <c r="H468" s="13" t="s">
        <v>1987</v>
      </c>
      <c r="I468" s="13" t="s">
        <v>1988</v>
      </c>
      <c r="J468" s="13" t="s">
        <v>111</v>
      </c>
      <c r="K468" s="13">
        <f t="shared" si="35"/>
        <v>4</v>
      </c>
      <c r="L468" s="13">
        <f t="shared" si="36"/>
        <v>0</v>
      </c>
      <c r="M468" s="13">
        <f>IF(AND(L468=0,COUNTIFS($B$2:$B$1534,B468,$G$2:$G$1534,G468,$E$2:$E$1534,"&gt;="&amp;(E468-Assumptions!$B$5),$E$2:$E$1534,"&lt;="&amp;(E468+Assumptions!$B$5))&gt;1),1,0)</f>
        <v>0</v>
      </c>
      <c r="N468" s="13">
        <f>IF(AND(G468&gt;=Assumptions!$B$4*(1-Assumptions!$B$6),G468&lt;Assumptions!$B$4),1,0)</f>
        <v>0</v>
      </c>
      <c r="O468" s="13">
        <f>IF(AND(G468&gt;=Assumptions!$B$7,MOD(G468,Assumptions!$B$7)=0),1,0)</f>
        <v>0</v>
      </c>
      <c r="P468" s="13">
        <f t="shared" si="37"/>
        <v>0</v>
      </c>
      <c r="Q468" s="13">
        <f t="shared" si="38"/>
        <v>0</v>
      </c>
      <c r="R468" s="13">
        <f>L468*Assumptions!$B$11+M468*Assumptions!$B$12+N468*Assumptions!$B$13+O468*Assumptions!$B$14+P468*Assumptions!$B$15+Q468*Assumptions!$B$16</f>
        <v>0</v>
      </c>
      <c r="S468" s="13" t="str">
        <f>IF(R468&gt;=Assumptions!$B$20,"High",IF(R468&gt;=Assumptions!$B$21,"Medium",IF(R468&gt;=1,"Low","Clear")))</f>
        <v>Clear</v>
      </c>
      <c r="T468" s="13" t="str">
        <f t="shared" si="39"/>
        <v/>
      </c>
    </row>
    <row r="469" spans="1:20" x14ac:dyDescent="0.35">
      <c r="A469" s="13" t="s">
        <v>1989</v>
      </c>
      <c r="B469" s="13" t="s">
        <v>556</v>
      </c>
      <c r="C469" s="13" t="s">
        <v>557</v>
      </c>
      <c r="D469" s="13" t="s">
        <v>1990</v>
      </c>
      <c r="E469" s="14">
        <v>45867</v>
      </c>
      <c r="F469" s="14">
        <v>45894</v>
      </c>
      <c r="G469" s="15">
        <v>1997.11</v>
      </c>
      <c r="H469" s="13" t="s">
        <v>1991</v>
      </c>
      <c r="I469" s="13" t="s">
        <v>1992</v>
      </c>
      <c r="J469" s="13" t="s">
        <v>170</v>
      </c>
      <c r="K469" s="13">
        <f t="shared" si="35"/>
        <v>1</v>
      </c>
      <c r="L469" s="13">
        <f t="shared" si="36"/>
        <v>0</v>
      </c>
      <c r="M469" s="13">
        <f>IF(AND(L469=0,COUNTIFS($B$2:$B$1534,B469,$G$2:$G$1534,G469,$E$2:$E$1534,"&gt;="&amp;(E469-Assumptions!$B$5),$E$2:$E$1534,"&lt;="&amp;(E469+Assumptions!$B$5))&gt;1),1,0)</f>
        <v>0</v>
      </c>
      <c r="N469" s="13">
        <f>IF(AND(G469&gt;=Assumptions!$B$4*(1-Assumptions!$B$6),G469&lt;Assumptions!$B$4),1,0)</f>
        <v>0</v>
      </c>
      <c r="O469" s="13">
        <f>IF(AND(G469&gt;=Assumptions!$B$7,MOD(G469,Assumptions!$B$7)=0),1,0)</f>
        <v>0</v>
      </c>
      <c r="P469" s="13">
        <f t="shared" si="37"/>
        <v>0</v>
      </c>
      <c r="Q469" s="13">
        <f t="shared" si="38"/>
        <v>0</v>
      </c>
      <c r="R469" s="13">
        <f>L469*Assumptions!$B$11+M469*Assumptions!$B$12+N469*Assumptions!$B$13+O469*Assumptions!$B$14+P469*Assumptions!$B$15+Q469*Assumptions!$B$16</f>
        <v>0</v>
      </c>
      <c r="S469" s="13" t="str">
        <f>IF(R469&gt;=Assumptions!$B$20,"High",IF(R469&gt;=Assumptions!$B$21,"Medium",IF(R469&gt;=1,"Low","Clear")))</f>
        <v>Clear</v>
      </c>
      <c r="T469" s="13" t="str">
        <f t="shared" si="39"/>
        <v/>
      </c>
    </row>
    <row r="470" spans="1:20" x14ac:dyDescent="0.35">
      <c r="A470" s="13" t="s">
        <v>1993</v>
      </c>
      <c r="B470" s="13" t="s">
        <v>293</v>
      </c>
      <c r="C470" s="13" t="s">
        <v>294</v>
      </c>
      <c r="D470" s="13" t="s">
        <v>1994</v>
      </c>
      <c r="E470" s="14">
        <v>45866</v>
      </c>
      <c r="F470" s="14">
        <v>45895</v>
      </c>
      <c r="G470" s="15">
        <v>132089.25</v>
      </c>
      <c r="H470" s="13" t="s">
        <v>1995</v>
      </c>
      <c r="I470" s="13" t="s">
        <v>1996</v>
      </c>
      <c r="J470" s="13" t="s">
        <v>111</v>
      </c>
      <c r="K470" s="13">
        <f t="shared" si="35"/>
        <v>1</v>
      </c>
      <c r="L470" s="13">
        <f t="shared" si="36"/>
        <v>0</v>
      </c>
      <c r="M470" s="13">
        <f>IF(AND(L470=0,COUNTIFS($B$2:$B$1534,B470,$G$2:$G$1534,G470,$E$2:$E$1534,"&gt;="&amp;(E470-Assumptions!$B$5),$E$2:$E$1534,"&lt;="&amp;(E470+Assumptions!$B$5))&gt;1),1,0)</f>
        <v>0</v>
      </c>
      <c r="N470" s="13">
        <f>IF(AND(G470&gt;=Assumptions!$B$4*(1-Assumptions!$B$6),G470&lt;Assumptions!$B$4),1,0)</f>
        <v>0</v>
      </c>
      <c r="O470" s="13">
        <f>IF(AND(G470&gt;=Assumptions!$B$7,MOD(G470,Assumptions!$B$7)=0),1,0)</f>
        <v>0</v>
      </c>
      <c r="P470" s="13">
        <f t="shared" si="37"/>
        <v>0</v>
      </c>
      <c r="Q470" s="13">
        <f t="shared" si="38"/>
        <v>0</v>
      </c>
      <c r="R470" s="13">
        <f>L470*Assumptions!$B$11+M470*Assumptions!$B$12+N470*Assumptions!$B$13+O470*Assumptions!$B$14+P470*Assumptions!$B$15+Q470*Assumptions!$B$16</f>
        <v>0</v>
      </c>
      <c r="S470" s="13" t="str">
        <f>IF(R470&gt;=Assumptions!$B$20,"High",IF(R470&gt;=Assumptions!$B$21,"Medium",IF(R470&gt;=1,"Low","Clear")))</f>
        <v>Clear</v>
      </c>
      <c r="T470" s="13" t="str">
        <f t="shared" si="39"/>
        <v/>
      </c>
    </row>
    <row r="471" spans="1:20" x14ac:dyDescent="0.35">
      <c r="A471" s="13" t="s">
        <v>1997</v>
      </c>
      <c r="B471" s="13" t="s">
        <v>293</v>
      </c>
      <c r="C471" s="13" t="s">
        <v>294</v>
      </c>
      <c r="D471" s="13" t="s">
        <v>1998</v>
      </c>
      <c r="E471" s="14">
        <v>45860</v>
      </c>
      <c r="F471" s="14">
        <v>45895</v>
      </c>
      <c r="G471" s="15">
        <v>4957.3500000000004</v>
      </c>
      <c r="H471" s="13" t="s">
        <v>1999</v>
      </c>
      <c r="I471" s="13" t="s">
        <v>2000</v>
      </c>
      <c r="J471" s="13" t="s">
        <v>143</v>
      </c>
      <c r="K471" s="13">
        <f t="shared" si="35"/>
        <v>4</v>
      </c>
      <c r="L471" s="13">
        <f t="shared" si="36"/>
        <v>0</v>
      </c>
      <c r="M471" s="13">
        <f>IF(AND(L471=0,COUNTIFS($B$2:$B$1534,B471,$G$2:$G$1534,G471,$E$2:$E$1534,"&gt;="&amp;(E471-Assumptions!$B$5),$E$2:$E$1534,"&lt;="&amp;(E471+Assumptions!$B$5))&gt;1),1,0)</f>
        <v>0</v>
      </c>
      <c r="N471" s="13">
        <f>IF(AND(G471&gt;=Assumptions!$B$4*(1-Assumptions!$B$6),G471&lt;Assumptions!$B$4),1,0)</f>
        <v>0</v>
      </c>
      <c r="O471" s="13">
        <f>IF(AND(G471&gt;=Assumptions!$B$7,MOD(G471,Assumptions!$B$7)=0),1,0)</f>
        <v>0</v>
      </c>
      <c r="P471" s="13">
        <f t="shared" si="37"/>
        <v>0</v>
      </c>
      <c r="Q471" s="13">
        <f t="shared" si="38"/>
        <v>0</v>
      </c>
      <c r="R471" s="13">
        <f>L471*Assumptions!$B$11+M471*Assumptions!$B$12+N471*Assumptions!$B$13+O471*Assumptions!$B$14+P471*Assumptions!$B$15+Q471*Assumptions!$B$16</f>
        <v>0</v>
      </c>
      <c r="S471" s="13" t="str">
        <f>IF(R471&gt;=Assumptions!$B$20,"High",IF(R471&gt;=Assumptions!$B$21,"Medium",IF(R471&gt;=1,"Low","Clear")))</f>
        <v>Clear</v>
      </c>
      <c r="T471" s="13" t="str">
        <f t="shared" si="39"/>
        <v/>
      </c>
    </row>
    <row r="472" spans="1:20" x14ac:dyDescent="0.35">
      <c r="A472" s="13" t="s">
        <v>2001</v>
      </c>
      <c r="B472" s="13" t="s">
        <v>206</v>
      </c>
      <c r="C472" s="13" t="s">
        <v>207</v>
      </c>
      <c r="D472" s="13" t="s">
        <v>2002</v>
      </c>
      <c r="E472" s="14">
        <v>45875</v>
      </c>
      <c r="F472" s="14">
        <v>45895</v>
      </c>
      <c r="G472" s="15">
        <v>6058.37</v>
      </c>
      <c r="H472" s="13" t="s">
        <v>2003</v>
      </c>
      <c r="I472" s="13" t="s">
        <v>2004</v>
      </c>
      <c r="J472" s="13" t="s">
        <v>170</v>
      </c>
      <c r="K472" s="13">
        <f t="shared" si="35"/>
        <v>6</v>
      </c>
      <c r="L472" s="13">
        <f t="shared" si="36"/>
        <v>0</v>
      </c>
      <c r="M472" s="13">
        <f>IF(AND(L472=0,COUNTIFS($B$2:$B$1534,B472,$G$2:$G$1534,G472,$E$2:$E$1534,"&gt;="&amp;(E472-Assumptions!$B$5),$E$2:$E$1534,"&lt;="&amp;(E472+Assumptions!$B$5))&gt;1),1,0)</f>
        <v>0</v>
      </c>
      <c r="N472" s="13">
        <f>IF(AND(G472&gt;=Assumptions!$B$4*(1-Assumptions!$B$6),G472&lt;Assumptions!$B$4),1,0)</f>
        <v>0</v>
      </c>
      <c r="O472" s="13">
        <f>IF(AND(G472&gt;=Assumptions!$B$7,MOD(G472,Assumptions!$B$7)=0),1,0)</f>
        <v>0</v>
      </c>
      <c r="P472" s="13">
        <f t="shared" si="37"/>
        <v>0</v>
      </c>
      <c r="Q472" s="13">
        <f t="shared" si="38"/>
        <v>0</v>
      </c>
      <c r="R472" s="13">
        <f>L472*Assumptions!$B$11+M472*Assumptions!$B$12+N472*Assumptions!$B$13+O472*Assumptions!$B$14+P472*Assumptions!$B$15+Q472*Assumptions!$B$16</f>
        <v>0</v>
      </c>
      <c r="S472" s="13" t="str">
        <f>IF(R472&gt;=Assumptions!$B$20,"High",IF(R472&gt;=Assumptions!$B$21,"Medium",IF(R472&gt;=1,"Low","Clear")))</f>
        <v>Clear</v>
      </c>
      <c r="T472" s="13" t="str">
        <f t="shared" si="39"/>
        <v/>
      </c>
    </row>
    <row r="473" spans="1:20" x14ac:dyDescent="0.35">
      <c r="A473" s="13" t="s">
        <v>2005</v>
      </c>
      <c r="B473" s="13" t="s">
        <v>200</v>
      </c>
      <c r="C473" s="13" t="s">
        <v>201</v>
      </c>
      <c r="D473" s="13" t="s">
        <v>2006</v>
      </c>
      <c r="E473" s="14">
        <v>45872</v>
      </c>
      <c r="F473" s="14">
        <v>45896</v>
      </c>
      <c r="G473" s="15">
        <v>246080.25</v>
      </c>
      <c r="H473" s="13" t="s">
        <v>2007</v>
      </c>
      <c r="I473" s="13" t="s">
        <v>2008</v>
      </c>
      <c r="J473" s="13" t="s">
        <v>170</v>
      </c>
      <c r="K473" s="13">
        <f t="shared" si="35"/>
        <v>2</v>
      </c>
      <c r="L473" s="13">
        <f t="shared" si="36"/>
        <v>0</v>
      </c>
      <c r="M473" s="13">
        <f>IF(AND(L473=0,COUNTIFS($B$2:$B$1534,B473,$G$2:$G$1534,G473,$E$2:$E$1534,"&gt;="&amp;(E473-Assumptions!$B$5),$E$2:$E$1534,"&lt;="&amp;(E473+Assumptions!$B$5))&gt;1),1,0)</f>
        <v>0</v>
      </c>
      <c r="N473" s="13">
        <f>IF(AND(G473&gt;=Assumptions!$B$4*(1-Assumptions!$B$6),G473&lt;Assumptions!$B$4),1,0)</f>
        <v>0</v>
      </c>
      <c r="O473" s="13">
        <f>IF(AND(G473&gt;=Assumptions!$B$7,MOD(G473,Assumptions!$B$7)=0),1,0)</f>
        <v>0</v>
      </c>
      <c r="P473" s="13">
        <f t="shared" si="37"/>
        <v>0</v>
      </c>
      <c r="Q473" s="13">
        <f t="shared" si="38"/>
        <v>0</v>
      </c>
      <c r="R473" s="13">
        <f>L473*Assumptions!$B$11+M473*Assumptions!$B$12+N473*Assumptions!$B$13+O473*Assumptions!$B$14+P473*Assumptions!$B$15+Q473*Assumptions!$B$16</f>
        <v>0</v>
      </c>
      <c r="S473" s="13" t="str">
        <f>IF(R473&gt;=Assumptions!$B$20,"High",IF(R473&gt;=Assumptions!$B$21,"Medium",IF(R473&gt;=1,"Low","Clear")))</f>
        <v>Clear</v>
      </c>
      <c r="T473" s="13" t="str">
        <f t="shared" si="39"/>
        <v/>
      </c>
    </row>
    <row r="474" spans="1:20" x14ac:dyDescent="0.35">
      <c r="A474" s="13" t="s">
        <v>2009</v>
      </c>
      <c r="B474" s="13" t="s">
        <v>680</v>
      </c>
      <c r="C474" s="13" t="s">
        <v>681</v>
      </c>
      <c r="D474" s="13" t="s">
        <v>2010</v>
      </c>
      <c r="E474" s="14">
        <v>45867</v>
      </c>
      <c r="F474" s="14">
        <v>45896</v>
      </c>
      <c r="G474" s="15">
        <v>95215.94</v>
      </c>
      <c r="H474" s="13" t="s">
        <v>2011</v>
      </c>
      <c r="I474" s="13" t="s">
        <v>2012</v>
      </c>
      <c r="J474" s="13" t="s">
        <v>111</v>
      </c>
      <c r="K474" s="13">
        <f t="shared" si="35"/>
        <v>9</v>
      </c>
      <c r="L474" s="13">
        <f t="shared" si="36"/>
        <v>0</v>
      </c>
      <c r="M474" s="13">
        <f>IF(AND(L474=0,COUNTIFS($B$2:$B$1534,B474,$G$2:$G$1534,G474,$E$2:$E$1534,"&gt;="&amp;(E474-Assumptions!$B$5),$E$2:$E$1534,"&lt;="&amp;(E474+Assumptions!$B$5))&gt;1),1,0)</f>
        <v>0</v>
      </c>
      <c r="N474" s="13">
        <f>IF(AND(G474&gt;=Assumptions!$B$4*(1-Assumptions!$B$6),G474&lt;Assumptions!$B$4),1,0)</f>
        <v>0</v>
      </c>
      <c r="O474" s="13">
        <f>IF(AND(G474&gt;=Assumptions!$B$7,MOD(G474,Assumptions!$B$7)=0),1,0)</f>
        <v>0</v>
      </c>
      <c r="P474" s="13">
        <f t="shared" si="37"/>
        <v>0</v>
      </c>
      <c r="Q474" s="13">
        <f t="shared" si="38"/>
        <v>0</v>
      </c>
      <c r="R474" s="13">
        <f>L474*Assumptions!$B$11+M474*Assumptions!$B$12+N474*Assumptions!$B$13+O474*Assumptions!$B$14+P474*Assumptions!$B$15+Q474*Assumptions!$B$16</f>
        <v>0</v>
      </c>
      <c r="S474" s="13" t="str">
        <f>IF(R474&gt;=Assumptions!$B$20,"High",IF(R474&gt;=Assumptions!$B$21,"Medium",IF(R474&gt;=1,"Low","Clear")))</f>
        <v>Clear</v>
      </c>
      <c r="T474" s="13" t="str">
        <f t="shared" si="39"/>
        <v/>
      </c>
    </row>
    <row r="475" spans="1:20" x14ac:dyDescent="0.35">
      <c r="A475" s="13" t="s">
        <v>2013</v>
      </c>
      <c r="B475" s="13" t="s">
        <v>252</v>
      </c>
      <c r="C475" s="13" t="s">
        <v>253</v>
      </c>
      <c r="D475" s="13" t="s">
        <v>2014</v>
      </c>
      <c r="E475" s="14">
        <v>45858</v>
      </c>
      <c r="F475" s="14">
        <v>45897</v>
      </c>
      <c r="G475" s="15">
        <v>23172.49</v>
      </c>
      <c r="H475" s="13" t="s">
        <v>2015</v>
      </c>
      <c r="I475" s="13" t="s">
        <v>2016</v>
      </c>
      <c r="J475" s="13" t="s">
        <v>143</v>
      </c>
      <c r="K475" s="13">
        <f t="shared" si="35"/>
        <v>2</v>
      </c>
      <c r="L475" s="13">
        <f t="shared" si="36"/>
        <v>0</v>
      </c>
      <c r="M475" s="13">
        <f>IF(AND(L475=0,COUNTIFS($B$2:$B$1534,B475,$G$2:$G$1534,G475,$E$2:$E$1534,"&gt;="&amp;(E475-Assumptions!$B$5),$E$2:$E$1534,"&lt;="&amp;(E475+Assumptions!$B$5))&gt;1),1,0)</f>
        <v>0</v>
      </c>
      <c r="N475" s="13">
        <f>IF(AND(G475&gt;=Assumptions!$B$4*(1-Assumptions!$B$6),G475&lt;Assumptions!$B$4),1,0)</f>
        <v>0</v>
      </c>
      <c r="O475" s="13">
        <f>IF(AND(G475&gt;=Assumptions!$B$7,MOD(G475,Assumptions!$B$7)=0),1,0)</f>
        <v>0</v>
      </c>
      <c r="P475" s="13">
        <f t="shared" si="37"/>
        <v>0</v>
      </c>
      <c r="Q475" s="13">
        <f t="shared" si="38"/>
        <v>0</v>
      </c>
      <c r="R475" s="13">
        <f>L475*Assumptions!$B$11+M475*Assumptions!$B$12+N475*Assumptions!$B$13+O475*Assumptions!$B$14+P475*Assumptions!$B$15+Q475*Assumptions!$B$16</f>
        <v>0</v>
      </c>
      <c r="S475" s="13" t="str">
        <f>IF(R475&gt;=Assumptions!$B$20,"High",IF(R475&gt;=Assumptions!$B$21,"Medium",IF(R475&gt;=1,"Low","Clear")))</f>
        <v>Clear</v>
      </c>
      <c r="T475" s="13" t="str">
        <f t="shared" si="39"/>
        <v/>
      </c>
    </row>
    <row r="476" spans="1:20" x14ac:dyDescent="0.35">
      <c r="A476" s="13" t="s">
        <v>2017</v>
      </c>
      <c r="B476" s="13" t="s">
        <v>100</v>
      </c>
      <c r="C476" s="13" t="s">
        <v>101</v>
      </c>
      <c r="D476" s="13" t="s">
        <v>2018</v>
      </c>
      <c r="E476" s="14">
        <v>45876</v>
      </c>
      <c r="F476" s="14">
        <v>45897</v>
      </c>
      <c r="G476" s="15">
        <v>1891.89</v>
      </c>
      <c r="H476" s="13" t="s">
        <v>2019</v>
      </c>
      <c r="I476" s="13" t="s">
        <v>2020</v>
      </c>
      <c r="J476" s="13" t="s">
        <v>111</v>
      </c>
      <c r="K476" s="13">
        <f t="shared" si="35"/>
        <v>1</v>
      </c>
      <c r="L476" s="13">
        <f t="shared" si="36"/>
        <v>0</v>
      </c>
      <c r="M476" s="13">
        <f>IF(AND(L476=0,COUNTIFS($B$2:$B$1534,B476,$G$2:$G$1534,G476,$E$2:$E$1534,"&gt;="&amp;(E476-Assumptions!$B$5),$E$2:$E$1534,"&lt;="&amp;(E476+Assumptions!$B$5))&gt;1),1,0)</f>
        <v>0</v>
      </c>
      <c r="N476" s="13">
        <f>IF(AND(G476&gt;=Assumptions!$B$4*(1-Assumptions!$B$6),G476&lt;Assumptions!$B$4),1,0)</f>
        <v>0</v>
      </c>
      <c r="O476" s="13">
        <f>IF(AND(G476&gt;=Assumptions!$B$7,MOD(G476,Assumptions!$B$7)=0),1,0)</f>
        <v>0</v>
      </c>
      <c r="P476" s="13">
        <f t="shared" si="37"/>
        <v>0</v>
      </c>
      <c r="Q476" s="13">
        <f t="shared" si="38"/>
        <v>0</v>
      </c>
      <c r="R476" s="13">
        <f>L476*Assumptions!$B$11+M476*Assumptions!$B$12+N476*Assumptions!$B$13+O476*Assumptions!$B$14+P476*Assumptions!$B$15+Q476*Assumptions!$B$16</f>
        <v>0</v>
      </c>
      <c r="S476" s="13" t="str">
        <f>IF(R476&gt;=Assumptions!$B$20,"High",IF(R476&gt;=Assumptions!$B$21,"Medium",IF(R476&gt;=1,"Low","Clear")))</f>
        <v>Clear</v>
      </c>
      <c r="T476" s="13" t="str">
        <f t="shared" si="39"/>
        <v/>
      </c>
    </row>
    <row r="477" spans="1:20" x14ac:dyDescent="0.35">
      <c r="A477" s="13" t="s">
        <v>2021</v>
      </c>
      <c r="B477" s="13" t="s">
        <v>228</v>
      </c>
      <c r="C477" s="13" t="s">
        <v>229</v>
      </c>
      <c r="D477" s="13" t="s">
        <v>2022</v>
      </c>
      <c r="E477" s="14">
        <v>45876</v>
      </c>
      <c r="F477" s="14">
        <v>45898</v>
      </c>
      <c r="G477" s="15">
        <v>49526.2</v>
      </c>
      <c r="H477" s="13" t="s">
        <v>2023</v>
      </c>
      <c r="I477" s="13" t="s">
        <v>2024</v>
      </c>
      <c r="J477" s="13" t="s">
        <v>143</v>
      </c>
      <c r="K477" s="13">
        <f t="shared" si="35"/>
        <v>4</v>
      </c>
      <c r="L477" s="13">
        <f t="shared" si="36"/>
        <v>0</v>
      </c>
      <c r="M477" s="13">
        <f>IF(AND(L477=0,COUNTIFS($B$2:$B$1534,B477,$G$2:$G$1534,G477,$E$2:$E$1534,"&gt;="&amp;(E477-Assumptions!$B$5),$E$2:$E$1534,"&lt;="&amp;(E477+Assumptions!$B$5))&gt;1),1,0)</f>
        <v>0</v>
      </c>
      <c r="N477" s="13">
        <f>IF(AND(G477&gt;=Assumptions!$B$4*(1-Assumptions!$B$6),G477&lt;Assumptions!$B$4),1,0)</f>
        <v>1</v>
      </c>
      <c r="O477" s="13">
        <f>IF(AND(G477&gt;=Assumptions!$B$7,MOD(G477,Assumptions!$B$7)=0),1,0)</f>
        <v>0</v>
      </c>
      <c r="P477" s="13">
        <f t="shared" si="37"/>
        <v>0</v>
      </c>
      <c r="Q477" s="13">
        <f t="shared" si="38"/>
        <v>0</v>
      </c>
      <c r="R477" s="13">
        <f>L477*Assumptions!$B$11+M477*Assumptions!$B$12+N477*Assumptions!$B$13+O477*Assumptions!$B$14+P477*Assumptions!$B$15+Q477*Assumptions!$B$16</f>
        <v>3</v>
      </c>
      <c r="S477" s="13" t="str">
        <f>IF(R477&gt;=Assumptions!$B$20,"High",IF(R477&gt;=Assumptions!$B$21,"Medium",IF(R477&gt;=1,"Low","Clear")))</f>
        <v>Medium</v>
      </c>
      <c r="T477" s="13" t="str">
        <f t="shared" si="39"/>
        <v xml:space="preserve">Just below limit; </v>
      </c>
    </row>
    <row r="478" spans="1:20" x14ac:dyDescent="0.35">
      <c r="A478" s="13" t="s">
        <v>2025</v>
      </c>
      <c r="B478" s="13" t="s">
        <v>206</v>
      </c>
      <c r="C478" s="13" t="s">
        <v>207</v>
      </c>
      <c r="D478" s="13" t="s">
        <v>2026</v>
      </c>
      <c r="E478" s="14">
        <v>45870</v>
      </c>
      <c r="F478" s="14">
        <v>45898</v>
      </c>
      <c r="G478" s="15">
        <v>15394.21</v>
      </c>
      <c r="H478" s="13" t="s">
        <v>2027</v>
      </c>
      <c r="I478" s="13" t="s">
        <v>2028</v>
      </c>
      <c r="J478" s="13" t="s">
        <v>170</v>
      </c>
      <c r="K478" s="13">
        <f t="shared" si="35"/>
        <v>1</v>
      </c>
      <c r="L478" s="13">
        <f t="shared" si="36"/>
        <v>0</v>
      </c>
      <c r="M478" s="13">
        <f>IF(AND(L478=0,COUNTIFS($B$2:$B$1534,B478,$G$2:$G$1534,G478,$E$2:$E$1534,"&gt;="&amp;(E478-Assumptions!$B$5),$E$2:$E$1534,"&lt;="&amp;(E478+Assumptions!$B$5))&gt;1),1,0)</f>
        <v>0</v>
      </c>
      <c r="N478" s="13">
        <f>IF(AND(G478&gt;=Assumptions!$B$4*(1-Assumptions!$B$6),G478&lt;Assumptions!$B$4),1,0)</f>
        <v>0</v>
      </c>
      <c r="O478" s="13">
        <f>IF(AND(G478&gt;=Assumptions!$B$7,MOD(G478,Assumptions!$B$7)=0),1,0)</f>
        <v>0</v>
      </c>
      <c r="P478" s="13">
        <f t="shared" si="37"/>
        <v>0</v>
      </c>
      <c r="Q478" s="13">
        <f t="shared" si="38"/>
        <v>0</v>
      </c>
      <c r="R478" s="13">
        <f>L478*Assumptions!$B$11+M478*Assumptions!$B$12+N478*Assumptions!$B$13+O478*Assumptions!$B$14+P478*Assumptions!$B$15+Q478*Assumptions!$B$16</f>
        <v>0</v>
      </c>
      <c r="S478" s="13" t="str">
        <f>IF(R478&gt;=Assumptions!$B$20,"High",IF(R478&gt;=Assumptions!$B$21,"Medium",IF(R478&gt;=1,"Low","Clear")))</f>
        <v>Clear</v>
      </c>
      <c r="T478" s="13" t="str">
        <f t="shared" si="39"/>
        <v/>
      </c>
    </row>
    <row r="479" spans="1:20" x14ac:dyDescent="0.35">
      <c r="A479" s="13" t="s">
        <v>2029</v>
      </c>
      <c r="B479" s="13" t="s">
        <v>556</v>
      </c>
      <c r="C479" s="13" t="s">
        <v>557</v>
      </c>
      <c r="D479" s="13" t="s">
        <v>2030</v>
      </c>
      <c r="E479" s="14">
        <v>45878</v>
      </c>
      <c r="F479" s="14">
        <v>45898</v>
      </c>
      <c r="G479" s="15">
        <v>9810.44</v>
      </c>
      <c r="H479" s="13" t="s">
        <v>2031</v>
      </c>
      <c r="I479" s="13" t="s">
        <v>2032</v>
      </c>
      <c r="J479" s="13" t="s">
        <v>111</v>
      </c>
      <c r="K479" s="13">
        <f t="shared" si="35"/>
        <v>9</v>
      </c>
      <c r="L479" s="13">
        <f t="shared" si="36"/>
        <v>0</v>
      </c>
      <c r="M479" s="13">
        <f>IF(AND(L479=0,COUNTIFS($B$2:$B$1534,B479,$G$2:$G$1534,G479,$E$2:$E$1534,"&gt;="&amp;(E479-Assumptions!$B$5),$E$2:$E$1534,"&lt;="&amp;(E479+Assumptions!$B$5))&gt;1),1,0)</f>
        <v>0</v>
      </c>
      <c r="N479" s="13">
        <f>IF(AND(G479&gt;=Assumptions!$B$4*(1-Assumptions!$B$6),G479&lt;Assumptions!$B$4),1,0)</f>
        <v>0</v>
      </c>
      <c r="O479" s="13">
        <f>IF(AND(G479&gt;=Assumptions!$B$7,MOD(G479,Assumptions!$B$7)=0),1,0)</f>
        <v>0</v>
      </c>
      <c r="P479" s="13">
        <f t="shared" si="37"/>
        <v>0</v>
      </c>
      <c r="Q479" s="13">
        <f t="shared" si="38"/>
        <v>0</v>
      </c>
      <c r="R479" s="13">
        <f>L479*Assumptions!$B$11+M479*Assumptions!$B$12+N479*Assumptions!$B$13+O479*Assumptions!$B$14+P479*Assumptions!$B$15+Q479*Assumptions!$B$16</f>
        <v>0</v>
      </c>
      <c r="S479" s="13" t="str">
        <f>IF(R479&gt;=Assumptions!$B$20,"High",IF(R479&gt;=Assumptions!$B$21,"Medium",IF(R479&gt;=1,"Low","Clear")))</f>
        <v>Clear</v>
      </c>
      <c r="T479" s="13" t="str">
        <f t="shared" si="39"/>
        <v/>
      </c>
    </row>
    <row r="480" spans="1:20" x14ac:dyDescent="0.35">
      <c r="A480" s="13" t="s">
        <v>2033</v>
      </c>
      <c r="B480" s="13" t="s">
        <v>556</v>
      </c>
      <c r="C480" s="13" t="s">
        <v>557</v>
      </c>
      <c r="D480" s="13" t="s">
        <v>2034</v>
      </c>
      <c r="E480" s="14">
        <v>45872</v>
      </c>
      <c r="F480" s="14">
        <v>45898</v>
      </c>
      <c r="G480" s="15">
        <v>7664.68</v>
      </c>
      <c r="H480" s="13" t="s">
        <v>2035</v>
      </c>
      <c r="I480" s="13" t="s">
        <v>2036</v>
      </c>
      <c r="J480" s="13" t="s">
        <v>170</v>
      </c>
      <c r="K480" s="13">
        <f t="shared" si="35"/>
        <v>7</v>
      </c>
      <c r="L480" s="13">
        <f t="shared" si="36"/>
        <v>0</v>
      </c>
      <c r="M480" s="13">
        <f>IF(AND(L480=0,COUNTIFS($B$2:$B$1534,B480,$G$2:$G$1534,G480,$E$2:$E$1534,"&gt;="&amp;(E480-Assumptions!$B$5),$E$2:$E$1534,"&lt;="&amp;(E480+Assumptions!$B$5))&gt;1),1,0)</f>
        <v>0</v>
      </c>
      <c r="N480" s="13">
        <f>IF(AND(G480&gt;=Assumptions!$B$4*(1-Assumptions!$B$6),G480&lt;Assumptions!$B$4),1,0)</f>
        <v>0</v>
      </c>
      <c r="O480" s="13">
        <f>IF(AND(G480&gt;=Assumptions!$B$7,MOD(G480,Assumptions!$B$7)=0),1,0)</f>
        <v>0</v>
      </c>
      <c r="P480" s="13">
        <f t="shared" si="37"/>
        <v>0</v>
      </c>
      <c r="Q480" s="13">
        <f t="shared" si="38"/>
        <v>0</v>
      </c>
      <c r="R480" s="13">
        <f>L480*Assumptions!$B$11+M480*Assumptions!$B$12+N480*Assumptions!$B$13+O480*Assumptions!$B$14+P480*Assumptions!$B$15+Q480*Assumptions!$B$16</f>
        <v>0</v>
      </c>
      <c r="S480" s="13" t="str">
        <f>IF(R480&gt;=Assumptions!$B$20,"High",IF(R480&gt;=Assumptions!$B$21,"Medium",IF(R480&gt;=1,"Low","Clear")))</f>
        <v>Clear</v>
      </c>
      <c r="T480" s="13" t="str">
        <f t="shared" si="39"/>
        <v/>
      </c>
    </row>
    <row r="481" spans="1:20" x14ac:dyDescent="0.35">
      <c r="A481" s="13" t="s">
        <v>2037</v>
      </c>
      <c r="B481" s="13" t="s">
        <v>182</v>
      </c>
      <c r="C481" s="13" t="s">
        <v>183</v>
      </c>
      <c r="D481" s="13" t="s">
        <v>2038</v>
      </c>
      <c r="E481" s="14">
        <v>45874</v>
      </c>
      <c r="F481" s="14">
        <v>45901</v>
      </c>
      <c r="G481" s="15">
        <v>329371.90000000002</v>
      </c>
      <c r="H481" s="13" t="s">
        <v>2039</v>
      </c>
      <c r="I481" s="13" t="s">
        <v>2040</v>
      </c>
      <c r="J481" s="13" t="s">
        <v>143</v>
      </c>
      <c r="K481" s="13">
        <f t="shared" si="35"/>
        <v>3</v>
      </c>
      <c r="L481" s="13">
        <f t="shared" si="36"/>
        <v>0</v>
      </c>
      <c r="M481" s="13">
        <f>IF(AND(L481=0,COUNTIFS($B$2:$B$1534,B481,$G$2:$G$1534,G481,$E$2:$E$1534,"&gt;="&amp;(E481-Assumptions!$B$5),$E$2:$E$1534,"&lt;="&amp;(E481+Assumptions!$B$5))&gt;1),1,0)</f>
        <v>0</v>
      </c>
      <c r="N481" s="13">
        <f>IF(AND(G481&gt;=Assumptions!$B$4*(1-Assumptions!$B$6),G481&lt;Assumptions!$B$4),1,0)</f>
        <v>0</v>
      </c>
      <c r="O481" s="13">
        <f>IF(AND(G481&gt;=Assumptions!$B$7,MOD(G481,Assumptions!$B$7)=0),1,0)</f>
        <v>0</v>
      </c>
      <c r="P481" s="13">
        <f t="shared" si="37"/>
        <v>0</v>
      </c>
      <c r="Q481" s="13">
        <f t="shared" si="38"/>
        <v>0</v>
      </c>
      <c r="R481" s="13">
        <f>L481*Assumptions!$B$11+M481*Assumptions!$B$12+N481*Assumptions!$B$13+O481*Assumptions!$B$14+P481*Assumptions!$B$15+Q481*Assumptions!$B$16</f>
        <v>0</v>
      </c>
      <c r="S481" s="13" t="str">
        <f>IF(R481&gt;=Assumptions!$B$20,"High",IF(R481&gt;=Assumptions!$B$21,"Medium",IF(R481&gt;=1,"Low","Clear")))</f>
        <v>Clear</v>
      </c>
      <c r="T481" s="13" t="str">
        <f t="shared" si="39"/>
        <v/>
      </c>
    </row>
    <row r="482" spans="1:20" x14ac:dyDescent="0.35">
      <c r="A482" s="13" t="s">
        <v>2041</v>
      </c>
      <c r="B482" s="13" t="s">
        <v>182</v>
      </c>
      <c r="C482" s="13" t="s">
        <v>183</v>
      </c>
      <c r="D482" s="13" t="s">
        <v>2042</v>
      </c>
      <c r="E482" s="14">
        <v>45868</v>
      </c>
      <c r="F482" s="14">
        <v>45901</v>
      </c>
      <c r="G482" s="15">
        <v>127839.67</v>
      </c>
      <c r="H482" s="13" t="s">
        <v>2043</v>
      </c>
      <c r="I482" s="13" t="s">
        <v>2044</v>
      </c>
      <c r="J482" s="13" t="s">
        <v>170</v>
      </c>
      <c r="K482" s="13">
        <f t="shared" si="35"/>
        <v>1</v>
      </c>
      <c r="L482" s="13">
        <f t="shared" si="36"/>
        <v>0</v>
      </c>
      <c r="M482" s="13">
        <f>IF(AND(L482=0,COUNTIFS($B$2:$B$1534,B482,$G$2:$G$1534,G482,$E$2:$E$1534,"&gt;="&amp;(E482-Assumptions!$B$5),$E$2:$E$1534,"&lt;="&amp;(E482+Assumptions!$B$5))&gt;1),1,0)</f>
        <v>1</v>
      </c>
      <c r="N482" s="13">
        <f>IF(AND(G482&gt;=Assumptions!$B$4*(1-Assumptions!$B$6),G482&lt;Assumptions!$B$4),1,0)</f>
        <v>0</v>
      </c>
      <c r="O482" s="13">
        <f>IF(AND(G482&gt;=Assumptions!$B$7,MOD(G482,Assumptions!$B$7)=0),1,0)</f>
        <v>0</v>
      </c>
      <c r="P482" s="13">
        <f t="shared" si="37"/>
        <v>0</v>
      </c>
      <c r="Q482" s="13">
        <f t="shared" si="38"/>
        <v>0</v>
      </c>
      <c r="R482" s="13">
        <f>L482*Assumptions!$B$11+M482*Assumptions!$B$12+N482*Assumptions!$B$13+O482*Assumptions!$B$14+P482*Assumptions!$B$15+Q482*Assumptions!$B$16</f>
        <v>3</v>
      </c>
      <c r="S482" s="13" t="str">
        <f>IF(R482&gt;=Assumptions!$B$20,"High",IF(R482&gt;=Assumptions!$B$21,"Medium",IF(R482&gt;=1,"Low","Clear")))</f>
        <v>Medium</v>
      </c>
      <c r="T482" s="13" t="str">
        <f t="shared" si="39"/>
        <v xml:space="preserve">Near-duplicate; </v>
      </c>
    </row>
    <row r="483" spans="1:20" x14ac:dyDescent="0.35">
      <c r="A483" s="13" t="s">
        <v>2045</v>
      </c>
      <c r="B483" s="13" t="s">
        <v>228</v>
      </c>
      <c r="C483" s="13" t="s">
        <v>229</v>
      </c>
      <c r="D483" s="13" t="s">
        <v>2046</v>
      </c>
      <c r="E483" s="14">
        <v>45863</v>
      </c>
      <c r="F483" s="14">
        <v>45901</v>
      </c>
      <c r="G483" s="15">
        <v>48239.59</v>
      </c>
      <c r="H483" s="13" t="s">
        <v>2047</v>
      </c>
      <c r="I483" s="13" t="s">
        <v>2048</v>
      </c>
      <c r="J483" s="13" t="s">
        <v>98</v>
      </c>
      <c r="K483" s="13">
        <f t="shared" si="35"/>
        <v>4</v>
      </c>
      <c r="L483" s="13">
        <f t="shared" si="36"/>
        <v>0</v>
      </c>
      <c r="M483" s="13">
        <f>IF(AND(L483=0,COUNTIFS($B$2:$B$1534,B483,$G$2:$G$1534,G483,$E$2:$E$1534,"&gt;="&amp;(E483-Assumptions!$B$5),$E$2:$E$1534,"&lt;="&amp;(E483+Assumptions!$B$5))&gt;1),1,0)</f>
        <v>0</v>
      </c>
      <c r="N483" s="13">
        <f>IF(AND(G483&gt;=Assumptions!$B$4*(1-Assumptions!$B$6),G483&lt;Assumptions!$B$4),1,0)</f>
        <v>1</v>
      </c>
      <c r="O483" s="13">
        <f>IF(AND(G483&gt;=Assumptions!$B$7,MOD(G483,Assumptions!$B$7)=0),1,0)</f>
        <v>0</v>
      </c>
      <c r="P483" s="13">
        <f t="shared" si="37"/>
        <v>0</v>
      </c>
      <c r="Q483" s="13">
        <f t="shared" si="38"/>
        <v>0</v>
      </c>
      <c r="R483" s="13">
        <f>L483*Assumptions!$B$11+M483*Assumptions!$B$12+N483*Assumptions!$B$13+O483*Assumptions!$B$14+P483*Assumptions!$B$15+Q483*Assumptions!$B$16</f>
        <v>3</v>
      </c>
      <c r="S483" s="13" t="str">
        <f>IF(R483&gt;=Assumptions!$B$20,"High",IF(R483&gt;=Assumptions!$B$21,"Medium",IF(R483&gt;=1,"Low","Clear")))</f>
        <v>Medium</v>
      </c>
      <c r="T483" s="13" t="str">
        <f t="shared" si="39"/>
        <v xml:space="preserve">Just below limit; </v>
      </c>
    </row>
    <row r="484" spans="1:20" x14ac:dyDescent="0.35">
      <c r="A484" s="13" t="s">
        <v>2049</v>
      </c>
      <c r="B484" s="13" t="s">
        <v>670</v>
      </c>
      <c r="C484" s="13" t="s">
        <v>671</v>
      </c>
      <c r="D484" s="13" t="s">
        <v>2050</v>
      </c>
      <c r="E484" s="14">
        <v>45864</v>
      </c>
      <c r="F484" s="14">
        <v>45901</v>
      </c>
      <c r="G484" s="15">
        <v>1017.9</v>
      </c>
      <c r="H484" s="13" t="s">
        <v>2051</v>
      </c>
      <c r="I484" s="13" t="s">
        <v>2052</v>
      </c>
      <c r="J484" s="13" t="s">
        <v>111</v>
      </c>
      <c r="K484" s="13">
        <f t="shared" si="35"/>
        <v>1</v>
      </c>
      <c r="L484" s="13">
        <f t="shared" si="36"/>
        <v>0</v>
      </c>
      <c r="M484" s="13">
        <f>IF(AND(L484=0,COUNTIFS($B$2:$B$1534,B484,$G$2:$G$1534,G484,$E$2:$E$1534,"&gt;="&amp;(E484-Assumptions!$B$5),$E$2:$E$1534,"&lt;="&amp;(E484+Assumptions!$B$5))&gt;1),1,0)</f>
        <v>0</v>
      </c>
      <c r="N484" s="13">
        <f>IF(AND(G484&gt;=Assumptions!$B$4*(1-Assumptions!$B$6),G484&lt;Assumptions!$B$4),1,0)</f>
        <v>0</v>
      </c>
      <c r="O484" s="13">
        <f>IF(AND(G484&gt;=Assumptions!$B$7,MOD(G484,Assumptions!$B$7)=0),1,0)</f>
        <v>0</v>
      </c>
      <c r="P484" s="13">
        <f t="shared" si="37"/>
        <v>0</v>
      </c>
      <c r="Q484" s="13">
        <f t="shared" si="38"/>
        <v>0</v>
      </c>
      <c r="R484" s="13">
        <f>L484*Assumptions!$B$11+M484*Assumptions!$B$12+N484*Assumptions!$B$13+O484*Assumptions!$B$14+P484*Assumptions!$B$15+Q484*Assumptions!$B$16</f>
        <v>0</v>
      </c>
      <c r="S484" s="13" t="str">
        <f>IF(R484&gt;=Assumptions!$B$20,"High",IF(R484&gt;=Assumptions!$B$21,"Medium",IF(R484&gt;=1,"Low","Clear")))</f>
        <v>Clear</v>
      </c>
      <c r="T484" s="13" t="str">
        <f t="shared" si="39"/>
        <v/>
      </c>
    </row>
    <row r="485" spans="1:20" x14ac:dyDescent="0.35">
      <c r="A485" s="13" t="s">
        <v>2053</v>
      </c>
      <c r="B485" s="13" t="s">
        <v>498</v>
      </c>
      <c r="C485" s="13" t="s">
        <v>499</v>
      </c>
      <c r="D485" s="13" t="s">
        <v>2054</v>
      </c>
      <c r="E485" s="14">
        <v>45875</v>
      </c>
      <c r="F485" s="14">
        <v>45901</v>
      </c>
      <c r="G485" s="15">
        <v>136202.32999999999</v>
      </c>
      <c r="H485" s="13" t="s">
        <v>2055</v>
      </c>
      <c r="I485" s="13" t="s">
        <v>2056</v>
      </c>
      <c r="J485" s="13" t="s">
        <v>98</v>
      </c>
      <c r="K485" s="13">
        <f t="shared" si="35"/>
        <v>1</v>
      </c>
      <c r="L485" s="13">
        <f t="shared" si="36"/>
        <v>0</v>
      </c>
      <c r="M485" s="13">
        <f>IF(AND(L485=0,COUNTIFS($B$2:$B$1534,B485,$G$2:$G$1534,G485,$E$2:$E$1534,"&gt;="&amp;(E485-Assumptions!$B$5),$E$2:$E$1534,"&lt;="&amp;(E485+Assumptions!$B$5))&gt;1),1,0)</f>
        <v>0</v>
      </c>
      <c r="N485" s="13">
        <f>IF(AND(G485&gt;=Assumptions!$B$4*(1-Assumptions!$B$6),G485&lt;Assumptions!$B$4),1,0)</f>
        <v>0</v>
      </c>
      <c r="O485" s="13">
        <f>IF(AND(G485&gt;=Assumptions!$B$7,MOD(G485,Assumptions!$B$7)=0),1,0)</f>
        <v>0</v>
      </c>
      <c r="P485" s="13">
        <f t="shared" si="37"/>
        <v>0</v>
      </c>
      <c r="Q485" s="13">
        <f t="shared" si="38"/>
        <v>0</v>
      </c>
      <c r="R485" s="13">
        <f>L485*Assumptions!$B$11+M485*Assumptions!$B$12+N485*Assumptions!$B$13+O485*Assumptions!$B$14+P485*Assumptions!$B$15+Q485*Assumptions!$B$16</f>
        <v>0</v>
      </c>
      <c r="S485" s="13" t="str">
        <f>IF(R485&gt;=Assumptions!$B$20,"High",IF(R485&gt;=Assumptions!$B$21,"Medium",IF(R485&gt;=1,"Low","Clear")))</f>
        <v>Clear</v>
      </c>
      <c r="T485" s="13" t="str">
        <f t="shared" si="39"/>
        <v/>
      </c>
    </row>
    <row r="486" spans="1:20" x14ac:dyDescent="0.35">
      <c r="A486" s="13" t="s">
        <v>2057</v>
      </c>
      <c r="B486" s="13" t="s">
        <v>86</v>
      </c>
      <c r="C486" s="13" t="s">
        <v>87</v>
      </c>
      <c r="D486" s="13" t="s">
        <v>2058</v>
      </c>
      <c r="E486" s="14">
        <v>45876</v>
      </c>
      <c r="F486" s="14">
        <v>45901</v>
      </c>
      <c r="G486" s="15">
        <v>63037.86</v>
      </c>
      <c r="H486" s="13" t="s">
        <v>2059</v>
      </c>
      <c r="I486" s="13" t="s">
        <v>2060</v>
      </c>
      <c r="J486" s="13" t="s">
        <v>136</v>
      </c>
      <c r="K486" s="13">
        <f t="shared" si="35"/>
        <v>6</v>
      </c>
      <c r="L486" s="13">
        <f t="shared" si="36"/>
        <v>0</v>
      </c>
      <c r="M486" s="13">
        <f>IF(AND(L486=0,COUNTIFS($B$2:$B$1534,B486,$G$2:$G$1534,G486,$E$2:$E$1534,"&gt;="&amp;(E486-Assumptions!$B$5),$E$2:$E$1534,"&lt;="&amp;(E486+Assumptions!$B$5))&gt;1),1,0)</f>
        <v>0</v>
      </c>
      <c r="N486" s="13">
        <f>IF(AND(G486&gt;=Assumptions!$B$4*(1-Assumptions!$B$6),G486&lt;Assumptions!$B$4),1,0)</f>
        <v>0</v>
      </c>
      <c r="O486" s="13">
        <f>IF(AND(G486&gt;=Assumptions!$B$7,MOD(G486,Assumptions!$B$7)=0),1,0)</f>
        <v>0</v>
      </c>
      <c r="P486" s="13">
        <f t="shared" si="37"/>
        <v>0</v>
      </c>
      <c r="Q486" s="13">
        <f t="shared" si="38"/>
        <v>0</v>
      </c>
      <c r="R486" s="13">
        <f>L486*Assumptions!$B$11+M486*Assumptions!$B$12+N486*Assumptions!$B$13+O486*Assumptions!$B$14+P486*Assumptions!$B$15+Q486*Assumptions!$B$16</f>
        <v>0</v>
      </c>
      <c r="S486" s="13" t="str">
        <f>IF(R486&gt;=Assumptions!$B$20,"High",IF(R486&gt;=Assumptions!$B$21,"Medium",IF(R486&gt;=1,"Low","Clear")))</f>
        <v>Clear</v>
      </c>
      <c r="T486" s="13" t="str">
        <f t="shared" si="39"/>
        <v/>
      </c>
    </row>
    <row r="487" spans="1:20" x14ac:dyDescent="0.35">
      <c r="A487" s="13" t="s">
        <v>2061</v>
      </c>
      <c r="B487" s="13" t="s">
        <v>93</v>
      </c>
      <c r="C487" s="13" t="s">
        <v>94</v>
      </c>
      <c r="D487" s="13" t="s">
        <v>2062</v>
      </c>
      <c r="E487" s="14">
        <v>45878</v>
      </c>
      <c r="F487" s="14">
        <v>45901</v>
      </c>
      <c r="G487" s="15">
        <v>133769.10999999999</v>
      </c>
      <c r="H487" s="13" t="s">
        <v>2063</v>
      </c>
      <c r="I487" s="13" t="s">
        <v>2064</v>
      </c>
      <c r="J487" s="13" t="s">
        <v>91</v>
      </c>
      <c r="K487" s="13">
        <f t="shared" si="35"/>
        <v>1</v>
      </c>
      <c r="L487" s="13">
        <f t="shared" si="36"/>
        <v>0</v>
      </c>
      <c r="M487" s="13">
        <f>IF(AND(L487=0,COUNTIFS($B$2:$B$1534,B487,$G$2:$G$1534,G487,$E$2:$E$1534,"&gt;="&amp;(E487-Assumptions!$B$5),$E$2:$E$1534,"&lt;="&amp;(E487+Assumptions!$B$5))&gt;1),1,0)</f>
        <v>0</v>
      </c>
      <c r="N487" s="13">
        <f>IF(AND(G487&gt;=Assumptions!$B$4*(1-Assumptions!$B$6),G487&lt;Assumptions!$B$4),1,0)</f>
        <v>0</v>
      </c>
      <c r="O487" s="13">
        <f>IF(AND(G487&gt;=Assumptions!$B$7,MOD(G487,Assumptions!$B$7)=0),1,0)</f>
        <v>0</v>
      </c>
      <c r="P487" s="13">
        <f t="shared" si="37"/>
        <v>0</v>
      </c>
      <c r="Q487" s="13">
        <f t="shared" si="38"/>
        <v>0</v>
      </c>
      <c r="R487" s="13">
        <f>L487*Assumptions!$B$11+M487*Assumptions!$B$12+N487*Assumptions!$B$13+O487*Assumptions!$B$14+P487*Assumptions!$B$15+Q487*Assumptions!$B$16</f>
        <v>0</v>
      </c>
      <c r="S487" s="13" t="str">
        <f>IF(R487&gt;=Assumptions!$B$20,"High",IF(R487&gt;=Assumptions!$B$21,"Medium",IF(R487&gt;=1,"Low","Clear")))</f>
        <v>Clear</v>
      </c>
      <c r="T487" s="13" t="str">
        <f t="shared" si="39"/>
        <v/>
      </c>
    </row>
    <row r="488" spans="1:20" x14ac:dyDescent="0.35">
      <c r="A488" s="13" t="s">
        <v>2065</v>
      </c>
      <c r="B488" s="13" t="s">
        <v>680</v>
      </c>
      <c r="C488" s="13" t="s">
        <v>681</v>
      </c>
      <c r="D488" s="13" t="s">
        <v>1948</v>
      </c>
      <c r="E488" s="14">
        <v>45863</v>
      </c>
      <c r="F488" s="14">
        <v>45901</v>
      </c>
      <c r="G488" s="15">
        <v>11432.34</v>
      </c>
      <c r="H488" s="13" t="s">
        <v>1949</v>
      </c>
      <c r="I488" s="13" t="s">
        <v>1950</v>
      </c>
      <c r="J488" s="13" t="s">
        <v>136</v>
      </c>
      <c r="K488" s="13">
        <f t="shared" si="35"/>
        <v>1</v>
      </c>
      <c r="L488" s="13">
        <f t="shared" si="36"/>
        <v>1</v>
      </c>
      <c r="M488" s="13">
        <f>IF(AND(L488=0,COUNTIFS($B$2:$B$1534,B488,$G$2:$G$1534,G488,$E$2:$E$1534,"&gt;="&amp;(E488-Assumptions!$B$5),$E$2:$E$1534,"&lt;="&amp;(E488+Assumptions!$B$5))&gt;1),1,0)</f>
        <v>0</v>
      </c>
      <c r="N488" s="13">
        <f>IF(AND(G488&gt;=Assumptions!$B$4*(1-Assumptions!$B$6),G488&lt;Assumptions!$B$4),1,0)</f>
        <v>0</v>
      </c>
      <c r="O488" s="13">
        <f>IF(AND(G488&gt;=Assumptions!$B$7,MOD(G488,Assumptions!$B$7)=0),1,0)</f>
        <v>0</v>
      </c>
      <c r="P488" s="13">
        <f t="shared" si="37"/>
        <v>0</v>
      </c>
      <c r="Q488" s="13">
        <f t="shared" si="38"/>
        <v>0</v>
      </c>
      <c r="R488" s="13">
        <f>L488*Assumptions!$B$11+M488*Assumptions!$B$12+N488*Assumptions!$B$13+O488*Assumptions!$B$14+P488*Assumptions!$B$15+Q488*Assumptions!$B$16</f>
        <v>5</v>
      </c>
      <c r="S488" s="13" t="str">
        <f>IF(R488&gt;=Assumptions!$B$20,"High",IF(R488&gt;=Assumptions!$B$21,"Medium",IF(R488&gt;=1,"Low","Clear")))</f>
        <v>High</v>
      </c>
      <c r="T488" s="13" t="str">
        <f t="shared" si="39"/>
        <v xml:space="preserve">Duplicate invoice; </v>
      </c>
    </row>
    <row r="489" spans="1:20" x14ac:dyDescent="0.35">
      <c r="A489" s="13" t="s">
        <v>2066</v>
      </c>
      <c r="B489" s="13" t="s">
        <v>774</v>
      </c>
      <c r="C489" s="13" t="s">
        <v>775</v>
      </c>
      <c r="D489" s="13" t="s">
        <v>2067</v>
      </c>
      <c r="E489" s="14">
        <v>45874</v>
      </c>
      <c r="F489" s="14">
        <v>45901</v>
      </c>
      <c r="G489" s="15">
        <v>87952.56</v>
      </c>
      <c r="H489" s="13" t="s">
        <v>2068</v>
      </c>
      <c r="I489" s="13" t="s">
        <v>2069</v>
      </c>
      <c r="J489" s="13" t="s">
        <v>136</v>
      </c>
      <c r="K489" s="13">
        <f t="shared" si="35"/>
        <v>8</v>
      </c>
      <c r="L489" s="13">
        <f t="shared" si="36"/>
        <v>0</v>
      </c>
      <c r="M489" s="13">
        <f>IF(AND(L489=0,COUNTIFS($B$2:$B$1534,B489,$G$2:$G$1534,G489,$E$2:$E$1534,"&gt;="&amp;(E489-Assumptions!$B$5),$E$2:$E$1534,"&lt;="&amp;(E489+Assumptions!$B$5))&gt;1),1,0)</f>
        <v>0</v>
      </c>
      <c r="N489" s="13">
        <f>IF(AND(G489&gt;=Assumptions!$B$4*(1-Assumptions!$B$6),G489&lt;Assumptions!$B$4),1,0)</f>
        <v>0</v>
      </c>
      <c r="O489" s="13">
        <f>IF(AND(G489&gt;=Assumptions!$B$7,MOD(G489,Assumptions!$B$7)=0),1,0)</f>
        <v>0</v>
      </c>
      <c r="P489" s="13">
        <f t="shared" si="37"/>
        <v>0</v>
      </c>
      <c r="Q489" s="13">
        <f t="shared" si="38"/>
        <v>0</v>
      </c>
      <c r="R489" s="13">
        <f>L489*Assumptions!$B$11+M489*Assumptions!$B$12+N489*Assumptions!$B$13+O489*Assumptions!$B$14+P489*Assumptions!$B$15+Q489*Assumptions!$B$16</f>
        <v>0</v>
      </c>
      <c r="S489" s="13" t="str">
        <f>IF(R489&gt;=Assumptions!$B$20,"High",IF(R489&gt;=Assumptions!$B$21,"Medium",IF(R489&gt;=1,"Low","Clear")))</f>
        <v>Clear</v>
      </c>
      <c r="T489" s="13" t="str">
        <f t="shared" si="39"/>
        <v/>
      </c>
    </row>
    <row r="490" spans="1:20" x14ac:dyDescent="0.35">
      <c r="A490" s="13" t="s">
        <v>2070</v>
      </c>
      <c r="B490" s="13" t="s">
        <v>206</v>
      </c>
      <c r="C490" s="13" t="s">
        <v>207</v>
      </c>
      <c r="D490" s="13" t="s">
        <v>2071</v>
      </c>
      <c r="E490" s="14">
        <v>45874</v>
      </c>
      <c r="F490" s="14">
        <v>45901</v>
      </c>
      <c r="G490" s="15">
        <v>136961.15</v>
      </c>
      <c r="H490" s="13" t="s">
        <v>2072</v>
      </c>
      <c r="I490" s="13" t="s">
        <v>2073</v>
      </c>
      <c r="J490" s="13" t="s">
        <v>170</v>
      </c>
      <c r="K490" s="13">
        <f t="shared" si="35"/>
        <v>1</v>
      </c>
      <c r="L490" s="13">
        <f t="shared" si="36"/>
        <v>0</v>
      </c>
      <c r="M490" s="13">
        <f>IF(AND(L490=0,COUNTIFS($B$2:$B$1534,B490,$G$2:$G$1534,G490,$E$2:$E$1534,"&gt;="&amp;(E490-Assumptions!$B$5),$E$2:$E$1534,"&lt;="&amp;(E490+Assumptions!$B$5))&gt;1),1,0)</f>
        <v>0</v>
      </c>
      <c r="N490" s="13">
        <f>IF(AND(G490&gt;=Assumptions!$B$4*(1-Assumptions!$B$6),G490&lt;Assumptions!$B$4),1,0)</f>
        <v>0</v>
      </c>
      <c r="O490" s="13">
        <f>IF(AND(G490&gt;=Assumptions!$B$7,MOD(G490,Assumptions!$B$7)=0),1,0)</f>
        <v>0</v>
      </c>
      <c r="P490" s="13">
        <f t="shared" si="37"/>
        <v>0</v>
      </c>
      <c r="Q490" s="13">
        <f t="shared" si="38"/>
        <v>0</v>
      </c>
      <c r="R490" s="13">
        <f>L490*Assumptions!$B$11+M490*Assumptions!$B$12+N490*Assumptions!$B$13+O490*Assumptions!$B$14+P490*Assumptions!$B$15+Q490*Assumptions!$B$16</f>
        <v>0</v>
      </c>
      <c r="S490" s="13" t="str">
        <f>IF(R490&gt;=Assumptions!$B$20,"High",IF(R490&gt;=Assumptions!$B$21,"Medium",IF(R490&gt;=1,"Low","Clear")))</f>
        <v>Clear</v>
      </c>
      <c r="T490" s="13" t="str">
        <f t="shared" si="39"/>
        <v/>
      </c>
    </row>
    <row r="491" spans="1:20" x14ac:dyDescent="0.35">
      <c r="A491" s="13" t="s">
        <v>2074</v>
      </c>
      <c r="B491" s="13" t="s">
        <v>218</v>
      </c>
      <c r="C491" s="13" t="s">
        <v>219</v>
      </c>
      <c r="D491" s="13" t="s">
        <v>2075</v>
      </c>
      <c r="E491" s="14">
        <v>45867</v>
      </c>
      <c r="F491" s="14">
        <v>45901</v>
      </c>
      <c r="G491" s="15">
        <v>1351.89</v>
      </c>
      <c r="H491" s="13" t="s">
        <v>2076</v>
      </c>
      <c r="I491" s="13" t="s">
        <v>2077</v>
      </c>
      <c r="J491" s="13" t="s">
        <v>136</v>
      </c>
      <c r="K491" s="13">
        <f t="shared" si="35"/>
        <v>1</v>
      </c>
      <c r="L491" s="13">
        <f t="shared" si="36"/>
        <v>0</v>
      </c>
      <c r="M491" s="13">
        <f>IF(AND(L491=0,COUNTIFS($B$2:$B$1534,B491,$G$2:$G$1534,G491,$E$2:$E$1534,"&gt;="&amp;(E491-Assumptions!$B$5),$E$2:$E$1534,"&lt;="&amp;(E491+Assumptions!$B$5))&gt;1),1,0)</f>
        <v>0</v>
      </c>
      <c r="N491" s="13">
        <f>IF(AND(G491&gt;=Assumptions!$B$4*(1-Assumptions!$B$6),G491&lt;Assumptions!$B$4),1,0)</f>
        <v>0</v>
      </c>
      <c r="O491" s="13">
        <f>IF(AND(G491&gt;=Assumptions!$B$7,MOD(G491,Assumptions!$B$7)=0),1,0)</f>
        <v>0</v>
      </c>
      <c r="P491" s="13">
        <f t="shared" si="37"/>
        <v>0</v>
      </c>
      <c r="Q491" s="13">
        <f t="shared" si="38"/>
        <v>0</v>
      </c>
      <c r="R491" s="13">
        <f>L491*Assumptions!$B$11+M491*Assumptions!$B$12+N491*Assumptions!$B$13+O491*Assumptions!$B$14+P491*Assumptions!$B$15+Q491*Assumptions!$B$16</f>
        <v>0</v>
      </c>
      <c r="S491" s="13" t="str">
        <f>IF(R491&gt;=Assumptions!$B$20,"High",IF(R491&gt;=Assumptions!$B$21,"Medium",IF(R491&gt;=1,"Low","Clear")))</f>
        <v>Clear</v>
      </c>
      <c r="T491" s="13" t="str">
        <f t="shared" si="39"/>
        <v/>
      </c>
    </row>
    <row r="492" spans="1:20" x14ac:dyDescent="0.35">
      <c r="A492" s="13" t="s">
        <v>2078</v>
      </c>
      <c r="B492" s="13" t="s">
        <v>218</v>
      </c>
      <c r="C492" s="13" t="s">
        <v>219</v>
      </c>
      <c r="D492" s="13" t="s">
        <v>2079</v>
      </c>
      <c r="E492" s="14">
        <v>45872</v>
      </c>
      <c r="F492" s="14">
        <v>45901</v>
      </c>
      <c r="G492" s="15">
        <v>4073.9</v>
      </c>
      <c r="H492" s="13" t="s">
        <v>2080</v>
      </c>
      <c r="I492" s="13" t="s">
        <v>2081</v>
      </c>
      <c r="J492" s="13" t="s">
        <v>98</v>
      </c>
      <c r="K492" s="13">
        <f t="shared" si="35"/>
        <v>4</v>
      </c>
      <c r="L492" s="13">
        <f t="shared" si="36"/>
        <v>0</v>
      </c>
      <c r="M492" s="13">
        <f>IF(AND(L492=0,COUNTIFS($B$2:$B$1534,B492,$G$2:$G$1534,G492,$E$2:$E$1534,"&gt;="&amp;(E492-Assumptions!$B$5),$E$2:$E$1534,"&lt;="&amp;(E492+Assumptions!$B$5))&gt;1),1,0)</f>
        <v>0</v>
      </c>
      <c r="N492" s="13">
        <f>IF(AND(G492&gt;=Assumptions!$B$4*(1-Assumptions!$B$6),G492&lt;Assumptions!$B$4),1,0)</f>
        <v>0</v>
      </c>
      <c r="O492" s="13">
        <f>IF(AND(G492&gt;=Assumptions!$B$7,MOD(G492,Assumptions!$B$7)=0),1,0)</f>
        <v>0</v>
      </c>
      <c r="P492" s="13">
        <f t="shared" si="37"/>
        <v>0</v>
      </c>
      <c r="Q492" s="13">
        <f t="shared" si="38"/>
        <v>0</v>
      </c>
      <c r="R492" s="13">
        <f>L492*Assumptions!$B$11+M492*Assumptions!$B$12+N492*Assumptions!$B$13+O492*Assumptions!$B$14+P492*Assumptions!$B$15+Q492*Assumptions!$B$16</f>
        <v>0</v>
      </c>
      <c r="S492" s="13" t="str">
        <f>IF(R492&gt;=Assumptions!$B$20,"High",IF(R492&gt;=Assumptions!$B$21,"Medium",IF(R492&gt;=1,"Low","Clear")))</f>
        <v>Clear</v>
      </c>
      <c r="T492" s="13" t="str">
        <f t="shared" si="39"/>
        <v/>
      </c>
    </row>
    <row r="493" spans="1:20" x14ac:dyDescent="0.35">
      <c r="A493" s="13" t="s">
        <v>2082</v>
      </c>
      <c r="B493" s="13" t="s">
        <v>218</v>
      </c>
      <c r="C493" s="13" t="s">
        <v>219</v>
      </c>
      <c r="D493" s="13" t="s">
        <v>2083</v>
      </c>
      <c r="E493" s="14">
        <v>45868</v>
      </c>
      <c r="F493" s="14">
        <v>45901</v>
      </c>
      <c r="G493" s="15">
        <v>4508.43</v>
      </c>
      <c r="H493" s="13" t="s">
        <v>2084</v>
      </c>
      <c r="I493" s="13" t="s">
        <v>2085</v>
      </c>
      <c r="J493" s="13" t="s">
        <v>143</v>
      </c>
      <c r="K493" s="13">
        <f t="shared" si="35"/>
        <v>4</v>
      </c>
      <c r="L493" s="13">
        <f t="shared" si="36"/>
        <v>0</v>
      </c>
      <c r="M493" s="13">
        <f>IF(AND(L493=0,COUNTIFS($B$2:$B$1534,B493,$G$2:$G$1534,G493,$E$2:$E$1534,"&gt;="&amp;(E493-Assumptions!$B$5),$E$2:$E$1534,"&lt;="&amp;(E493+Assumptions!$B$5))&gt;1),1,0)</f>
        <v>0</v>
      </c>
      <c r="N493" s="13">
        <f>IF(AND(G493&gt;=Assumptions!$B$4*(1-Assumptions!$B$6),G493&lt;Assumptions!$B$4),1,0)</f>
        <v>0</v>
      </c>
      <c r="O493" s="13">
        <f>IF(AND(G493&gt;=Assumptions!$B$7,MOD(G493,Assumptions!$B$7)=0),1,0)</f>
        <v>0</v>
      </c>
      <c r="P493" s="13">
        <f t="shared" si="37"/>
        <v>0</v>
      </c>
      <c r="Q493" s="13">
        <f t="shared" si="38"/>
        <v>0</v>
      </c>
      <c r="R493" s="13">
        <f>L493*Assumptions!$B$11+M493*Assumptions!$B$12+N493*Assumptions!$B$13+O493*Assumptions!$B$14+P493*Assumptions!$B$15+Q493*Assumptions!$B$16</f>
        <v>0</v>
      </c>
      <c r="S493" s="13" t="str">
        <f>IF(R493&gt;=Assumptions!$B$20,"High",IF(R493&gt;=Assumptions!$B$21,"Medium",IF(R493&gt;=1,"Low","Clear")))</f>
        <v>Clear</v>
      </c>
      <c r="T493" s="13" t="str">
        <f t="shared" si="39"/>
        <v/>
      </c>
    </row>
    <row r="494" spans="1:20" x14ac:dyDescent="0.35">
      <c r="A494" s="13" t="s">
        <v>2086</v>
      </c>
      <c r="B494" s="13" t="s">
        <v>100</v>
      </c>
      <c r="C494" s="13" t="s">
        <v>101</v>
      </c>
      <c r="D494" s="13" t="s">
        <v>2087</v>
      </c>
      <c r="E494" s="14">
        <v>45869</v>
      </c>
      <c r="F494" s="14">
        <v>45901</v>
      </c>
      <c r="G494" s="15">
        <v>22683.97</v>
      </c>
      <c r="H494" s="13" t="s">
        <v>2088</v>
      </c>
      <c r="I494" s="13" t="s">
        <v>2089</v>
      </c>
      <c r="J494" s="13" t="s">
        <v>91</v>
      </c>
      <c r="K494" s="13">
        <f t="shared" si="35"/>
        <v>2</v>
      </c>
      <c r="L494" s="13">
        <f t="shared" si="36"/>
        <v>0</v>
      </c>
      <c r="M494" s="13">
        <f>IF(AND(L494=0,COUNTIFS($B$2:$B$1534,B494,$G$2:$G$1534,G494,$E$2:$E$1534,"&gt;="&amp;(E494-Assumptions!$B$5),$E$2:$E$1534,"&lt;="&amp;(E494+Assumptions!$B$5))&gt;1),1,0)</f>
        <v>0</v>
      </c>
      <c r="N494" s="13">
        <f>IF(AND(G494&gt;=Assumptions!$B$4*(1-Assumptions!$B$6),G494&lt;Assumptions!$B$4),1,0)</f>
        <v>0</v>
      </c>
      <c r="O494" s="13">
        <f>IF(AND(G494&gt;=Assumptions!$B$7,MOD(G494,Assumptions!$B$7)=0),1,0)</f>
        <v>0</v>
      </c>
      <c r="P494" s="13">
        <f t="shared" si="37"/>
        <v>0</v>
      </c>
      <c r="Q494" s="13">
        <f t="shared" si="38"/>
        <v>0</v>
      </c>
      <c r="R494" s="13">
        <f>L494*Assumptions!$B$11+M494*Assumptions!$B$12+N494*Assumptions!$B$13+O494*Assumptions!$B$14+P494*Assumptions!$B$15+Q494*Assumptions!$B$16</f>
        <v>0</v>
      </c>
      <c r="S494" s="13" t="str">
        <f>IF(R494&gt;=Assumptions!$B$20,"High",IF(R494&gt;=Assumptions!$B$21,"Medium",IF(R494&gt;=1,"Low","Clear")))</f>
        <v>Clear</v>
      </c>
      <c r="T494" s="13" t="str">
        <f t="shared" si="39"/>
        <v/>
      </c>
    </row>
    <row r="495" spans="1:20" x14ac:dyDescent="0.35">
      <c r="A495" s="13" t="s">
        <v>2090</v>
      </c>
      <c r="B495" s="13" t="s">
        <v>556</v>
      </c>
      <c r="C495" s="13" t="s">
        <v>557</v>
      </c>
      <c r="D495" s="13" t="s">
        <v>2091</v>
      </c>
      <c r="E495" s="14">
        <v>45879</v>
      </c>
      <c r="F495" s="14">
        <v>45901</v>
      </c>
      <c r="G495" s="15">
        <v>12562.09</v>
      </c>
      <c r="H495" s="13" t="s">
        <v>2092</v>
      </c>
      <c r="I495" s="13" t="s">
        <v>2093</v>
      </c>
      <c r="J495" s="13" t="s">
        <v>111</v>
      </c>
      <c r="K495" s="13">
        <f t="shared" si="35"/>
        <v>1</v>
      </c>
      <c r="L495" s="13">
        <f t="shared" si="36"/>
        <v>0</v>
      </c>
      <c r="M495" s="13">
        <f>IF(AND(L495=0,COUNTIFS($B$2:$B$1534,B495,$G$2:$G$1534,G495,$E$2:$E$1534,"&gt;="&amp;(E495-Assumptions!$B$5),$E$2:$E$1534,"&lt;="&amp;(E495+Assumptions!$B$5))&gt;1),1,0)</f>
        <v>0</v>
      </c>
      <c r="N495" s="13">
        <f>IF(AND(G495&gt;=Assumptions!$B$4*(1-Assumptions!$B$6),G495&lt;Assumptions!$B$4),1,0)</f>
        <v>0</v>
      </c>
      <c r="O495" s="13">
        <f>IF(AND(G495&gt;=Assumptions!$B$7,MOD(G495,Assumptions!$B$7)=0),1,0)</f>
        <v>0</v>
      </c>
      <c r="P495" s="13">
        <f t="shared" si="37"/>
        <v>0</v>
      </c>
      <c r="Q495" s="13">
        <f t="shared" si="38"/>
        <v>0</v>
      </c>
      <c r="R495" s="13">
        <f>L495*Assumptions!$B$11+M495*Assumptions!$B$12+N495*Assumptions!$B$13+O495*Assumptions!$B$14+P495*Assumptions!$B$15+Q495*Assumptions!$B$16</f>
        <v>0</v>
      </c>
      <c r="S495" s="13" t="str">
        <f>IF(R495&gt;=Assumptions!$B$20,"High",IF(R495&gt;=Assumptions!$B$21,"Medium",IF(R495&gt;=1,"Low","Clear")))</f>
        <v>Clear</v>
      </c>
      <c r="T495" s="13" t="str">
        <f t="shared" si="39"/>
        <v/>
      </c>
    </row>
    <row r="496" spans="1:20" x14ac:dyDescent="0.35">
      <c r="A496" s="13" t="s">
        <v>2094</v>
      </c>
      <c r="B496" s="13" t="s">
        <v>670</v>
      </c>
      <c r="C496" s="13" t="s">
        <v>671</v>
      </c>
      <c r="D496" s="13" t="s">
        <v>2095</v>
      </c>
      <c r="E496" s="14">
        <v>45880</v>
      </c>
      <c r="F496" s="14">
        <v>45902</v>
      </c>
      <c r="G496" s="15">
        <v>14061.11</v>
      </c>
      <c r="H496" s="13" t="s">
        <v>2096</v>
      </c>
      <c r="I496" s="13" t="s">
        <v>2097</v>
      </c>
      <c r="J496" s="13" t="s">
        <v>136</v>
      </c>
      <c r="K496" s="13">
        <f t="shared" si="35"/>
        <v>1</v>
      </c>
      <c r="L496" s="13">
        <f t="shared" si="36"/>
        <v>0</v>
      </c>
      <c r="M496" s="13">
        <f>IF(AND(L496=0,COUNTIFS($B$2:$B$1534,B496,$G$2:$G$1534,G496,$E$2:$E$1534,"&gt;="&amp;(E496-Assumptions!$B$5),$E$2:$E$1534,"&lt;="&amp;(E496+Assumptions!$B$5))&gt;1),1,0)</f>
        <v>0</v>
      </c>
      <c r="N496" s="13">
        <f>IF(AND(G496&gt;=Assumptions!$B$4*(1-Assumptions!$B$6),G496&lt;Assumptions!$B$4),1,0)</f>
        <v>0</v>
      </c>
      <c r="O496" s="13">
        <f>IF(AND(G496&gt;=Assumptions!$B$7,MOD(G496,Assumptions!$B$7)=0),1,0)</f>
        <v>0</v>
      </c>
      <c r="P496" s="13">
        <f t="shared" si="37"/>
        <v>0</v>
      </c>
      <c r="Q496" s="13">
        <f t="shared" si="38"/>
        <v>0</v>
      </c>
      <c r="R496" s="13">
        <f>L496*Assumptions!$B$11+M496*Assumptions!$B$12+N496*Assumptions!$B$13+O496*Assumptions!$B$14+P496*Assumptions!$B$15+Q496*Assumptions!$B$16</f>
        <v>0</v>
      </c>
      <c r="S496" s="13" t="str">
        <f>IF(R496&gt;=Assumptions!$B$20,"High",IF(R496&gt;=Assumptions!$B$21,"Medium",IF(R496&gt;=1,"Low","Clear")))</f>
        <v>Clear</v>
      </c>
      <c r="T496" s="13" t="str">
        <f t="shared" si="39"/>
        <v/>
      </c>
    </row>
    <row r="497" spans="1:20" x14ac:dyDescent="0.35">
      <c r="A497" s="13" t="s">
        <v>2098</v>
      </c>
      <c r="B497" s="13" t="s">
        <v>317</v>
      </c>
      <c r="C497" s="13" t="s">
        <v>318</v>
      </c>
      <c r="D497" s="13" t="s">
        <v>2099</v>
      </c>
      <c r="E497" s="14">
        <v>45863</v>
      </c>
      <c r="F497" s="14">
        <v>45902</v>
      </c>
      <c r="G497" s="15">
        <v>169302.78</v>
      </c>
      <c r="H497" s="13" t="s">
        <v>2100</v>
      </c>
      <c r="I497" s="13" t="s">
        <v>2101</v>
      </c>
      <c r="J497" s="13" t="s">
        <v>111</v>
      </c>
      <c r="K497" s="13">
        <f t="shared" si="35"/>
        <v>1</v>
      </c>
      <c r="L497" s="13">
        <f t="shared" si="36"/>
        <v>0</v>
      </c>
      <c r="M497" s="13">
        <f>IF(AND(L497=0,COUNTIFS($B$2:$B$1534,B497,$G$2:$G$1534,G497,$E$2:$E$1534,"&gt;="&amp;(E497-Assumptions!$B$5),$E$2:$E$1534,"&lt;="&amp;(E497+Assumptions!$B$5))&gt;1),1,0)</f>
        <v>0</v>
      </c>
      <c r="N497" s="13">
        <f>IF(AND(G497&gt;=Assumptions!$B$4*(1-Assumptions!$B$6),G497&lt;Assumptions!$B$4),1,0)</f>
        <v>0</v>
      </c>
      <c r="O497" s="13">
        <f>IF(AND(G497&gt;=Assumptions!$B$7,MOD(G497,Assumptions!$B$7)=0),1,0)</f>
        <v>0</v>
      </c>
      <c r="P497" s="13">
        <f t="shared" si="37"/>
        <v>0</v>
      </c>
      <c r="Q497" s="13">
        <f t="shared" si="38"/>
        <v>0</v>
      </c>
      <c r="R497" s="13">
        <f>L497*Assumptions!$B$11+M497*Assumptions!$B$12+N497*Assumptions!$B$13+O497*Assumptions!$B$14+P497*Assumptions!$B$15+Q497*Assumptions!$B$16</f>
        <v>0</v>
      </c>
      <c r="S497" s="13" t="str">
        <f>IF(R497&gt;=Assumptions!$B$20,"High",IF(R497&gt;=Assumptions!$B$21,"Medium",IF(R497&gt;=1,"Low","Clear")))</f>
        <v>Clear</v>
      </c>
      <c r="T497" s="13" t="str">
        <f t="shared" si="39"/>
        <v/>
      </c>
    </row>
    <row r="498" spans="1:20" x14ac:dyDescent="0.35">
      <c r="A498" s="13" t="s">
        <v>2102</v>
      </c>
      <c r="B498" s="13" t="s">
        <v>106</v>
      </c>
      <c r="C498" s="13" t="s">
        <v>107</v>
      </c>
      <c r="D498" s="13" t="s">
        <v>2103</v>
      </c>
      <c r="E498" s="14">
        <v>45862</v>
      </c>
      <c r="F498" s="14">
        <v>45902</v>
      </c>
      <c r="G498" s="15">
        <v>5161.62</v>
      </c>
      <c r="H498" s="13" t="s">
        <v>2104</v>
      </c>
      <c r="I498" s="13" t="s">
        <v>2105</v>
      </c>
      <c r="J498" s="13" t="s">
        <v>136</v>
      </c>
      <c r="K498" s="13">
        <f t="shared" si="35"/>
        <v>5</v>
      </c>
      <c r="L498" s="13">
        <f t="shared" si="36"/>
        <v>0</v>
      </c>
      <c r="M498" s="13">
        <f>IF(AND(L498=0,COUNTIFS($B$2:$B$1534,B498,$G$2:$G$1534,G498,$E$2:$E$1534,"&gt;="&amp;(E498-Assumptions!$B$5),$E$2:$E$1534,"&lt;="&amp;(E498+Assumptions!$B$5))&gt;1),1,0)</f>
        <v>0</v>
      </c>
      <c r="N498" s="13">
        <f>IF(AND(G498&gt;=Assumptions!$B$4*(1-Assumptions!$B$6),G498&lt;Assumptions!$B$4),1,0)</f>
        <v>0</v>
      </c>
      <c r="O498" s="13">
        <f>IF(AND(G498&gt;=Assumptions!$B$7,MOD(G498,Assumptions!$B$7)=0),1,0)</f>
        <v>0</v>
      </c>
      <c r="P498" s="13">
        <f t="shared" si="37"/>
        <v>0</v>
      </c>
      <c r="Q498" s="13">
        <f t="shared" si="38"/>
        <v>0</v>
      </c>
      <c r="R498" s="13">
        <f>L498*Assumptions!$B$11+M498*Assumptions!$B$12+N498*Assumptions!$B$13+O498*Assumptions!$B$14+P498*Assumptions!$B$15+Q498*Assumptions!$B$16</f>
        <v>0</v>
      </c>
      <c r="S498" s="13" t="str">
        <f>IF(R498&gt;=Assumptions!$B$20,"High",IF(R498&gt;=Assumptions!$B$21,"Medium",IF(R498&gt;=1,"Low","Clear")))</f>
        <v>Clear</v>
      </c>
      <c r="T498" s="13" t="str">
        <f t="shared" si="39"/>
        <v/>
      </c>
    </row>
    <row r="499" spans="1:20" x14ac:dyDescent="0.35">
      <c r="A499" s="13" t="s">
        <v>2106</v>
      </c>
      <c r="B499" s="13" t="s">
        <v>307</v>
      </c>
      <c r="C499" s="13" t="s">
        <v>308</v>
      </c>
      <c r="D499" s="13" t="s">
        <v>2107</v>
      </c>
      <c r="E499" s="14">
        <v>45876</v>
      </c>
      <c r="F499" s="14">
        <v>45903</v>
      </c>
      <c r="G499" s="15">
        <v>2106.31</v>
      </c>
      <c r="H499" s="13" t="s">
        <v>2108</v>
      </c>
      <c r="I499" s="13" t="s">
        <v>2109</v>
      </c>
      <c r="J499" s="13" t="s">
        <v>111</v>
      </c>
      <c r="K499" s="13">
        <f t="shared" si="35"/>
        <v>2</v>
      </c>
      <c r="L499" s="13">
        <f t="shared" si="36"/>
        <v>0</v>
      </c>
      <c r="M499" s="13">
        <f>IF(AND(L499=0,COUNTIFS($B$2:$B$1534,B499,$G$2:$G$1534,G499,$E$2:$E$1534,"&gt;="&amp;(E499-Assumptions!$B$5),$E$2:$E$1534,"&lt;="&amp;(E499+Assumptions!$B$5))&gt;1),1,0)</f>
        <v>0</v>
      </c>
      <c r="N499" s="13">
        <f>IF(AND(G499&gt;=Assumptions!$B$4*(1-Assumptions!$B$6),G499&lt;Assumptions!$B$4),1,0)</f>
        <v>0</v>
      </c>
      <c r="O499" s="13">
        <f>IF(AND(G499&gt;=Assumptions!$B$7,MOD(G499,Assumptions!$B$7)=0),1,0)</f>
        <v>0</v>
      </c>
      <c r="P499" s="13">
        <f t="shared" si="37"/>
        <v>0</v>
      </c>
      <c r="Q499" s="13">
        <f t="shared" si="38"/>
        <v>0</v>
      </c>
      <c r="R499" s="13">
        <f>L499*Assumptions!$B$11+M499*Assumptions!$B$12+N499*Assumptions!$B$13+O499*Assumptions!$B$14+P499*Assumptions!$B$15+Q499*Assumptions!$B$16</f>
        <v>0</v>
      </c>
      <c r="S499" s="13" t="str">
        <f>IF(R499&gt;=Assumptions!$B$20,"High",IF(R499&gt;=Assumptions!$B$21,"Medium",IF(R499&gt;=1,"Low","Clear")))</f>
        <v>Clear</v>
      </c>
      <c r="T499" s="13" t="str">
        <f t="shared" si="39"/>
        <v/>
      </c>
    </row>
    <row r="500" spans="1:20" x14ac:dyDescent="0.35">
      <c r="A500" s="13" t="s">
        <v>2110</v>
      </c>
      <c r="B500" s="13" t="s">
        <v>438</v>
      </c>
      <c r="C500" s="13" t="s">
        <v>439</v>
      </c>
      <c r="D500" s="13" t="s">
        <v>2111</v>
      </c>
      <c r="E500" s="14">
        <v>45863</v>
      </c>
      <c r="F500" s="14">
        <v>45903</v>
      </c>
      <c r="G500" s="15">
        <v>2798.78</v>
      </c>
      <c r="H500" s="13" t="s">
        <v>2112</v>
      </c>
      <c r="I500" s="13" t="s">
        <v>2113</v>
      </c>
      <c r="J500" s="13" t="s">
        <v>111</v>
      </c>
      <c r="K500" s="13">
        <f t="shared" si="35"/>
        <v>2</v>
      </c>
      <c r="L500" s="13">
        <f t="shared" si="36"/>
        <v>0</v>
      </c>
      <c r="M500" s="13">
        <f>IF(AND(L500=0,COUNTIFS($B$2:$B$1534,B500,$G$2:$G$1534,G500,$E$2:$E$1534,"&gt;="&amp;(E500-Assumptions!$B$5),$E$2:$E$1534,"&lt;="&amp;(E500+Assumptions!$B$5))&gt;1),1,0)</f>
        <v>0</v>
      </c>
      <c r="N500" s="13">
        <f>IF(AND(G500&gt;=Assumptions!$B$4*(1-Assumptions!$B$6),G500&lt;Assumptions!$B$4),1,0)</f>
        <v>0</v>
      </c>
      <c r="O500" s="13">
        <f>IF(AND(G500&gt;=Assumptions!$B$7,MOD(G500,Assumptions!$B$7)=0),1,0)</f>
        <v>0</v>
      </c>
      <c r="P500" s="13">
        <f t="shared" si="37"/>
        <v>0</v>
      </c>
      <c r="Q500" s="13">
        <f t="shared" si="38"/>
        <v>0</v>
      </c>
      <c r="R500" s="13">
        <f>L500*Assumptions!$B$11+M500*Assumptions!$B$12+N500*Assumptions!$B$13+O500*Assumptions!$B$14+P500*Assumptions!$B$15+Q500*Assumptions!$B$16</f>
        <v>0</v>
      </c>
      <c r="S500" s="13" t="str">
        <f>IF(R500&gt;=Assumptions!$B$20,"High",IF(R500&gt;=Assumptions!$B$21,"Medium",IF(R500&gt;=1,"Low","Clear")))</f>
        <v>Clear</v>
      </c>
      <c r="T500" s="13" t="str">
        <f t="shared" si="39"/>
        <v/>
      </c>
    </row>
    <row r="501" spans="1:20" x14ac:dyDescent="0.35">
      <c r="A501" s="13" t="s">
        <v>2114</v>
      </c>
      <c r="B501" s="13" t="s">
        <v>145</v>
      </c>
      <c r="C501" s="13" t="s">
        <v>146</v>
      </c>
      <c r="D501" s="13" t="s">
        <v>2115</v>
      </c>
      <c r="E501" s="14">
        <v>45866</v>
      </c>
      <c r="F501" s="14">
        <v>45903</v>
      </c>
      <c r="G501" s="15">
        <v>164459.73000000001</v>
      </c>
      <c r="H501" s="13" t="s">
        <v>2116</v>
      </c>
      <c r="I501" s="13" t="s">
        <v>2117</v>
      </c>
      <c r="J501" s="13" t="s">
        <v>98</v>
      </c>
      <c r="K501" s="13">
        <f t="shared" si="35"/>
        <v>1</v>
      </c>
      <c r="L501" s="13">
        <f t="shared" si="36"/>
        <v>0</v>
      </c>
      <c r="M501" s="13">
        <f>IF(AND(L501=0,COUNTIFS($B$2:$B$1534,B501,$G$2:$G$1534,G501,$E$2:$E$1534,"&gt;="&amp;(E501-Assumptions!$B$5),$E$2:$E$1534,"&lt;="&amp;(E501+Assumptions!$B$5))&gt;1),1,0)</f>
        <v>0</v>
      </c>
      <c r="N501" s="13">
        <f>IF(AND(G501&gt;=Assumptions!$B$4*(1-Assumptions!$B$6),G501&lt;Assumptions!$B$4),1,0)</f>
        <v>0</v>
      </c>
      <c r="O501" s="13">
        <f>IF(AND(G501&gt;=Assumptions!$B$7,MOD(G501,Assumptions!$B$7)=0),1,0)</f>
        <v>0</v>
      </c>
      <c r="P501" s="13">
        <f t="shared" si="37"/>
        <v>0</v>
      </c>
      <c r="Q501" s="13">
        <f t="shared" si="38"/>
        <v>0</v>
      </c>
      <c r="R501" s="13">
        <f>L501*Assumptions!$B$11+M501*Assumptions!$B$12+N501*Assumptions!$B$13+O501*Assumptions!$B$14+P501*Assumptions!$B$15+Q501*Assumptions!$B$16</f>
        <v>0</v>
      </c>
      <c r="S501" s="13" t="str">
        <f>IF(R501&gt;=Assumptions!$B$20,"High",IF(R501&gt;=Assumptions!$B$21,"Medium",IF(R501&gt;=1,"Low","Clear")))</f>
        <v>Clear</v>
      </c>
      <c r="T501" s="13" t="str">
        <f t="shared" si="39"/>
        <v/>
      </c>
    </row>
    <row r="502" spans="1:20" x14ac:dyDescent="0.35">
      <c r="A502" s="13" t="s">
        <v>2118</v>
      </c>
      <c r="B502" s="13" t="s">
        <v>182</v>
      </c>
      <c r="C502" s="13" t="s">
        <v>183</v>
      </c>
      <c r="D502" s="13" t="s">
        <v>2119</v>
      </c>
      <c r="E502" s="14">
        <v>45869</v>
      </c>
      <c r="F502" s="14">
        <v>45904</v>
      </c>
      <c r="G502" s="15">
        <v>127839.67</v>
      </c>
      <c r="H502" s="13" t="s">
        <v>2043</v>
      </c>
      <c r="I502" s="13" t="s">
        <v>2044</v>
      </c>
      <c r="J502" s="13" t="s">
        <v>170</v>
      </c>
      <c r="K502" s="13">
        <f t="shared" si="35"/>
        <v>1</v>
      </c>
      <c r="L502" s="13">
        <f t="shared" si="36"/>
        <v>0</v>
      </c>
      <c r="M502" s="13">
        <f>IF(AND(L502=0,COUNTIFS($B$2:$B$1534,B502,$G$2:$G$1534,G502,$E$2:$E$1534,"&gt;="&amp;(E502-Assumptions!$B$5),$E$2:$E$1534,"&lt;="&amp;(E502+Assumptions!$B$5))&gt;1),1,0)</f>
        <v>1</v>
      </c>
      <c r="N502" s="13">
        <f>IF(AND(G502&gt;=Assumptions!$B$4*(1-Assumptions!$B$6),G502&lt;Assumptions!$B$4),1,0)</f>
        <v>0</v>
      </c>
      <c r="O502" s="13">
        <f>IF(AND(G502&gt;=Assumptions!$B$7,MOD(G502,Assumptions!$B$7)=0),1,0)</f>
        <v>0</v>
      </c>
      <c r="P502" s="13">
        <f t="shared" si="37"/>
        <v>0</v>
      </c>
      <c r="Q502" s="13">
        <f t="shared" si="38"/>
        <v>0</v>
      </c>
      <c r="R502" s="13">
        <f>L502*Assumptions!$B$11+M502*Assumptions!$B$12+N502*Assumptions!$B$13+O502*Assumptions!$B$14+P502*Assumptions!$B$15+Q502*Assumptions!$B$16</f>
        <v>3</v>
      </c>
      <c r="S502" s="13" t="str">
        <f>IF(R502&gt;=Assumptions!$B$20,"High",IF(R502&gt;=Assumptions!$B$21,"Medium",IF(R502&gt;=1,"Low","Clear")))</f>
        <v>Medium</v>
      </c>
      <c r="T502" s="13" t="str">
        <f t="shared" si="39"/>
        <v xml:space="preserve">Near-duplicate; </v>
      </c>
    </row>
    <row r="503" spans="1:20" x14ac:dyDescent="0.35">
      <c r="A503" s="13" t="s">
        <v>2120</v>
      </c>
      <c r="B503" s="13" t="s">
        <v>252</v>
      </c>
      <c r="C503" s="13" t="s">
        <v>253</v>
      </c>
      <c r="D503" s="13" t="s">
        <v>2121</v>
      </c>
      <c r="E503" s="14">
        <v>45881</v>
      </c>
      <c r="F503" s="14">
        <v>45904</v>
      </c>
      <c r="G503" s="15">
        <v>8705.7999999999993</v>
      </c>
      <c r="H503" s="13" t="s">
        <v>2122</v>
      </c>
      <c r="I503" s="13" t="s">
        <v>2123</v>
      </c>
      <c r="J503" s="13" t="s">
        <v>170</v>
      </c>
      <c r="K503" s="13">
        <f t="shared" si="35"/>
        <v>8</v>
      </c>
      <c r="L503" s="13">
        <f t="shared" si="36"/>
        <v>0</v>
      </c>
      <c r="M503" s="13">
        <f>IF(AND(L503=0,COUNTIFS($B$2:$B$1534,B503,$G$2:$G$1534,G503,$E$2:$E$1534,"&gt;="&amp;(E503-Assumptions!$B$5),$E$2:$E$1534,"&lt;="&amp;(E503+Assumptions!$B$5))&gt;1),1,0)</f>
        <v>0</v>
      </c>
      <c r="N503" s="13">
        <f>IF(AND(G503&gt;=Assumptions!$B$4*(1-Assumptions!$B$6),G503&lt;Assumptions!$B$4),1,0)</f>
        <v>0</v>
      </c>
      <c r="O503" s="13">
        <f>IF(AND(G503&gt;=Assumptions!$B$7,MOD(G503,Assumptions!$B$7)=0),1,0)</f>
        <v>0</v>
      </c>
      <c r="P503" s="13">
        <f t="shared" si="37"/>
        <v>0</v>
      </c>
      <c r="Q503" s="13">
        <f t="shared" si="38"/>
        <v>0</v>
      </c>
      <c r="R503" s="13">
        <f>L503*Assumptions!$B$11+M503*Assumptions!$B$12+N503*Assumptions!$B$13+O503*Assumptions!$B$14+P503*Assumptions!$B$15+Q503*Assumptions!$B$16</f>
        <v>0</v>
      </c>
      <c r="S503" s="13" t="str">
        <f>IF(R503&gt;=Assumptions!$B$20,"High",IF(R503&gt;=Assumptions!$B$21,"Medium",IF(R503&gt;=1,"Low","Clear")))</f>
        <v>Clear</v>
      </c>
      <c r="T503" s="13" t="str">
        <f t="shared" si="39"/>
        <v/>
      </c>
    </row>
    <row r="504" spans="1:20" x14ac:dyDescent="0.35">
      <c r="A504" s="13" t="s">
        <v>2124</v>
      </c>
      <c r="B504" s="13" t="s">
        <v>234</v>
      </c>
      <c r="C504" s="13" t="s">
        <v>235</v>
      </c>
      <c r="D504" s="13" t="s">
        <v>2125</v>
      </c>
      <c r="E504" s="14">
        <v>45875</v>
      </c>
      <c r="F504" s="14">
        <v>45904</v>
      </c>
      <c r="G504" s="15">
        <v>1901.2</v>
      </c>
      <c r="H504" s="13" t="s">
        <v>2126</v>
      </c>
      <c r="I504" s="13" t="s">
        <v>2127</v>
      </c>
      <c r="J504" s="13" t="s">
        <v>111</v>
      </c>
      <c r="K504" s="13">
        <f t="shared" si="35"/>
        <v>1</v>
      </c>
      <c r="L504" s="13">
        <f t="shared" si="36"/>
        <v>0</v>
      </c>
      <c r="M504" s="13">
        <f>IF(AND(L504=0,COUNTIFS($B$2:$B$1534,B504,$G$2:$G$1534,G504,$E$2:$E$1534,"&gt;="&amp;(E504-Assumptions!$B$5),$E$2:$E$1534,"&lt;="&amp;(E504+Assumptions!$B$5))&gt;1),1,0)</f>
        <v>0</v>
      </c>
      <c r="N504" s="13">
        <f>IF(AND(G504&gt;=Assumptions!$B$4*(1-Assumptions!$B$6),G504&lt;Assumptions!$B$4),1,0)</f>
        <v>0</v>
      </c>
      <c r="O504" s="13">
        <f>IF(AND(G504&gt;=Assumptions!$B$7,MOD(G504,Assumptions!$B$7)=0),1,0)</f>
        <v>0</v>
      </c>
      <c r="P504" s="13">
        <f t="shared" si="37"/>
        <v>0</v>
      </c>
      <c r="Q504" s="13">
        <f t="shared" si="38"/>
        <v>0</v>
      </c>
      <c r="R504" s="13">
        <f>L504*Assumptions!$B$11+M504*Assumptions!$B$12+N504*Assumptions!$B$13+O504*Assumptions!$B$14+P504*Assumptions!$B$15+Q504*Assumptions!$B$16</f>
        <v>0</v>
      </c>
      <c r="S504" s="13" t="str">
        <f>IF(R504&gt;=Assumptions!$B$20,"High",IF(R504&gt;=Assumptions!$B$21,"Medium",IF(R504&gt;=1,"Low","Clear")))</f>
        <v>Clear</v>
      </c>
      <c r="T504" s="13" t="str">
        <f t="shared" si="39"/>
        <v/>
      </c>
    </row>
    <row r="505" spans="1:20" x14ac:dyDescent="0.35">
      <c r="A505" s="13" t="s">
        <v>2128</v>
      </c>
      <c r="B505" s="13" t="s">
        <v>206</v>
      </c>
      <c r="C505" s="13" t="s">
        <v>207</v>
      </c>
      <c r="D505" s="13" t="s">
        <v>2129</v>
      </c>
      <c r="E505" s="14">
        <v>45879</v>
      </c>
      <c r="F505" s="14">
        <v>45904</v>
      </c>
      <c r="G505" s="15">
        <v>219884.14</v>
      </c>
      <c r="H505" s="13" t="s">
        <v>2130</v>
      </c>
      <c r="I505" s="13" t="s">
        <v>2131</v>
      </c>
      <c r="J505" s="13" t="s">
        <v>98</v>
      </c>
      <c r="K505" s="13">
        <f t="shared" si="35"/>
        <v>2</v>
      </c>
      <c r="L505" s="13">
        <f t="shared" si="36"/>
        <v>0</v>
      </c>
      <c r="M505" s="13">
        <f>IF(AND(L505=0,COUNTIFS($B$2:$B$1534,B505,$G$2:$G$1534,G505,$E$2:$E$1534,"&gt;="&amp;(E505-Assumptions!$B$5),$E$2:$E$1534,"&lt;="&amp;(E505+Assumptions!$B$5))&gt;1),1,0)</f>
        <v>0</v>
      </c>
      <c r="N505" s="13">
        <f>IF(AND(G505&gt;=Assumptions!$B$4*(1-Assumptions!$B$6),G505&lt;Assumptions!$B$4),1,0)</f>
        <v>0</v>
      </c>
      <c r="O505" s="13">
        <f>IF(AND(G505&gt;=Assumptions!$B$7,MOD(G505,Assumptions!$B$7)=0),1,0)</f>
        <v>0</v>
      </c>
      <c r="P505" s="13">
        <f t="shared" si="37"/>
        <v>0</v>
      </c>
      <c r="Q505" s="13">
        <f t="shared" si="38"/>
        <v>0</v>
      </c>
      <c r="R505" s="13">
        <f>L505*Assumptions!$B$11+M505*Assumptions!$B$12+N505*Assumptions!$B$13+O505*Assumptions!$B$14+P505*Assumptions!$B$15+Q505*Assumptions!$B$16</f>
        <v>0</v>
      </c>
      <c r="S505" s="13" t="str">
        <f>IF(R505&gt;=Assumptions!$B$20,"High",IF(R505&gt;=Assumptions!$B$21,"Medium",IF(R505&gt;=1,"Low","Clear")))</f>
        <v>Clear</v>
      </c>
      <c r="T505" s="13" t="str">
        <f t="shared" si="39"/>
        <v/>
      </c>
    </row>
    <row r="506" spans="1:20" x14ac:dyDescent="0.35">
      <c r="A506" s="13" t="s">
        <v>2132</v>
      </c>
      <c r="B506" s="13" t="s">
        <v>317</v>
      </c>
      <c r="C506" s="13" t="s">
        <v>318</v>
      </c>
      <c r="D506" s="13" t="s">
        <v>2133</v>
      </c>
      <c r="E506" s="14">
        <v>45882</v>
      </c>
      <c r="F506" s="14">
        <v>45904</v>
      </c>
      <c r="G506" s="15">
        <v>15688.49</v>
      </c>
      <c r="H506" s="13" t="s">
        <v>2134</v>
      </c>
      <c r="I506" s="13" t="s">
        <v>2135</v>
      </c>
      <c r="J506" s="13" t="s">
        <v>143</v>
      </c>
      <c r="K506" s="13">
        <f t="shared" si="35"/>
        <v>1</v>
      </c>
      <c r="L506" s="13">
        <f t="shared" si="36"/>
        <v>0</v>
      </c>
      <c r="M506" s="13">
        <f>IF(AND(L506=0,COUNTIFS($B$2:$B$1534,B506,$G$2:$G$1534,G506,$E$2:$E$1534,"&gt;="&amp;(E506-Assumptions!$B$5),$E$2:$E$1534,"&lt;="&amp;(E506+Assumptions!$B$5))&gt;1),1,0)</f>
        <v>0</v>
      </c>
      <c r="N506" s="13">
        <f>IF(AND(G506&gt;=Assumptions!$B$4*(1-Assumptions!$B$6),G506&lt;Assumptions!$B$4),1,0)</f>
        <v>0</v>
      </c>
      <c r="O506" s="13">
        <f>IF(AND(G506&gt;=Assumptions!$B$7,MOD(G506,Assumptions!$B$7)=0),1,0)</f>
        <v>0</v>
      </c>
      <c r="P506" s="13">
        <f t="shared" si="37"/>
        <v>0</v>
      </c>
      <c r="Q506" s="13">
        <f t="shared" si="38"/>
        <v>0</v>
      </c>
      <c r="R506" s="13">
        <f>L506*Assumptions!$B$11+M506*Assumptions!$B$12+N506*Assumptions!$B$13+O506*Assumptions!$B$14+P506*Assumptions!$B$15+Q506*Assumptions!$B$16</f>
        <v>0</v>
      </c>
      <c r="S506" s="13" t="str">
        <f>IF(R506&gt;=Assumptions!$B$20,"High",IF(R506&gt;=Assumptions!$B$21,"Medium",IF(R506&gt;=1,"Low","Clear")))</f>
        <v>Clear</v>
      </c>
      <c r="T506" s="13" t="str">
        <f t="shared" si="39"/>
        <v/>
      </c>
    </row>
    <row r="507" spans="1:20" x14ac:dyDescent="0.35">
      <c r="A507" s="13" t="s">
        <v>2136</v>
      </c>
      <c r="B507" s="13" t="s">
        <v>188</v>
      </c>
      <c r="C507" s="13" t="s">
        <v>189</v>
      </c>
      <c r="D507" s="13" t="s">
        <v>2137</v>
      </c>
      <c r="E507" s="14">
        <v>45869</v>
      </c>
      <c r="F507" s="14">
        <v>45905</v>
      </c>
      <c r="G507" s="15">
        <v>286781.65000000002</v>
      </c>
      <c r="H507" s="13" t="s">
        <v>2138</v>
      </c>
      <c r="I507" s="13" t="s">
        <v>2139</v>
      </c>
      <c r="J507" s="13" t="s">
        <v>98</v>
      </c>
      <c r="K507" s="13">
        <f t="shared" si="35"/>
        <v>2</v>
      </c>
      <c r="L507" s="13">
        <f t="shared" si="36"/>
        <v>0</v>
      </c>
      <c r="M507" s="13">
        <f>IF(AND(L507=0,COUNTIFS($B$2:$B$1534,B507,$G$2:$G$1534,G507,$E$2:$E$1534,"&gt;="&amp;(E507-Assumptions!$B$5),$E$2:$E$1534,"&lt;="&amp;(E507+Assumptions!$B$5))&gt;1),1,0)</f>
        <v>0</v>
      </c>
      <c r="N507" s="13">
        <f>IF(AND(G507&gt;=Assumptions!$B$4*(1-Assumptions!$B$6),G507&lt;Assumptions!$B$4),1,0)</f>
        <v>0</v>
      </c>
      <c r="O507" s="13">
        <f>IF(AND(G507&gt;=Assumptions!$B$7,MOD(G507,Assumptions!$B$7)=0),1,0)</f>
        <v>0</v>
      </c>
      <c r="P507" s="13">
        <f t="shared" si="37"/>
        <v>0</v>
      </c>
      <c r="Q507" s="13">
        <f t="shared" si="38"/>
        <v>0</v>
      </c>
      <c r="R507" s="13">
        <f>L507*Assumptions!$B$11+M507*Assumptions!$B$12+N507*Assumptions!$B$13+O507*Assumptions!$B$14+P507*Assumptions!$B$15+Q507*Assumptions!$B$16</f>
        <v>0</v>
      </c>
      <c r="S507" s="13" t="str">
        <f>IF(R507&gt;=Assumptions!$B$20,"High",IF(R507&gt;=Assumptions!$B$21,"Medium",IF(R507&gt;=1,"Low","Clear")))</f>
        <v>Clear</v>
      </c>
      <c r="T507" s="13" t="str">
        <f t="shared" si="39"/>
        <v/>
      </c>
    </row>
    <row r="508" spans="1:20" x14ac:dyDescent="0.35">
      <c r="A508" s="13" t="s">
        <v>2140</v>
      </c>
      <c r="B508" s="13" t="s">
        <v>252</v>
      </c>
      <c r="C508" s="13" t="s">
        <v>253</v>
      </c>
      <c r="D508" s="13" t="s">
        <v>2141</v>
      </c>
      <c r="E508" s="14">
        <v>45878</v>
      </c>
      <c r="F508" s="14">
        <v>45905</v>
      </c>
      <c r="G508" s="15">
        <v>64039.51</v>
      </c>
      <c r="H508" s="13" t="s">
        <v>2142</v>
      </c>
      <c r="I508" s="13" t="s">
        <v>2143</v>
      </c>
      <c r="J508" s="13" t="s">
        <v>111</v>
      </c>
      <c r="K508" s="13">
        <f t="shared" si="35"/>
        <v>6</v>
      </c>
      <c r="L508" s="13">
        <f t="shared" si="36"/>
        <v>0</v>
      </c>
      <c r="M508" s="13">
        <f>IF(AND(L508=0,COUNTIFS($B$2:$B$1534,B508,$G$2:$G$1534,G508,$E$2:$E$1534,"&gt;="&amp;(E508-Assumptions!$B$5),$E$2:$E$1534,"&lt;="&amp;(E508+Assumptions!$B$5))&gt;1),1,0)</f>
        <v>0</v>
      </c>
      <c r="N508" s="13">
        <f>IF(AND(G508&gt;=Assumptions!$B$4*(1-Assumptions!$B$6),G508&lt;Assumptions!$B$4),1,0)</f>
        <v>0</v>
      </c>
      <c r="O508" s="13">
        <f>IF(AND(G508&gt;=Assumptions!$B$7,MOD(G508,Assumptions!$B$7)=0),1,0)</f>
        <v>0</v>
      </c>
      <c r="P508" s="13">
        <f t="shared" si="37"/>
        <v>0</v>
      </c>
      <c r="Q508" s="13">
        <f t="shared" si="38"/>
        <v>0</v>
      </c>
      <c r="R508" s="13">
        <f>L508*Assumptions!$B$11+M508*Assumptions!$B$12+N508*Assumptions!$B$13+O508*Assumptions!$B$14+P508*Assumptions!$B$15+Q508*Assumptions!$B$16</f>
        <v>0</v>
      </c>
      <c r="S508" s="13" t="str">
        <f>IF(R508&gt;=Assumptions!$B$20,"High",IF(R508&gt;=Assumptions!$B$21,"Medium",IF(R508&gt;=1,"Low","Clear")))</f>
        <v>Clear</v>
      </c>
      <c r="T508" s="13" t="str">
        <f t="shared" si="39"/>
        <v/>
      </c>
    </row>
    <row r="509" spans="1:20" x14ac:dyDescent="0.35">
      <c r="A509" s="13" t="s">
        <v>2144</v>
      </c>
      <c r="B509" s="13" t="s">
        <v>680</v>
      </c>
      <c r="C509" s="13" t="s">
        <v>681</v>
      </c>
      <c r="D509" s="13" t="s">
        <v>2145</v>
      </c>
      <c r="E509" s="14">
        <v>45883</v>
      </c>
      <c r="F509" s="14">
        <v>45905</v>
      </c>
      <c r="G509" s="15">
        <v>2959.18</v>
      </c>
      <c r="H509" s="13" t="s">
        <v>2146</v>
      </c>
      <c r="I509" s="13" t="s">
        <v>2147</v>
      </c>
      <c r="J509" s="13" t="s">
        <v>111</v>
      </c>
      <c r="K509" s="13">
        <f t="shared" si="35"/>
        <v>2</v>
      </c>
      <c r="L509" s="13">
        <f t="shared" si="36"/>
        <v>0</v>
      </c>
      <c r="M509" s="13">
        <f>IF(AND(L509=0,COUNTIFS($B$2:$B$1534,B509,$G$2:$G$1534,G509,$E$2:$E$1534,"&gt;="&amp;(E509-Assumptions!$B$5),$E$2:$E$1534,"&lt;="&amp;(E509+Assumptions!$B$5))&gt;1),1,0)</f>
        <v>0</v>
      </c>
      <c r="N509" s="13">
        <f>IF(AND(G509&gt;=Assumptions!$B$4*(1-Assumptions!$B$6),G509&lt;Assumptions!$B$4),1,0)</f>
        <v>0</v>
      </c>
      <c r="O509" s="13">
        <f>IF(AND(G509&gt;=Assumptions!$B$7,MOD(G509,Assumptions!$B$7)=0),1,0)</f>
        <v>0</v>
      </c>
      <c r="P509" s="13">
        <f t="shared" si="37"/>
        <v>0</v>
      </c>
      <c r="Q509" s="13">
        <f t="shared" si="38"/>
        <v>0</v>
      </c>
      <c r="R509" s="13">
        <f>L509*Assumptions!$B$11+M509*Assumptions!$B$12+N509*Assumptions!$B$13+O509*Assumptions!$B$14+P509*Assumptions!$B$15+Q509*Assumptions!$B$16</f>
        <v>0</v>
      </c>
      <c r="S509" s="13" t="str">
        <f>IF(R509&gt;=Assumptions!$B$20,"High",IF(R509&gt;=Assumptions!$B$21,"Medium",IF(R509&gt;=1,"Low","Clear")))</f>
        <v>Clear</v>
      </c>
      <c r="T509" s="13" t="str">
        <f t="shared" si="39"/>
        <v/>
      </c>
    </row>
    <row r="510" spans="1:20" x14ac:dyDescent="0.35">
      <c r="A510" s="13" t="s">
        <v>2148</v>
      </c>
      <c r="B510" s="13" t="s">
        <v>357</v>
      </c>
      <c r="C510" s="13" t="s">
        <v>358</v>
      </c>
      <c r="D510" s="13" t="s">
        <v>2149</v>
      </c>
      <c r="E510" s="14">
        <v>45880</v>
      </c>
      <c r="F510" s="14">
        <v>45905</v>
      </c>
      <c r="G510" s="15">
        <v>44227.28</v>
      </c>
      <c r="H510" s="13" t="s">
        <v>2150</v>
      </c>
      <c r="I510" s="13" t="s">
        <v>2151</v>
      </c>
      <c r="J510" s="13" t="s">
        <v>98</v>
      </c>
      <c r="K510" s="13">
        <f t="shared" si="35"/>
        <v>4</v>
      </c>
      <c r="L510" s="13">
        <f t="shared" si="36"/>
        <v>0</v>
      </c>
      <c r="M510" s="13">
        <f>IF(AND(L510=0,COUNTIFS($B$2:$B$1534,B510,$G$2:$G$1534,G510,$E$2:$E$1534,"&gt;="&amp;(E510-Assumptions!$B$5),$E$2:$E$1534,"&lt;="&amp;(E510+Assumptions!$B$5))&gt;1),1,0)</f>
        <v>0</v>
      </c>
      <c r="N510" s="13">
        <f>IF(AND(G510&gt;=Assumptions!$B$4*(1-Assumptions!$B$6),G510&lt;Assumptions!$B$4),1,0)</f>
        <v>0</v>
      </c>
      <c r="O510" s="13">
        <f>IF(AND(G510&gt;=Assumptions!$B$7,MOD(G510,Assumptions!$B$7)=0),1,0)</f>
        <v>0</v>
      </c>
      <c r="P510" s="13">
        <f t="shared" si="37"/>
        <v>0</v>
      </c>
      <c r="Q510" s="13">
        <f t="shared" si="38"/>
        <v>0</v>
      </c>
      <c r="R510" s="13">
        <f>L510*Assumptions!$B$11+M510*Assumptions!$B$12+N510*Assumptions!$B$13+O510*Assumptions!$B$14+P510*Assumptions!$B$15+Q510*Assumptions!$B$16</f>
        <v>0</v>
      </c>
      <c r="S510" s="13" t="str">
        <f>IF(R510&gt;=Assumptions!$B$20,"High",IF(R510&gt;=Assumptions!$B$21,"Medium",IF(R510&gt;=1,"Low","Clear")))</f>
        <v>Clear</v>
      </c>
      <c r="T510" s="13" t="str">
        <f t="shared" si="39"/>
        <v/>
      </c>
    </row>
    <row r="511" spans="1:20" x14ac:dyDescent="0.35">
      <c r="A511" s="13" t="s">
        <v>2152</v>
      </c>
      <c r="B511" s="13" t="s">
        <v>176</v>
      </c>
      <c r="C511" s="13" t="s">
        <v>177</v>
      </c>
      <c r="D511" s="13" t="s">
        <v>2153</v>
      </c>
      <c r="E511" s="14">
        <v>45873</v>
      </c>
      <c r="F511" s="14">
        <v>45908</v>
      </c>
      <c r="G511" s="15">
        <v>10567.21</v>
      </c>
      <c r="H511" s="13" t="s">
        <v>2154</v>
      </c>
      <c r="I511" s="13" t="s">
        <v>2155</v>
      </c>
      <c r="J511" s="13" t="s">
        <v>111</v>
      </c>
      <c r="K511" s="13">
        <f t="shared" si="35"/>
        <v>1</v>
      </c>
      <c r="L511" s="13">
        <f t="shared" si="36"/>
        <v>0</v>
      </c>
      <c r="M511" s="13">
        <f>IF(AND(L511=0,COUNTIFS($B$2:$B$1534,B511,$G$2:$G$1534,G511,$E$2:$E$1534,"&gt;="&amp;(E511-Assumptions!$B$5),$E$2:$E$1534,"&lt;="&amp;(E511+Assumptions!$B$5))&gt;1),1,0)</f>
        <v>0</v>
      </c>
      <c r="N511" s="13">
        <f>IF(AND(G511&gt;=Assumptions!$B$4*(1-Assumptions!$B$6),G511&lt;Assumptions!$B$4),1,0)</f>
        <v>0</v>
      </c>
      <c r="O511" s="13">
        <f>IF(AND(G511&gt;=Assumptions!$B$7,MOD(G511,Assumptions!$B$7)=0),1,0)</f>
        <v>0</v>
      </c>
      <c r="P511" s="13">
        <f t="shared" si="37"/>
        <v>0</v>
      </c>
      <c r="Q511" s="13">
        <f t="shared" si="38"/>
        <v>0</v>
      </c>
      <c r="R511" s="13">
        <f>L511*Assumptions!$B$11+M511*Assumptions!$B$12+N511*Assumptions!$B$13+O511*Assumptions!$B$14+P511*Assumptions!$B$15+Q511*Assumptions!$B$16</f>
        <v>0</v>
      </c>
      <c r="S511" s="13" t="str">
        <f>IF(R511&gt;=Assumptions!$B$20,"High",IF(R511&gt;=Assumptions!$B$21,"Medium",IF(R511&gt;=1,"Low","Clear")))</f>
        <v>Clear</v>
      </c>
      <c r="T511" s="13" t="str">
        <f t="shared" si="39"/>
        <v/>
      </c>
    </row>
    <row r="512" spans="1:20" x14ac:dyDescent="0.35">
      <c r="A512" s="13" t="s">
        <v>2156</v>
      </c>
      <c r="B512" s="13" t="s">
        <v>293</v>
      </c>
      <c r="C512" s="13" t="s">
        <v>294</v>
      </c>
      <c r="D512" s="13" t="s">
        <v>2157</v>
      </c>
      <c r="E512" s="14">
        <v>45873</v>
      </c>
      <c r="F512" s="14">
        <v>45908</v>
      </c>
      <c r="G512" s="15">
        <v>68205.899999999994</v>
      </c>
      <c r="H512" s="13" t="s">
        <v>2158</v>
      </c>
      <c r="I512" s="13" t="s">
        <v>2159</v>
      </c>
      <c r="J512" s="13" t="s">
        <v>98</v>
      </c>
      <c r="K512" s="13">
        <f t="shared" si="35"/>
        <v>6</v>
      </c>
      <c r="L512" s="13">
        <f t="shared" si="36"/>
        <v>0</v>
      </c>
      <c r="M512" s="13">
        <f>IF(AND(L512=0,COUNTIFS($B$2:$B$1534,B512,$G$2:$G$1534,G512,$E$2:$E$1534,"&gt;="&amp;(E512-Assumptions!$B$5),$E$2:$E$1534,"&lt;="&amp;(E512+Assumptions!$B$5))&gt;1),1,0)</f>
        <v>0</v>
      </c>
      <c r="N512" s="13">
        <f>IF(AND(G512&gt;=Assumptions!$B$4*(1-Assumptions!$B$6),G512&lt;Assumptions!$B$4),1,0)</f>
        <v>0</v>
      </c>
      <c r="O512" s="13">
        <f>IF(AND(G512&gt;=Assumptions!$B$7,MOD(G512,Assumptions!$B$7)=0),1,0)</f>
        <v>0</v>
      </c>
      <c r="P512" s="13">
        <f t="shared" si="37"/>
        <v>0</v>
      </c>
      <c r="Q512" s="13">
        <f t="shared" si="38"/>
        <v>0</v>
      </c>
      <c r="R512" s="13">
        <f>L512*Assumptions!$B$11+M512*Assumptions!$B$12+N512*Assumptions!$B$13+O512*Assumptions!$B$14+P512*Assumptions!$B$15+Q512*Assumptions!$B$16</f>
        <v>0</v>
      </c>
      <c r="S512" s="13" t="str">
        <f>IF(R512&gt;=Assumptions!$B$20,"High",IF(R512&gt;=Assumptions!$B$21,"Medium",IF(R512&gt;=1,"Low","Clear")))</f>
        <v>Clear</v>
      </c>
      <c r="T512" s="13" t="str">
        <f t="shared" si="39"/>
        <v/>
      </c>
    </row>
    <row r="513" spans="1:20" x14ac:dyDescent="0.35">
      <c r="A513" s="13" t="s">
        <v>2160</v>
      </c>
      <c r="B513" s="13" t="s">
        <v>188</v>
      </c>
      <c r="C513" s="13" t="s">
        <v>189</v>
      </c>
      <c r="D513" s="13" t="s">
        <v>2161</v>
      </c>
      <c r="E513" s="14">
        <v>45867</v>
      </c>
      <c r="F513" s="14">
        <v>45908</v>
      </c>
      <c r="G513" s="15">
        <v>4533.43</v>
      </c>
      <c r="H513" s="13" t="s">
        <v>2162</v>
      </c>
      <c r="I513" s="13" t="s">
        <v>2163</v>
      </c>
      <c r="J513" s="13" t="s">
        <v>111</v>
      </c>
      <c r="K513" s="13">
        <f t="shared" si="35"/>
        <v>4</v>
      </c>
      <c r="L513" s="13">
        <f t="shared" si="36"/>
        <v>0</v>
      </c>
      <c r="M513" s="13">
        <f>IF(AND(L513=0,COUNTIFS($B$2:$B$1534,B513,$G$2:$G$1534,G513,$E$2:$E$1534,"&gt;="&amp;(E513-Assumptions!$B$5),$E$2:$E$1534,"&lt;="&amp;(E513+Assumptions!$B$5))&gt;1),1,0)</f>
        <v>0</v>
      </c>
      <c r="N513" s="13">
        <f>IF(AND(G513&gt;=Assumptions!$B$4*(1-Assumptions!$B$6),G513&lt;Assumptions!$B$4),1,0)</f>
        <v>0</v>
      </c>
      <c r="O513" s="13">
        <f>IF(AND(G513&gt;=Assumptions!$B$7,MOD(G513,Assumptions!$B$7)=0),1,0)</f>
        <v>0</v>
      </c>
      <c r="P513" s="13">
        <f t="shared" si="37"/>
        <v>0</v>
      </c>
      <c r="Q513" s="13">
        <f t="shared" si="38"/>
        <v>0</v>
      </c>
      <c r="R513" s="13">
        <f>L513*Assumptions!$B$11+M513*Assumptions!$B$12+N513*Assumptions!$B$13+O513*Assumptions!$B$14+P513*Assumptions!$B$15+Q513*Assumptions!$B$16</f>
        <v>0</v>
      </c>
      <c r="S513" s="13" t="str">
        <f>IF(R513&gt;=Assumptions!$B$20,"High",IF(R513&gt;=Assumptions!$B$21,"Medium",IF(R513&gt;=1,"Low","Clear")))</f>
        <v>Clear</v>
      </c>
      <c r="T513" s="13" t="str">
        <f t="shared" si="39"/>
        <v/>
      </c>
    </row>
    <row r="514" spans="1:20" x14ac:dyDescent="0.35">
      <c r="A514" s="13" t="s">
        <v>2164</v>
      </c>
      <c r="B514" s="13" t="s">
        <v>409</v>
      </c>
      <c r="C514" s="13" t="s">
        <v>410</v>
      </c>
      <c r="D514" s="13" t="s">
        <v>2165</v>
      </c>
      <c r="E514" s="14">
        <v>45876</v>
      </c>
      <c r="F514" s="14">
        <v>45908</v>
      </c>
      <c r="G514" s="15">
        <v>118891.9</v>
      </c>
      <c r="H514" s="13" t="s">
        <v>2166</v>
      </c>
      <c r="I514" s="13" t="s">
        <v>2167</v>
      </c>
      <c r="J514" s="13" t="s">
        <v>136</v>
      </c>
      <c r="K514" s="13">
        <f t="shared" ref="K514:K577" si="40">VALUE(LEFT(TEXT(G514,"0"),1))</f>
        <v>1</v>
      </c>
      <c r="L514" s="13">
        <f t="shared" ref="L514:L577" si="41">IF(COUNTIFS($B$2:$B$1534,B514,$D$2:$D$1534,D514)&gt;1,1,0)</f>
        <v>0</v>
      </c>
      <c r="M514" s="13">
        <f>IF(AND(L514=0,COUNTIFS($B$2:$B$1534,B514,$G$2:$G$1534,G514,$E$2:$E$1534,"&gt;="&amp;(E514-Assumptions!$B$5),$E$2:$E$1534,"&lt;="&amp;(E514+Assumptions!$B$5))&gt;1),1,0)</f>
        <v>0</v>
      </c>
      <c r="N514" s="13">
        <f>IF(AND(G514&gt;=Assumptions!$B$4*(1-Assumptions!$B$6),G514&lt;Assumptions!$B$4),1,0)</f>
        <v>0</v>
      </c>
      <c r="O514" s="13">
        <f>IF(AND(G514&gt;=Assumptions!$B$7,MOD(G514,Assumptions!$B$7)=0),1,0)</f>
        <v>0</v>
      </c>
      <c r="P514" s="13">
        <f t="shared" ref="P514:P577" si="42">IF(OR(H514="",I514=""),1,0)</f>
        <v>0</v>
      </c>
      <c r="Q514" s="13">
        <f t="shared" ref="Q514:Q577" si="43">IF(WEEKDAY(F514,2)&gt;5,1,0)</f>
        <v>0</v>
      </c>
      <c r="R514" s="13">
        <f>L514*Assumptions!$B$11+M514*Assumptions!$B$12+N514*Assumptions!$B$13+O514*Assumptions!$B$14+P514*Assumptions!$B$15+Q514*Assumptions!$B$16</f>
        <v>0</v>
      </c>
      <c r="S514" s="13" t="str">
        <f>IF(R514&gt;=Assumptions!$B$20,"High",IF(R514&gt;=Assumptions!$B$21,"Medium",IF(R514&gt;=1,"Low","Clear")))</f>
        <v>Clear</v>
      </c>
      <c r="T514" s="13" t="str">
        <f t="shared" ref="T514:T577" si="44">IF(R514=0,"",IF(L514=1,"Duplicate invoice; ","")&amp;IF(M514=1,"Near-duplicate; ","")&amp;IF(N514=1,"Just below limit; ","")&amp;IF(O514=1,"Round amount; ","")&amp;IF(P514=1,"No PO/GRN; ","")&amp;IF(Q514=1,"Weekend payment; ",""))</f>
        <v/>
      </c>
    </row>
    <row r="515" spans="1:20" x14ac:dyDescent="0.35">
      <c r="A515" s="13" t="s">
        <v>2168</v>
      </c>
      <c r="B515" s="13" t="s">
        <v>409</v>
      </c>
      <c r="C515" s="13" t="s">
        <v>410</v>
      </c>
      <c r="D515" s="13" t="s">
        <v>2169</v>
      </c>
      <c r="E515" s="14">
        <v>45869</v>
      </c>
      <c r="F515" s="14">
        <v>45908</v>
      </c>
      <c r="G515" s="15">
        <v>2327.1799999999998</v>
      </c>
      <c r="H515" s="13" t="s">
        <v>2170</v>
      </c>
      <c r="I515" s="13" t="s">
        <v>2171</v>
      </c>
      <c r="J515" s="13" t="s">
        <v>91</v>
      </c>
      <c r="K515" s="13">
        <f t="shared" si="40"/>
        <v>2</v>
      </c>
      <c r="L515" s="13">
        <f t="shared" si="41"/>
        <v>0</v>
      </c>
      <c r="M515" s="13">
        <f>IF(AND(L515=0,COUNTIFS($B$2:$B$1534,B515,$G$2:$G$1534,G515,$E$2:$E$1534,"&gt;="&amp;(E515-Assumptions!$B$5),$E$2:$E$1534,"&lt;="&amp;(E515+Assumptions!$B$5))&gt;1),1,0)</f>
        <v>0</v>
      </c>
      <c r="N515" s="13">
        <f>IF(AND(G515&gt;=Assumptions!$B$4*(1-Assumptions!$B$6),G515&lt;Assumptions!$B$4),1,0)</f>
        <v>0</v>
      </c>
      <c r="O515" s="13">
        <f>IF(AND(G515&gt;=Assumptions!$B$7,MOD(G515,Assumptions!$B$7)=0),1,0)</f>
        <v>0</v>
      </c>
      <c r="P515" s="13">
        <f t="shared" si="42"/>
        <v>0</v>
      </c>
      <c r="Q515" s="13">
        <f t="shared" si="43"/>
        <v>0</v>
      </c>
      <c r="R515" s="13">
        <f>L515*Assumptions!$B$11+M515*Assumptions!$B$12+N515*Assumptions!$B$13+O515*Assumptions!$B$14+P515*Assumptions!$B$15+Q515*Assumptions!$B$16</f>
        <v>0</v>
      </c>
      <c r="S515" s="13" t="str">
        <f>IF(R515&gt;=Assumptions!$B$20,"High",IF(R515&gt;=Assumptions!$B$21,"Medium",IF(R515&gt;=1,"Low","Clear")))</f>
        <v>Clear</v>
      </c>
      <c r="T515" s="13" t="str">
        <f t="shared" si="44"/>
        <v/>
      </c>
    </row>
    <row r="516" spans="1:20" x14ac:dyDescent="0.35">
      <c r="A516" s="13" t="s">
        <v>2172</v>
      </c>
      <c r="B516" s="13" t="s">
        <v>670</v>
      </c>
      <c r="C516" s="13" t="s">
        <v>671</v>
      </c>
      <c r="D516" s="13" t="s">
        <v>2173</v>
      </c>
      <c r="E516" s="14">
        <v>45871</v>
      </c>
      <c r="F516" s="14">
        <v>45908</v>
      </c>
      <c r="G516" s="15">
        <v>82081.820000000007</v>
      </c>
      <c r="H516" s="13" t="s">
        <v>2174</v>
      </c>
      <c r="I516" s="13" t="s">
        <v>2175</v>
      </c>
      <c r="J516" s="13" t="s">
        <v>111</v>
      </c>
      <c r="K516" s="13">
        <f t="shared" si="40"/>
        <v>8</v>
      </c>
      <c r="L516" s="13">
        <f t="shared" si="41"/>
        <v>0</v>
      </c>
      <c r="M516" s="13">
        <f>IF(AND(L516=0,COUNTIFS($B$2:$B$1534,B516,$G$2:$G$1534,G516,$E$2:$E$1534,"&gt;="&amp;(E516-Assumptions!$B$5),$E$2:$E$1534,"&lt;="&amp;(E516+Assumptions!$B$5))&gt;1),1,0)</f>
        <v>0</v>
      </c>
      <c r="N516" s="13">
        <f>IF(AND(G516&gt;=Assumptions!$B$4*(1-Assumptions!$B$6),G516&lt;Assumptions!$B$4),1,0)</f>
        <v>0</v>
      </c>
      <c r="O516" s="13">
        <f>IF(AND(G516&gt;=Assumptions!$B$7,MOD(G516,Assumptions!$B$7)=0),1,0)</f>
        <v>0</v>
      </c>
      <c r="P516" s="13">
        <f t="shared" si="42"/>
        <v>0</v>
      </c>
      <c r="Q516" s="13">
        <f t="shared" si="43"/>
        <v>0</v>
      </c>
      <c r="R516" s="13">
        <f>L516*Assumptions!$B$11+M516*Assumptions!$B$12+N516*Assumptions!$B$13+O516*Assumptions!$B$14+P516*Assumptions!$B$15+Q516*Assumptions!$B$16</f>
        <v>0</v>
      </c>
      <c r="S516" s="13" t="str">
        <f>IF(R516&gt;=Assumptions!$B$20,"High",IF(R516&gt;=Assumptions!$B$21,"Medium",IF(R516&gt;=1,"Low","Clear")))</f>
        <v>Clear</v>
      </c>
      <c r="T516" s="13" t="str">
        <f t="shared" si="44"/>
        <v/>
      </c>
    </row>
    <row r="517" spans="1:20" x14ac:dyDescent="0.35">
      <c r="A517" s="13" t="s">
        <v>2176</v>
      </c>
      <c r="B517" s="13" t="s">
        <v>200</v>
      </c>
      <c r="C517" s="13" t="s">
        <v>201</v>
      </c>
      <c r="D517" s="13" t="s">
        <v>2177</v>
      </c>
      <c r="E517" s="14">
        <v>45869</v>
      </c>
      <c r="F517" s="14">
        <v>45908</v>
      </c>
      <c r="G517" s="15">
        <v>8995.25</v>
      </c>
      <c r="H517" s="13"/>
      <c r="I517" s="13"/>
      <c r="J517" s="13" t="s">
        <v>91</v>
      </c>
      <c r="K517" s="13">
        <f t="shared" si="40"/>
        <v>8</v>
      </c>
      <c r="L517" s="13">
        <f t="shared" si="41"/>
        <v>0</v>
      </c>
      <c r="M517" s="13">
        <f>IF(AND(L517=0,COUNTIFS($B$2:$B$1534,B517,$G$2:$G$1534,G517,$E$2:$E$1534,"&gt;="&amp;(E517-Assumptions!$B$5),$E$2:$E$1534,"&lt;="&amp;(E517+Assumptions!$B$5))&gt;1),1,0)</f>
        <v>0</v>
      </c>
      <c r="N517" s="13">
        <f>IF(AND(G517&gt;=Assumptions!$B$4*(1-Assumptions!$B$6),G517&lt;Assumptions!$B$4),1,0)</f>
        <v>0</v>
      </c>
      <c r="O517" s="13">
        <f>IF(AND(G517&gt;=Assumptions!$B$7,MOD(G517,Assumptions!$B$7)=0),1,0)</f>
        <v>0</v>
      </c>
      <c r="P517" s="13">
        <f t="shared" si="42"/>
        <v>1</v>
      </c>
      <c r="Q517" s="13">
        <f t="shared" si="43"/>
        <v>0</v>
      </c>
      <c r="R517" s="13">
        <f>L517*Assumptions!$B$11+M517*Assumptions!$B$12+N517*Assumptions!$B$13+O517*Assumptions!$B$14+P517*Assumptions!$B$15+Q517*Assumptions!$B$16</f>
        <v>4</v>
      </c>
      <c r="S517" s="13" t="str">
        <f>IF(R517&gt;=Assumptions!$B$20,"High",IF(R517&gt;=Assumptions!$B$21,"Medium",IF(R517&gt;=1,"Low","Clear")))</f>
        <v>Medium</v>
      </c>
      <c r="T517" s="13" t="str">
        <f t="shared" si="44"/>
        <v xml:space="preserve">No PO/GRN; </v>
      </c>
    </row>
    <row r="518" spans="1:20" x14ac:dyDescent="0.35">
      <c r="A518" s="13" t="s">
        <v>2178</v>
      </c>
      <c r="B518" s="13" t="s">
        <v>93</v>
      </c>
      <c r="C518" s="13" t="s">
        <v>94</v>
      </c>
      <c r="D518" s="13" t="s">
        <v>2179</v>
      </c>
      <c r="E518" s="14">
        <v>45873</v>
      </c>
      <c r="F518" s="14">
        <v>45908</v>
      </c>
      <c r="G518" s="15">
        <v>3383.04</v>
      </c>
      <c r="H518" s="13" t="s">
        <v>2180</v>
      </c>
      <c r="I518" s="13" t="s">
        <v>2181</v>
      </c>
      <c r="J518" s="13" t="s">
        <v>170</v>
      </c>
      <c r="K518" s="13">
        <f t="shared" si="40"/>
        <v>3</v>
      </c>
      <c r="L518" s="13">
        <f t="shared" si="41"/>
        <v>0</v>
      </c>
      <c r="M518" s="13">
        <f>IF(AND(L518=0,COUNTIFS($B$2:$B$1534,B518,$G$2:$G$1534,G518,$E$2:$E$1534,"&gt;="&amp;(E518-Assumptions!$B$5),$E$2:$E$1534,"&lt;="&amp;(E518+Assumptions!$B$5))&gt;1),1,0)</f>
        <v>0</v>
      </c>
      <c r="N518" s="13">
        <f>IF(AND(G518&gt;=Assumptions!$B$4*(1-Assumptions!$B$6),G518&lt;Assumptions!$B$4),1,0)</f>
        <v>0</v>
      </c>
      <c r="O518" s="13">
        <f>IF(AND(G518&gt;=Assumptions!$B$7,MOD(G518,Assumptions!$B$7)=0),1,0)</f>
        <v>0</v>
      </c>
      <c r="P518" s="13">
        <f t="shared" si="42"/>
        <v>0</v>
      </c>
      <c r="Q518" s="13">
        <f t="shared" si="43"/>
        <v>0</v>
      </c>
      <c r="R518" s="13">
        <f>L518*Assumptions!$B$11+M518*Assumptions!$B$12+N518*Assumptions!$B$13+O518*Assumptions!$B$14+P518*Assumptions!$B$15+Q518*Assumptions!$B$16</f>
        <v>0</v>
      </c>
      <c r="S518" s="13" t="str">
        <f>IF(R518&gt;=Assumptions!$B$20,"High",IF(R518&gt;=Assumptions!$B$21,"Medium",IF(R518&gt;=1,"Low","Clear")))</f>
        <v>Clear</v>
      </c>
      <c r="T518" s="13" t="str">
        <f t="shared" si="44"/>
        <v/>
      </c>
    </row>
    <row r="519" spans="1:20" x14ac:dyDescent="0.35">
      <c r="A519" s="13" t="s">
        <v>2182</v>
      </c>
      <c r="B519" s="13" t="s">
        <v>279</v>
      </c>
      <c r="C519" s="13" t="s">
        <v>280</v>
      </c>
      <c r="D519" s="13" t="s">
        <v>2183</v>
      </c>
      <c r="E519" s="14">
        <v>45879</v>
      </c>
      <c r="F519" s="14">
        <v>45908</v>
      </c>
      <c r="G519" s="15">
        <v>1886.75</v>
      </c>
      <c r="H519" s="13" t="s">
        <v>2184</v>
      </c>
      <c r="I519" s="13" t="s">
        <v>2185</v>
      </c>
      <c r="J519" s="13" t="s">
        <v>143</v>
      </c>
      <c r="K519" s="13">
        <f t="shared" si="40"/>
        <v>1</v>
      </c>
      <c r="L519" s="13">
        <f t="shared" si="41"/>
        <v>0</v>
      </c>
      <c r="M519" s="13">
        <f>IF(AND(L519=0,COUNTIFS($B$2:$B$1534,B519,$G$2:$G$1534,G519,$E$2:$E$1534,"&gt;="&amp;(E519-Assumptions!$B$5),$E$2:$E$1534,"&lt;="&amp;(E519+Assumptions!$B$5))&gt;1),1,0)</f>
        <v>0</v>
      </c>
      <c r="N519" s="13">
        <f>IF(AND(G519&gt;=Assumptions!$B$4*(1-Assumptions!$B$6),G519&lt;Assumptions!$B$4),1,0)</f>
        <v>0</v>
      </c>
      <c r="O519" s="13">
        <f>IF(AND(G519&gt;=Assumptions!$B$7,MOD(G519,Assumptions!$B$7)=0),1,0)</f>
        <v>0</v>
      </c>
      <c r="P519" s="13">
        <f t="shared" si="42"/>
        <v>0</v>
      </c>
      <c r="Q519" s="13">
        <f t="shared" si="43"/>
        <v>0</v>
      </c>
      <c r="R519" s="13">
        <f>L519*Assumptions!$B$11+M519*Assumptions!$B$12+N519*Assumptions!$B$13+O519*Assumptions!$B$14+P519*Assumptions!$B$15+Q519*Assumptions!$B$16</f>
        <v>0</v>
      </c>
      <c r="S519" s="13" t="str">
        <f>IF(R519&gt;=Assumptions!$B$20,"High",IF(R519&gt;=Assumptions!$B$21,"Medium",IF(R519&gt;=1,"Low","Clear")))</f>
        <v>Clear</v>
      </c>
      <c r="T519" s="13" t="str">
        <f t="shared" si="44"/>
        <v/>
      </c>
    </row>
    <row r="520" spans="1:20" x14ac:dyDescent="0.35">
      <c r="A520" s="13" t="s">
        <v>2186</v>
      </c>
      <c r="B520" s="13" t="s">
        <v>774</v>
      </c>
      <c r="C520" s="13" t="s">
        <v>775</v>
      </c>
      <c r="D520" s="13" t="s">
        <v>2187</v>
      </c>
      <c r="E520" s="14">
        <v>45872</v>
      </c>
      <c r="F520" s="14">
        <v>45908</v>
      </c>
      <c r="G520" s="15">
        <v>1269.18</v>
      </c>
      <c r="H520" s="13" t="s">
        <v>2188</v>
      </c>
      <c r="I520" s="13" t="s">
        <v>2189</v>
      </c>
      <c r="J520" s="13" t="s">
        <v>136</v>
      </c>
      <c r="K520" s="13">
        <f t="shared" si="40"/>
        <v>1</v>
      </c>
      <c r="L520" s="13">
        <f t="shared" si="41"/>
        <v>0</v>
      </c>
      <c r="M520" s="13">
        <f>IF(AND(L520=0,COUNTIFS($B$2:$B$1534,B520,$G$2:$G$1534,G520,$E$2:$E$1534,"&gt;="&amp;(E520-Assumptions!$B$5),$E$2:$E$1534,"&lt;="&amp;(E520+Assumptions!$B$5))&gt;1),1,0)</f>
        <v>0</v>
      </c>
      <c r="N520" s="13">
        <f>IF(AND(G520&gt;=Assumptions!$B$4*(1-Assumptions!$B$6),G520&lt;Assumptions!$B$4),1,0)</f>
        <v>0</v>
      </c>
      <c r="O520" s="13">
        <f>IF(AND(G520&gt;=Assumptions!$B$7,MOD(G520,Assumptions!$B$7)=0),1,0)</f>
        <v>0</v>
      </c>
      <c r="P520" s="13">
        <f t="shared" si="42"/>
        <v>0</v>
      </c>
      <c r="Q520" s="13">
        <f t="shared" si="43"/>
        <v>0</v>
      </c>
      <c r="R520" s="13">
        <f>L520*Assumptions!$B$11+M520*Assumptions!$B$12+N520*Assumptions!$B$13+O520*Assumptions!$B$14+P520*Assumptions!$B$15+Q520*Assumptions!$B$16</f>
        <v>0</v>
      </c>
      <c r="S520" s="13" t="str">
        <f>IF(R520&gt;=Assumptions!$B$20,"High",IF(R520&gt;=Assumptions!$B$21,"Medium",IF(R520&gt;=1,"Low","Clear")))</f>
        <v>Clear</v>
      </c>
      <c r="T520" s="13" t="str">
        <f t="shared" si="44"/>
        <v/>
      </c>
    </row>
    <row r="521" spans="1:20" x14ac:dyDescent="0.35">
      <c r="A521" s="13" t="s">
        <v>2190</v>
      </c>
      <c r="B521" s="13" t="s">
        <v>307</v>
      </c>
      <c r="C521" s="13" t="s">
        <v>308</v>
      </c>
      <c r="D521" s="13" t="s">
        <v>2191</v>
      </c>
      <c r="E521" s="14">
        <v>45870</v>
      </c>
      <c r="F521" s="14">
        <v>45908</v>
      </c>
      <c r="G521" s="15">
        <v>2191.15</v>
      </c>
      <c r="H521" s="13" t="s">
        <v>2192</v>
      </c>
      <c r="I521" s="13" t="s">
        <v>2193</v>
      </c>
      <c r="J521" s="13" t="s">
        <v>136</v>
      </c>
      <c r="K521" s="13">
        <f t="shared" si="40"/>
        <v>2</v>
      </c>
      <c r="L521" s="13">
        <f t="shared" si="41"/>
        <v>0</v>
      </c>
      <c r="M521" s="13">
        <f>IF(AND(L521=0,COUNTIFS($B$2:$B$1534,B521,$G$2:$G$1534,G521,$E$2:$E$1534,"&gt;="&amp;(E521-Assumptions!$B$5),$E$2:$E$1534,"&lt;="&amp;(E521+Assumptions!$B$5))&gt;1),1,0)</f>
        <v>0</v>
      </c>
      <c r="N521" s="13">
        <f>IF(AND(G521&gt;=Assumptions!$B$4*(1-Assumptions!$B$6),G521&lt;Assumptions!$B$4),1,0)</f>
        <v>0</v>
      </c>
      <c r="O521" s="13">
        <f>IF(AND(G521&gt;=Assumptions!$B$7,MOD(G521,Assumptions!$B$7)=0),1,0)</f>
        <v>0</v>
      </c>
      <c r="P521" s="13">
        <f t="shared" si="42"/>
        <v>0</v>
      </c>
      <c r="Q521" s="13">
        <f t="shared" si="43"/>
        <v>0</v>
      </c>
      <c r="R521" s="13">
        <f>L521*Assumptions!$B$11+M521*Assumptions!$B$12+N521*Assumptions!$B$13+O521*Assumptions!$B$14+P521*Assumptions!$B$15+Q521*Assumptions!$B$16</f>
        <v>0</v>
      </c>
      <c r="S521" s="13" t="str">
        <f>IF(R521&gt;=Assumptions!$B$20,"High",IF(R521&gt;=Assumptions!$B$21,"Medium",IF(R521&gt;=1,"Low","Clear")))</f>
        <v>Clear</v>
      </c>
      <c r="T521" s="13" t="str">
        <f t="shared" si="44"/>
        <v/>
      </c>
    </row>
    <row r="522" spans="1:20" x14ac:dyDescent="0.35">
      <c r="A522" s="13" t="s">
        <v>2194</v>
      </c>
      <c r="B522" s="13" t="s">
        <v>119</v>
      </c>
      <c r="C522" s="13" t="s">
        <v>120</v>
      </c>
      <c r="D522" s="13" t="s">
        <v>2195</v>
      </c>
      <c r="E522" s="14">
        <v>45869</v>
      </c>
      <c r="F522" s="14">
        <v>45908</v>
      </c>
      <c r="G522" s="15">
        <v>9360.83</v>
      </c>
      <c r="H522" s="13" t="s">
        <v>2196</v>
      </c>
      <c r="I522" s="13" t="s">
        <v>2197</v>
      </c>
      <c r="J522" s="13" t="s">
        <v>111</v>
      </c>
      <c r="K522" s="13">
        <f t="shared" si="40"/>
        <v>9</v>
      </c>
      <c r="L522" s="13">
        <f t="shared" si="41"/>
        <v>0</v>
      </c>
      <c r="M522" s="13">
        <f>IF(AND(L522=0,COUNTIFS($B$2:$B$1534,B522,$G$2:$G$1534,G522,$E$2:$E$1534,"&gt;="&amp;(E522-Assumptions!$B$5),$E$2:$E$1534,"&lt;="&amp;(E522+Assumptions!$B$5))&gt;1),1,0)</f>
        <v>0</v>
      </c>
      <c r="N522" s="13">
        <f>IF(AND(G522&gt;=Assumptions!$B$4*(1-Assumptions!$B$6),G522&lt;Assumptions!$B$4),1,0)</f>
        <v>0</v>
      </c>
      <c r="O522" s="13">
        <f>IF(AND(G522&gt;=Assumptions!$B$7,MOD(G522,Assumptions!$B$7)=0),1,0)</f>
        <v>0</v>
      </c>
      <c r="P522" s="13">
        <f t="shared" si="42"/>
        <v>0</v>
      </c>
      <c r="Q522" s="13">
        <f t="shared" si="43"/>
        <v>0</v>
      </c>
      <c r="R522" s="13">
        <f>L522*Assumptions!$B$11+M522*Assumptions!$B$12+N522*Assumptions!$B$13+O522*Assumptions!$B$14+P522*Assumptions!$B$15+Q522*Assumptions!$B$16</f>
        <v>0</v>
      </c>
      <c r="S522" s="13" t="str">
        <f>IF(R522&gt;=Assumptions!$B$20,"High",IF(R522&gt;=Assumptions!$B$21,"Medium",IF(R522&gt;=1,"Low","Clear")))</f>
        <v>Clear</v>
      </c>
      <c r="T522" s="13" t="str">
        <f t="shared" si="44"/>
        <v/>
      </c>
    </row>
    <row r="523" spans="1:20" x14ac:dyDescent="0.35">
      <c r="A523" s="13" t="s">
        <v>2198</v>
      </c>
      <c r="B523" s="13" t="s">
        <v>323</v>
      </c>
      <c r="C523" s="13" t="s">
        <v>324</v>
      </c>
      <c r="D523" s="13" t="s">
        <v>2199</v>
      </c>
      <c r="E523" s="14">
        <v>45867</v>
      </c>
      <c r="F523" s="14">
        <v>45908</v>
      </c>
      <c r="G523" s="15">
        <v>230369.21</v>
      </c>
      <c r="H523" s="13" t="s">
        <v>2200</v>
      </c>
      <c r="I523" s="13" t="s">
        <v>2201</v>
      </c>
      <c r="J523" s="13" t="s">
        <v>98</v>
      </c>
      <c r="K523" s="13">
        <f t="shared" si="40"/>
        <v>2</v>
      </c>
      <c r="L523" s="13">
        <f t="shared" si="41"/>
        <v>0</v>
      </c>
      <c r="M523" s="13">
        <f>IF(AND(L523=0,COUNTIFS($B$2:$B$1534,B523,$G$2:$G$1534,G523,$E$2:$E$1534,"&gt;="&amp;(E523-Assumptions!$B$5),$E$2:$E$1534,"&lt;="&amp;(E523+Assumptions!$B$5))&gt;1),1,0)</f>
        <v>0</v>
      </c>
      <c r="N523" s="13">
        <f>IF(AND(G523&gt;=Assumptions!$B$4*(1-Assumptions!$B$6),G523&lt;Assumptions!$B$4),1,0)</f>
        <v>0</v>
      </c>
      <c r="O523" s="13">
        <f>IF(AND(G523&gt;=Assumptions!$B$7,MOD(G523,Assumptions!$B$7)=0),1,0)</f>
        <v>0</v>
      </c>
      <c r="P523" s="13">
        <f t="shared" si="42"/>
        <v>0</v>
      </c>
      <c r="Q523" s="13">
        <f t="shared" si="43"/>
        <v>0</v>
      </c>
      <c r="R523" s="13">
        <f>L523*Assumptions!$B$11+M523*Assumptions!$B$12+N523*Assumptions!$B$13+O523*Assumptions!$B$14+P523*Assumptions!$B$15+Q523*Assumptions!$B$16</f>
        <v>0</v>
      </c>
      <c r="S523" s="13" t="str">
        <f>IF(R523&gt;=Assumptions!$B$20,"High",IF(R523&gt;=Assumptions!$B$21,"Medium",IF(R523&gt;=1,"Low","Clear")))</f>
        <v>Clear</v>
      </c>
      <c r="T523" s="13" t="str">
        <f t="shared" si="44"/>
        <v/>
      </c>
    </row>
    <row r="524" spans="1:20" x14ac:dyDescent="0.35">
      <c r="A524" s="13" t="s">
        <v>2202</v>
      </c>
      <c r="B524" s="13" t="s">
        <v>161</v>
      </c>
      <c r="C524" s="13" t="s">
        <v>162</v>
      </c>
      <c r="D524" s="13" t="s">
        <v>2203</v>
      </c>
      <c r="E524" s="14">
        <v>45883</v>
      </c>
      <c r="F524" s="14">
        <v>45908</v>
      </c>
      <c r="G524" s="15">
        <v>1867.51</v>
      </c>
      <c r="H524" s="13" t="s">
        <v>2204</v>
      </c>
      <c r="I524" s="13" t="s">
        <v>2205</v>
      </c>
      <c r="J524" s="13" t="s">
        <v>136</v>
      </c>
      <c r="K524" s="13">
        <f t="shared" si="40"/>
        <v>1</v>
      </c>
      <c r="L524" s="13">
        <f t="shared" si="41"/>
        <v>0</v>
      </c>
      <c r="M524" s="13">
        <f>IF(AND(L524=0,COUNTIFS($B$2:$B$1534,B524,$G$2:$G$1534,G524,$E$2:$E$1534,"&gt;="&amp;(E524-Assumptions!$B$5),$E$2:$E$1534,"&lt;="&amp;(E524+Assumptions!$B$5))&gt;1),1,0)</f>
        <v>0</v>
      </c>
      <c r="N524" s="13">
        <f>IF(AND(G524&gt;=Assumptions!$B$4*(1-Assumptions!$B$6),G524&lt;Assumptions!$B$4),1,0)</f>
        <v>0</v>
      </c>
      <c r="O524" s="13">
        <f>IF(AND(G524&gt;=Assumptions!$B$7,MOD(G524,Assumptions!$B$7)=0),1,0)</f>
        <v>0</v>
      </c>
      <c r="P524" s="13">
        <f t="shared" si="42"/>
        <v>0</v>
      </c>
      <c r="Q524" s="13">
        <f t="shared" si="43"/>
        <v>0</v>
      </c>
      <c r="R524" s="13">
        <f>L524*Assumptions!$B$11+M524*Assumptions!$B$12+N524*Assumptions!$B$13+O524*Assumptions!$B$14+P524*Assumptions!$B$15+Q524*Assumptions!$B$16</f>
        <v>0</v>
      </c>
      <c r="S524" s="13" t="str">
        <f>IF(R524&gt;=Assumptions!$B$20,"High",IF(R524&gt;=Assumptions!$B$21,"Medium",IF(R524&gt;=1,"Low","Clear")))</f>
        <v>Clear</v>
      </c>
      <c r="T524" s="13" t="str">
        <f t="shared" si="44"/>
        <v/>
      </c>
    </row>
    <row r="525" spans="1:20" x14ac:dyDescent="0.35">
      <c r="A525" s="13" t="s">
        <v>2206</v>
      </c>
      <c r="B525" s="13" t="s">
        <v>138</v>
      </c>
      <c r="C525" s="13" t="s">
        <v>139</v>
      </c>
      <c r="D525" s="13" t="s">
        <v>2207</v>
      </c>
      <c r="E525" s="14">
        <v>45883</v>
      </c>
      <c r="F525" s="14">
        <v>45908</v>
      </c>
      <c r="G525" s="15">
        <v>148785.43</v>
      </c>
      <c r="H525" s="13" t="s">
        <v>2208</v>
      </c>
      <c r="I525" s="13" t="s">
        <v>2209</v>
      </c>
      <c r="J525" s="13" t="s">
        <v>91</v>
      </c>
      <c r="K525" s="13">
        <f t="shared" si="40"/>
        <v>1</v>
      </c>
      <c r="L525" s="13">
        <f t="shared" si="41"/>
        <v>0</v>
      </c>
      <c r="M525" s="13">
        <f>IF(AND(L525=0,COUNTIFS($B$2:$B$1534,B525,$G$2:$G$1534,G525,$E$2:$E$1534,"&gt;="&amp;(E525-Assumptions!$B$5),$E$2:$E$1534,"&lt;="&amp;(E525+Assumptions!$B$5))&gt;1),1,0)</f>
        <v>0</v>
      </c>
      <c r="N525" s="13">
        <f>IF(AND(G525&gt;=Assumptions!$B$4*(1-Assumptions!$B$6),G525&lt;Assumptions!$B$4),1,0)</f>
        <v>0</v>
      </c>
      <c r="O525" s="13">
        <f>IF(AND(G525&gt;=Assumptions!$B$7,MOD(G525,Assumptions!$B$7)=0),1,0)</f>
        <v>0</v>
      </c>
      <c r="P525" s="13">
        <f t="shared" si="42"/>
        <v>0</v>
      </c>
      <c r="Q525" s="13">
        <f t="shared" si="43"/>
        <v>0</v>
      </c>
      <c r="R525" s="13">
        <f>L525*Assumptions!$B$11+M525*Assumptions!$B$12+N525*Assumptions!$B$13+O525*Assumptions!$B$14+P525*Assumptions!$B$15+Q525*Assumptions!$B$16</f>
        <v>0</v>
      </c>
      <c r="S525" s="13" t="str">
        <f>IF(R525&gt;=Assumptions!$B$20,"High",IF(R525&gt;=Assumptions!$B$21,"Medium",IF(R525&gt;=1,"Low","Clear")))</f>
        <v>Clear</v>
      </c>
      <c r="T525" s="13" t="str">
        <f t="shared" si="44"/>
        <v/>
      </c>
    </row>
    <row r="526" spans="1:20" x14ac:dyDescent="0.35">
      <c r="A526" s="13" t="s">
        <v>2210</v>
      </c>
      <c r="B526" s="13" t="s">
        <v>774</v>
      </c>
      <c r="C526" s="13" t="s">
        <v>775</v>
      </c>
      <c r="D526" s="13" t="s">
        <v>2211</v>
      </c>
      <c r="E526" s="14">
        <v>45883</v>
      </c>
      <c r="F526" s="14">
        <v>45909</v>
      </c>
      <c r="G526" s="15">
        <v>4871.05</v>
      </c>
      <c r="H526" s="13" t="s">
        <v>2212</v>
      </c>
      <c r="I526" s="13" t="s">
        <v>2213</v>
      </c>
      <c r="J526" s="13" t="s">
        <v>170</v>
      </c>
      <c r="K526" s="13">
        <f t="shared" si="40"/>
        <v>4</v>
      </c>
      <c r="L526" s="13">
        <f t="shared" si="41"/>
        <v>0</v>
      </c>
      <c r="M526" s="13">
        <f>IF(AND(L526=0,COUNTIFS($B$2:$B$1534,B526,$G$2:$G$1534,G526,$E$2:$E$1534,"&gt;="&amp;(E526-Assumptions!$B$5),$E$2:$E$1534,"&lt;="&amp;(E526+Assumptions!$B$5))&gt;1),1,0)</f>
        <v>0</v>
      </c>
      <c r="N526" s="13">
        <f>IF(AND(G526&gt;=Assumptions!$B$4*(1-Assumptions!$B$6),G526&lt;Assumptions!$B$4),1,0)</f>
        <v>0</v>
      </c>
      <c r="O526" s="13">
        <f>IF(AND(G526&gt;=Assumptions!$B$7,MOD(G526,Assumptions!$B$7)=0),1,0)</f>
        <v>0</v>
      </c>
      <c r="P526" s="13">
        <f t="shared" si="42"/>
        <v>0</v>
      </c>
      <c r="Q526" s="13">
        <f t="shared" si="43"/>
        <v>0</v>
      </c>
      <c r="R526" s="13">
        <f>L526*Assumptions!$B$11+M526*Assumptions!$B$12+N526*Assumptions!$B$13+O526*Assumptions!$B$14+P526*Assumptions!$B$15+Q526*Assumptions!$B$16</f>
        <v>0</v>
      </c>
      <c r="S526" s="13" t="str">
        <f>IF(R526&gt;=Assumptions!$B$20,"High",IF(R526&gt;=Assumptions!$B$21,"Medium",IF(R526&gt;=1,"Low","Clear")))</f>
        <v>Clear</v>
      </c>
      <c r="T526" s="13" t="str">
        <f t="shared" si="44"/>
        <v/>
      </c>
    </row>
    <row r="527" spans="1:20" x14ac:dyDescent="0.35">
      <c r="A527" s="13" t="s">
        <v>2214</v>
      </c>
      <c r="B527" s="13" t="s">
        <v>212</v>
      </c>
      <c r="C527" s="13" t="s">
        <v>213</v>
      </c>
      <c r="D527" s="13" t="s">
        <v>2215</v>
      </c>
      <c r="E527" s="14">
        <v>45886</v>
      </c>
      <c r="F527" s="14">
        <v>45909</v>
      </c>
      <c r="G527" s="15">
        <v>2497.59</v>
      </c>
      <c r="H527" s="13" t="s">
        <v>2216</v>
      </c>
      <c r="I527" s="13" t="s">
        <v>2217</v>
      </c>
      <c r="J527" s="13" t="s">
        <v>98</v>
      </c>
      <c r="K527" s="13">
        <f t="shared" si="40"/>
        <v>2</v>
      </c>
      <c r="L527" s="13">
        <f t="shared" si="41"/>
        <v>0</v>
      </c>
      <c r="M527" s="13">
        <f>IF(AND(L527=0,COUNTIFS($B$2:$B$1534,B527,$G$2:$G$1534,G527,$E$2:$E$1534,"&gt;="&amp;(E527-Assumptions!$B$5),$E$2:$E$1534,"&lt;="&amp;(E527+Assumptions!$B$5))&gt;1),1,0)</f>
        <v>0</v>
      </c>
      <c r="N527" s="13">
        <f>IF(AND(G527&gt;=Assumptions!$B$4*(1-Assumptions!$B$6),G527&lt;Assumptions!$B$4),1,0)</f>
        <v>0</v>
      </c>
      <c r="O527" s="13">
        <f>IF(AND(G527&gt;=Assumptions!$B$7,MOD(G527,Assumptions!$B$7)=0),1,0)</f>
        <v>0</v>
      </c>
      <c r="P527" s="13">
        <f t="shared" si="42"/>
        <v>0</v>
      </c>
      <c r="Q527" s="13">
        <f t="shared" si="43"/>
        <v>0</v>
      </c>
      <c r="R527" s="13">
        <f>L527*Assumptions!$B$11+M527*Assumptions!$B$12+N527*Assumptions!$B$13+O527*Assumptions!$B$14+P527*Assumptions!$B$15+Q527*Assumptions!$B$16</f>
        <v>0</v>
      </c>
      <c r="S527" s="13" t="str">
        <f>IF(R527&gt;=Assumptions!$B$20,"High",IF(R527&gt;=Assumptions!$B$21,"Medium",IF(R527&gt;=1,"Low","Clear")))</f>
        <v>Clear</v>
      </c>
      <c r="T527" s="13" t="str">
        <f t="shared" si="44"/>
        <v/>
      </c>
    </row>
    <row r="528" spans="1:20" x14ac:dyDescent="0.35">
      <c r="A528" s="13" t="s">
        <v>2218</v>
      </c>
      <c r="B528" s="13" t="s">
        <v>680</v>
      </c>
      <c r="C528" s="13" t="s">
        <v>681</v>
      </c>
      <c r="D528" s="13" t="s">
        <v>2219</v>
      </c>
      <c r="E528" s="14">
        <v>45889</v>
      </c>
      <c r="F528" s="14">
        <v>45910</v>
      </c>
      <c r="G528" s="15">
        <v>3812.04</v>
      </c>
      <c r="H528" s="13"/>
      <c r="I528" s="13"/>
      <c r="J528" s="13" t="s">
        <v>98</v>
      </c>
      <c r="K528" s="13">
        <f t="shared" si="40"/>
        <v>3</v>
      </c>
      <c r="L528" s="13">
        <f t="shared" si="41"/>
        <v>0</v>
      </c>
      <c r="M528" s="13">
        <f>IF(AND(L528=0,COUNTIFS($B$2:$B$1534,B528,$G$2:$G$1534,G528,$E$2:$E$1534,"&gt;="&amp;(E528-Assumptions!$B$5),$E$2:$E$1534,"&lt;="&amp;(E528+Assumptions!$B$5))&gt;1),1,0)</f>
        <v>0</v>
      </c>
      <c r="N528" s="13">
        <f>IF(AND(G528&gt;=Assumptions!$B$4*(1-Assumptions!$B$6),G528&lt;Assumptions!$B$4),1,0)</f>
        <v>0</v>
      </c>
      <c r="O528" s="13">
        <f>IF(AND(G528&gt;=Assumptions!$B$7,MOD(G528,Assumptions!$B$7)=0),1,0)</f>
        <v>0</v>
      </c>
      <c r="P528" s="13">
        <f t="shared" si="42"/>
        <v>1</v>
      </c>
      <c r="Q528" s="13">
        <f t="shared" si="43"/>
        <v>0</v>
      </c>
      <c r="R528" s="13">
        <f>L528*Assumptions!$B$11+M528*Assumptions!$B$12+N528*Assumptions!$B$13+O528*Assumptions!$B$14+P528*Assumptions!$B$15+Q528*Assumptions!$B$16</f>
        <v>4</v>
      </c>
      <c r="S528" s="13" t="str">
        <f>IF(R528&gt;=Assumptions!$B$20,"High",IF(R528&gt;=Assumptions!$B$21,"Medium",IF(R528&gt;=1,"Low","Clear")))</f>
        <v>Medium</v>
      </c>
      <c r="T528" s="13" t="str">
        <f t="shared" si="44"/>
        <v xml:space="preserve">No PO/GRN; </v>
      </c>
    </row>
    <row r="529" spans="1:20" x14ac:dyDescent="0.35">
      <c r="A529" s="13" t="s">
        <v>2220</v>
      </c>
      <c r="B529" s="13" t="s">
        <v>329</v>
      </c>
      <c r="C529" s="13" t="s">
        <v>330</v>
      </c>
      <c r="D529" s="13" t="s">
        <v>2221</v>
      </c>
      <c r="E529" s="14">
        <v>45889</v>
      </c>
      <c r="F529" s="14">
        <v>45910</v>
      </c>
      <c r="G529" s="15">
        <v>1549.2</v>
      </c>
      <c r="H529" s="13" t="s">
        <v>2222</v>
      </c>
      <c r="I529" s="13" t="s">
        <v>2223</v>
      </c>
      <c r="J529" s="13" t="s">
        <v>98</v>
      </c>
      <c r="K529" s="13">
        <f t="shared" si="40"/>
        <v>1</v>
      </c>
      <c r="L529" s="13">
        <f t="shared" si="41"/>
        <v>0</v>
      </c>
      <c r="M529" s="13">
        <f>IF(AND(L529=0,COUNTIFS($B$2:$B$1534,B529,$G$2:$G$1534,G529,$E$2:$E$1534,"&gt;="&amp;(E529-Assumptions!$B$5),$E$2:$E$1534,"&lt;="&amp;(E529+Assumptions!$B$5))&gt;1),1,0)</f>
        <v>0</v>
      </c>
      <c r="N529" s="13">
        <f>IF(AND(G529&gt;=Assumptions!$B$4*(1-Assumptions!$B$6),G529&lt;Assumptions!$B$4),1,0)</f>
        <v>0</v>
      </c>
      <c r="O529" s="13">
        <f>IF(AND(G529&gt;=Assumptions!$B$7,MOD(G529,Assumptions!$B$7)=0),1,0)</f>
        <v>0</v>
      </c>
      <c r="P529" s="13">
        <f t="shared" si="42"/>
        <v>0</v>
      </c>
      <c r="Q529" s="13">
        <f t="shared" si="43"/>
        <v>0</v>
      </c>
      <c r="R529" s="13">
        <f>L529*Assumptions!$B$11+M529*Assumptions!$B$12+N529*Assumptions!$B$13+O529*Assumptions!$B$14+P529*Assumptions!$B$15+Q529*Assumptions!$B$16</f>
        <v>0</v>
      </c>
      <c r="S529" s="13" t="str">
        <f>IF(R529&gt;=Assumptions!$B$20,"High",IF(R529&gt;=Assumptions!$B$21,"Medium",IF(R529&gt;=1,"Low","Clear")))</f>
        <v>Clear</v>
      </c>
      <c r="T529" s="13" t="str">
        <f t="shared" si="44"/>
        <v/>
      </c>
    </row>
    <row r="530" spans="1:20" x14ac:dyDescent="0.35">
      <c r="A530" s="13" t="s">
        <v>2224</v>
      </c>
      <c r="B530" s="13" t="s">
        <v>155</v>
      </c>
      <c r="C530" s="13" t="s">
        <v>156</v>
      </c>
      <c r="D530" s="13" t="s">
        <v>2225</v>
      </c>
      <c r="E530" s="14">
        <v>45872</v>
      </c>
      <c r="F530" s="14">
        <v>45910</v>
      </c>
      <c r="G530" s="15">
        <v>1324.64</v>
      </c>
      <c r="H530" s="13" t="s">
        <v>2226</v>
      </c>
      <c r="I530" s="13" t="s">
        <v>2227</v>
      </c>
      <c r="J530" s="13" t="s">
        <v>91</v>
      </c>
      <c r="K530" s="13">
        <f t="shared" si="40"/>
        <v>1</v>
      </c>
      <c r="L530" s="13">
        <f t="shared" si="41"/>
        <v>0</v>
      </c>
      <c r="M530" s="13">
        <f>IF(AND(L530=0,COUNTIFS($B$2:$B$1534,B530,$G$2:$G$1534,G530,$E$2:$E$1534,"&gt;="&amp;(E530-Assumptions!$B$5),$E$2:$E$1534,"&lt;="&amp;(E530+Assumptions!$B$5))&gt;1),1,0)</f>
        <v>0</v>
      </c>
      <c r="N530" s="13">
        <f>IF(AND(G530&gt;=Assumptions!$B$4*(1-Assumptions!$B$6),G530&lt;Assumptions!$B$4),1,0)</f>
        <v>0</v>
      </c>
      <c r="O530" s="13">
        <f>IF(AND(G530&gt;=Assumptions!$B$7,MOD(G530,Assumptions!$B$7)=0),1,0)</f>
        <v>0</v>
      </c>
      <c r="P530" s="13">
        <f t="shared" si="42"/>
        <v>0</v>
      </c>
      <c r="Q530" s="13">
        <f t="shared" si="43"/>
        <v>0</v>
      </c>
      <c r="R530" s="13">
        <f>L530*Assumptions!$B$11+M530*Assumptions!$B$12+N530*Assumptions!$B$13+O530*Assumptions!$B$14+P530*Assumptions!$B$15+Q530*Assumptions!$B$16</f>
        <v>0</v>
      </c>
      <c r="S530" s="13" t="str">
        <f>IF(R530&gt;=Assumptions!$B$20,"High",IF(R530&gt;=Assumptions!$B$21,"Medium",IF(R530&gt;=1,"Low","Clear")))</f>
        <v>Clear</v>
      </c>
      <c r="T530" s="13" t="str">
        <f t="shared" si="44"/>
        <v/>
      </c>
    </row>
    <row r="531" spans="1:20" x14ac:dyDescent="0.35">
      <c r="A531" s="13" t="s">
        <v>2228</v>
      </c>
      <c r="B531" s="13" t="s">
        <v>161</v>
      </c>
      <c r="C531" s="13" t="s">
        <v>162</v>
      </c>
      <c r="D531" s="13" t="s">
        <v>2229</v>
      </c>
      <c r="E531" s="14">
        <v>45890</v>
      </c>
      <c r="F531" s="14">
        <v>45910</v>
      </c>
      <c r="G531" s="15">
        <v>154900.66</v>
      </c>
      <c r="H531" s="13" t="s">
        <v>2230</v>
      </c>
      <c r="I531" s="13" t="s">
        <v>2231</v>
      </c>
      <c r="J531" s="13" t="s">
        <v>143</v>
      </c>
      <c r="K531" s="13">
        <f t="shared" si="40"/>
        <v>1</v>
      </c>
      <c r="L531" s="13">
        <f t="shared" si="41"/>
        <v>0</v>
      </c>
      <c r="M531" s="13">
        <f>IF(AND(L531=0,COUNTIFS($B$2:$B$1534,B531,$G$2:$G$1534,G531,$E$2:$E$1534,"&gt;="&amp;(E531-Assumptions!$B$5),$E$2:$E$1534,"&lt;="&amp;(E531+Assumptions!$B$5))&gt;1),1,0)</f>
        <v>0</v>
      </c>
      <c r="N531" s="13">
        <f>IF(AND(G531&gt;=Assumptions!$B$4*(1-Assumptions!$B$6),G531&lt;Assumptions!$B$4),1,0)</f>
        <v>0</v>
      </c>
      <c r="O531" s="13">
        <f>IF(AND(G531&gt;=Assumptions!$B$7,MOD(G531,Assumptions!$B$7)=0),1,0)</f>
        <v>0</v>
      </c>
      <c r="P531" s="13">
        <f t="shared" si="42"/>
        <v>0</v>
      </c>
      <c r="Q531" s="13">
        <f t="shared" si="43"/>
        <v>0</v>
      </c>
      <c r="R531" s="13">
        <f>L531*Assumptions!$B$11+M531*Assumptions!$B$12+N531*Assumptions!$B$13+O531*Assumptions!$B$14+P531*Assumptions!$B$15+Q531*Assumptions!$B$16</f>
        <v>0</v>
      </c>
      <c r="S531" s="13" t="str">
        <f>IF(R531&gt;=Assumptions!$B$20,"High",IF(R531&gt;=Assumptions!$B$21,"Medium",IF(R531&gt;=1,"Low","Clear")))</f>
        <v>Clear</v>
      </c>
      <c r="T531" s="13" t="str">
        <f t="shared" si="44"/>
        <v/>
      </c>
    </row>
    <row r="532" spans="1:20" x14ac:dyDescent="0.35">
      <c r="A532" s="13" t="s">
        <v>2232</v>
      </c>
      <c r="B532" s="13" t="s">
        <v>138</v>
      </c>
      <c r="C532" s="13" t="s">
        <v>139</v>
      </c>
      <c r="D532" s="13" t="s">
        <v>2233</v>
      </c>
      <c r="E532" s="14">
        <v>45879</v>
      </c>
      <c r="F532" s="14">
        <v>45910</v>
      </c>
      <c r="G532" s="15">
        <v>18324.03</v>
      </c>
      <c r="H532" s="13" t="s">
        <v>2234</v>
      </c>
      <c r="I532" s="13" t="s">
        <v>2235</v>
      </c>
      <c r="J532" s="13" t="s">
        <v>98</v>
      </c>
      <c r="K532" s="13">
        <f t="shared" si="40"/>
        <v>1</v>
      </c>
      <c r="L532" s="13">
        <f t="shared" si="41"/>
        <v>0</v>
      </c>
      <c r="M532" s="13">
        <f>IF(AND(L532=0,COUNTIFS($B$2:$B$1534,B532,$G$2:$G$1534,G532,$E$2:$E$1534,"&gt;="&amp;(E532-Assumptions!$B$5),$E$2:$E$1534,"&lt;="&amp;(E532+Assumptions!$B$5))&gt;1),1,0)</f>
        <v>0</v>
      </c>
      <c r="N532" s="13">
        <f>IF(AND(G532&gt;=Assumptions!$B$4*(1-Assumptions!$B$6),G532&lt;Assumptions!$B$4),1,0)</f>
        <v>0</v>
      </c>
      <c r="O532" s="13">
        <f>IF(AND(G532&gt;=Assumptions!$B$7,MOD(G532,Assumptions!$B$7)=0),1,0)</f>
        <v>0</v>
      </c>
      <c r="P532" s="13">
        <f t="shared" si="42"/>
        <v>0</v>
      </c>
      <c r="Q532" s="13">
        <f t="shared" si="43"/>
        <v>0</v>
      </c>
      <c r="R532" s="13">
        <f>L532*Assumptions!$B$11+M532*Assumptions!$B$12+N532*Assumptions!$B$13+O532*Assumptions!$B$14+P532*Assumptions!$B$15+Q532*Assumptions!$B$16</f>
        <v>0</v>
      </c>
      <c r="S532" s="13" t="str">
        <f>IF(R532&gt;=Assumptions!$B$20,"High",IF(R532&gt;=Assumptions!$B$21,"Medium",IF(R532&gt;=1,"Low","Clear")))</f>
        <v>Clear</v>
      </c>
      <c r="T532" s="13" t="str">
        <f t="shared" si="44"/>
        <v/>
      </c>
    </row>
    <row r="533" spans="1:20" x14ac:dyDescent="0.35">
      <c r="A533" s="13" t="s">
        <v>2236</v>
      </c>
      <c r="B533" s="13" t="s">
        <v>252</v>
      </c>
      <c r="C533" s="13" t="s">
        <v>253</v>
      </c>
      <c r="D533" s="13" t="s">
        <v>2237</v>
      </c>
      <c r="E533" s="14">
        <v>45882</v>
      </c>
      <c r="F533" s="14">
        <v>45911</v>
      </c>
      <c r="G533" s="15">
        <v>738039.81</v>
      </c>
      <c r="H533" s="13" t="s">
        <v>2238</v>
      </c>
      <c r="I533" s="13" t="s">
        <v>2239</v>
      </c>
      <c r="J533" s="13" t="s">
        <v>111</v>
      </c>
      <c r="K533" s="13">
        <f t="shared" si="40"/>
        <v>7</v>
      </c>
      <c r="L533" s="13">
        <f t="shared" si="41"/>
        <v>0</v>
      </c>
      <c r="M533" s="13">
        <f>IF(AND(L533=0,COUNTIFS($B$2:$B$1534,B533,$G$2:$G$1534,G533,$E$2:$E$1534,"&gt;="&amp;(E533-Assumptions!$B$5),$E$2:$E$1534,"&lt;="&amp;(E533+Assumptions!$B$5))&gt;1),1,0)</f>
        <v>0</v>
      </c>
      <c r="N533" s="13">
        <f>IF(AND(G533&gt;=Assumptions!$B$4*(1-Assumptions!$B$6),G533&lt;Assumptions!$B$4),1,0)</f>
        <v>0</v>
      </c>
      <c r="O533" s="13">
        <f>IF(AND(G533&gt;=Assumptions!$B$7,MOD(G533,Assumptions!$B$7)=0),1,0)</f>
        <v>0</v>
      </c>
      <c r="P533" s="13">
        <f t="shared" si="42"/>
        <v>0</v>
      </c>
      <c r="Q533" s="13">
        <f t="shared" si="43"/>
        <v>0</v>
      </c>
      <c r="R533" s="13">
        <f>L533*Assumptions!$B$11+M533*Assumptions!$B$12+N533*Assumptions!$B$13+O533*Assumptions!$B$14+P533*Assumptions!$B$15+Q533*Assumptions!$B$16</f>
        <v>0</v>
      </c>
      <c r="S533" s="13" t="str">
        <f>IF(R533&gt;=Assumptions!$B$20,"High",IF(R533&gt;=Assumptions!$B$21,"Medium",IF(R533&gt;=1,"Low","Clear")))</f>
        <v>Clear</v>
      </c>
      <c r="T533" s="13" t="str">
        <f t="shared" si="44"/>
        <v/>
      </c>
    </row>
    <row r="534" spans="1:20" x14ac:dyDescent="0.35">
      <c r="A534" s="13" t="s">
        <v>2240</v>
      </c>
      <c r="B534" s="13" t="s">
        <v>182</v>
      </c>
      <c r="C534" s="13" t="s">
        <v>183</v>
      </c>
      <c r="D534" s="13" t="s">
        <v>2241</v>
      </c>
      <c r="E534" s="14">
        <v>45891</v>
      </c>
      <c r="F534" s="14">
        <v>45912</v>
      </c>
      <c r="G534" s="15">
        <v>266662.32</v>
      </c>
      <c r="H534" s="13" t="s">
        <v>2242</v>
      </c>
      <c r="I534" s="13" t="s">
        <v>2243</v>
      </c>
      <c r="J534" s="13" t="s">
        <v>170</v>
      </c>
      <c r="K534" s="13">
        <f t="shared" si="40"/>
        <v>2</v>
      </c>
      <c r="L534" s="13">
        <f t="shared" si="41"/>
        <v>0</v>
      </c>
      <c r="M534" s="13">
        <f>IF(AND(L534=0,COUNTIFS($B$2:$B$1534,B534,$G$2:$G$1534,G534,$E$2:$E$1534,"&gt;="&amp;(E534-Assumptions!$B$5),$E$2:$E$1534,"&lt;="&amp;(E534+Assumptions!$B$5))&gt;1),1,0)</f>
        <v>0</v>
      </c>
      <c r="N534" s="13">
        <f>IF(AND(G534&gt;=Assumptions!$B$4*(1-Assumptions!$B$6),G534&lt;Assumptions!$B$4),1,0)</f>
        <v>0</v>
      </c>
      <c r="O534" s="13">
        <f>IF(AND(G534&gt;=Assumptions!$B$7,MOD(G534,Assumptions!$B$7)=0),1,0)</f>
        <v>0</v>
      </c>
      <c r="P534" s="13">
        <f t="shared" si="42"/>
        <v>0</v>
      </c>
      <c r="Q534" s="13">
        <f t="shared" si="43"/>
        <v>0</v>
      </c>
      <c r="R534" s="13">
        <f>L534*Assumptions!$B$11+M534*Assumptions!$B$12+N534*Assumptions!$B$13+O534*Assumptions!$B$14+P534*Assumptions!$B$15+Q534*Assumptions!$B$16</f>
        <v>0</v>
      </c>
      <c r="S534" s="13" t="str">
        <f>IF(R534&gt;=Assumptions!$B$20,"High",IF(R534&gt;=Assumptions!$B$21,"Medium",IF(R534&gt;=1,"Low","Clear")))</f>
        <v>Clear</v>
      </c>
      <c r="T534" s="13" t="str">
        <f t="shared" si="44"/>
        <v/>
      </c>
    </row>
    <row r="535" spans="1:20" x14ac:dyDescent="0.35">
      <c r="A535" s="13" t="s">
        <v>2244</v>
      </c>
      <c r="B535" s="13" t="s">
        <v>409</v>
      </c>
      <c r="C535" s="13" t="s">
        <v>410</v>
      </c>
      <c r="D535" s="13" t="s">
        <v>2245</v>
      </c>
      <c r="E535" s="14">
        <v>45875</v>
      </c>
      <c r="F535" s="14">
        <v>45912</v>
      </c>
      <c r="G535" s="15">
        <v>63532.68</v>
      </c>
      <c r="H535" s="13" t="s">
        <v>2246</v>
      </c>
      <c r="I535" s="13" t="s">
        <v>2247</v>
      </c>
      <c r="J535" s="13" t="s">
        <v>170</v>
      </c>
      <c r="K535" s="13">
        <f t="shared" si="40"/>
        <v>6</v>
      </c>
      <c r="L535" s="13">
        <f t="shared" si="41"/>
        <v>0</v>
      </c>
      <c r="M535" s="13">
        <f>IF(AND(L535=0,COUNTIFS($B$2:$B$1534,B535,$G$2:$G$1534,G535,$E$2:$E$1534,"&gt;="&amp;(E535-Assumptions!$B$5),$E$2:$E$1534,"&lt;="&amp;(E535+Assumptions!$B$5))&gt;1),1,0)</f>
        <v>0</v>
      </c>
      <c r="N535" s="13">
        <f>IF(AND(G535&gt;=Assumptions!$B$4*(1-Assumptions!$B$6),G535&lt;Assumptions!$B$4),1,0)</f>
        <v>0</v>
      </c>
      <c r="O535" s="13">
        <f>IF(AND(G535&gt;=Assumptions!$B$7,MOD(G535,Assumptions!$B$7)=0),1,0)</f>
        <v>0</v>
      </c>
      <c r="P535" s="13">
        <f t="shared" si="42"/>
        <v>0</v>
      </c>
      <c r="Q535" s="13">
        <f t="shared" si="43"/>
        <v>0</v>
      </c>
      <c r="R535" s="13">
        <f>L535*Assumptions!$B$11+M535*Assumptions!$B$12+N535*Assumptions!$B$13+O535*Assumptions!$B$14+P535*Assumptions!$B$15+Q535*Assumptions!$B$16</f>
        <v>0</v>
      </c>
      <c r="S535" s="13" t="str">
        <f>IF(R535&gt;=Assumptions!$B$20,"High",IF(R535&gt;=Assumptions!$B$21,"Medium",IF(R535&gt;=1,"Low","Clear")))</f>
        <v>Clear</v>
      </c>
      <c r="T535" s="13" t="str">
        <f t="shared" si="44"/>
        <v/>
      </c>
    </row>
    <row r="536" spans="1:20" x14ac:dyDescent="0.35">
      <c r="A536" s="13" t="s">
        <v>2248</v>
      </c>
      <c r="B536" s="13" t="s">
        <v>119</v>
      </c>
      <c r="C536" s="13" t="s">
        <v>120</v>
      </c>
      <c r="D536" s="13" t="s">
        <v>2249</v>
      </c>
      <c r="E536" s="14">
        <v>45881</v>
      </c>
      <c r="F536" s="14">
        <v>45912</v>
      </c>
      <c r="G536" s="15">
        <v>107345.43</v>
      </c>
      <c r="H536" s="13" t="s">
        <v>2250</v>
      </c>
      <c r="I536" s="13" t="s">
        <v>2251</v>
      </c>
      <c r="J536" s="13" t="s">
        <v>111</v>
      </c>
      <c r="K536" s="13">
        <f t="shared" si="40"/>
        <v>1</v>
      </c>
      <c r="L536" s="13">
        <f t="shared" si="41"/>
        <v>0</v>
      </c>
      <c r="M536" s="13">
        <f>IF(AND(L536=0,COUNTIFS($B$2:$B$1534,B536,$G$2:$G$1534,G536,$E$2:$E$1534,"&gt;="&amp;(E536-Assumptions!$B$5),$E$2:$E$1534,"&lt;="&amp;(E536+Assumptions!$B$5))&gt;1),1,0)</f>
        <v>0</v>
      </c>
      <c r="N536" s="13">
        <f>IF(AND(G536&gt;=Assumptions!$B$4*(1-Assumptions!$B$6),G536&lt;Assumptions!$B$4),1,0)</f>
        <v>0</v>
      </c>
      <c r="O536" s="13">
        <f>IF(AND(G536&gt;=Assumptions!$B$7,MOD(G536,Assumptions!$B$7)=0),1,0)</f>
        <v>0</v>
      </c>
      <c r="P536" s="13">
        <f t="shared" si="42"/>
        <v>0</v>
      </c>
      <c r="Q536" s="13">
        <f t="shared" si="43"/>
        <v>0</v>
      </c>
      <c r="R536" s="13">
        <f>L536*Assumptions!$B$11+M536*Assumptions!$B$12+N536*Assumptions!$B$13+O536*Assumptions!$B$14+P536*Assumptions!$B$15+Q536*Assumptions!$B$16</f>
        <v>0</v>
      </c>
      <c r="S536" s="13" t="str">
        <f>IF(R536&gt;=Assumptions!$B$20,"High",IF(R536&gt;=Assumptions!$B$21,"Medium",IF(R536&gt;=1,"Low","Clear")))</f>
        <v>Clear</v>
      </c>
      <c r="T536" s="13" t="str">
        <f t="shared" si="44"/>
        <v/>
      </c>
    </row>
    <row r="537" spans="1:20" x14ac:dyDescent="0.35">
      <c r="A537" s="13" t="s">
        <v>2252</v>
      </c>
      <c r="B537" s="13" t="s">
        <v>155</v>
      </c>
      <c r="C537" s="13" t="s">
        <v>156</v>
      </c>
      <c r="D537" s="13" t="s">
        <v>2253</v>
      </c>
      <c r="E537" s="14">
        <v>45881</v>
      </c>
      <c r="F537" s="14">
        <v>45912</v>
      </c>
      <c r="G537" s="15">
        <v>3576.76</v>
      </c>
      <c r="H537" s="13" t="s">
        <v>2254</v>
      </c>
      <c r="I537" s="13" t="s">
        <v>2255</v>
      </c>
      <c r="J537" s="13" t="s">
        <v>136</v>
      </c>
      <c r="K537" s="13">
        <f t="shared" si="40"/>
        <v>3</v>
      </c>
      <c r="L537" s="13">
        <f t="shared" si="41"/>
        <v>0</v>
      </c>
      <c r="M537" s="13">
        <f>IF(AND(L537=0,COUNTIFS($B$2:$B$1534,B537,$G$2:$G$1534,G537,$E$2:$E$1534,"&gt;="&amp;(E537-Assumptions!$B$5),$E$2:$E$1534,"&lt;="&amp;(E537+Assumptions!$B$5))&gt;1),1,0)</f>
        <v>1</v>
      </c>
      <c r="N537" s="13">
        <f>IF(AND(G537&gt;=Assumptions!$B$4*(1-Assumptions!$B$6),G537&lt;Assumptions!$B$4),1,0)</f>
        <v>0</v>
      </c>
      <c r="O537" s="13">
        <f>IF(AND(G537&gt;=Assumptions!$B$7,MOD(G537,Assumptions!$B$7)=0),1,0)</f>
        <v>0</v>
      </c>
      <c r="P537" s="13">
        <f t="shared" si="42"/>
        <v>0</v>
      </c>
      <c r="Q537" s="13">
        <f t="shared" si="43"/>
        <v>0</v>
      </c>
      <c r="R537" s="13">
        <f>L537*Assumptions!$B$11+M537*Assumptions!$B$12+N537*Assumptions!$B$13+O537*Assumptions!$B$14+P537*Assumptions!$B$15+Q537*Assumptions!$B$16</f>
        <v>3</v>
      </c>
      <c r="S537" s="13" t="str">
        <f>IF(R537&gt;=Assumptions!$B$20,"High",IF(R537&gt;=Assumptions!$B$21,"Medium",IF(R537&gt;=1,"Low","Clear")))</f>
        <v>Medium</v>
      </c>
      <c r="T537" s="13" t="str">
        <f t="shared" si="44"/>
        <v xml:space="preserve">Near-duplicate; </v>
      </c>
    </row>
    <row r="538" spans="1:20" x14ac:dyDescent="0.35">
      <c r="A538" s="13" t="s">
        <v>2256</v>
      </c>
      <c r="B538" s="13" t="s">
        <v>138</v>
      </c>
      <c r="C538" s="13" t="s">
        <v>139</v>
      </c>
      <c r="D538" s="13" t="s">
        <v>2257</v>
      </c>
      <c r="E538" s="14">
        <v>45887</v>
      </c>
      <c r="F538" s="14">
        <v>45912</v>
      </c>
      <c r="G538" s="15">
        <v>5900.79</v>
      </c>
      <c r="H538" s="13" t="s">
        <v>2258</v>
      </c>
      <c r="I538" s="13" t="s">
        <v>2259</v>
      </c>
      <c r="J538" s="13" t="s">
        <v>136</v>
      </c>
      <c r="K538" s="13">
        <f t="shared" si="40"/>
        <v>5</v>
      </c>
      <c r="L538" s="13">
        <f t="shared" si="41"/>
        <v>0</v>
      </c>
      <c r="M538" s="13">
        <f>IF(AND(L538=0,COUNTIFS($B$2:$B$1534,B538,$G$2:$G$1534,G538,$E$2:$E$1534,"&gt;="&amp;(E538-Assumptions!$B$5),$E$2:$E$1534,"&lt;="&amp;(E538+Assumptions!$B$5))&gt;1),1,0)</f>
        <v>0</v>
      </c>
      <c r="N538" s="13">
        <f>IF(AND(G538&gt;=Assumptions!$B$4*(1-Assumptions!$B$6),G538&lt;Assumptions!$B$4),1,0)</f>
        <v>0</v>
      </c>
      <c r="O538" s="13">
        <f>IF(AND(G538&gt;=Assumptions!$B$7,MOD(G538,Assumptions!$B$7)=0),1,0)</f>
        <v>0</v>
      </c>
      <c r="P538" s="13">
        <f t="shared" si="42"/>
        <v>0</v>
      </c>
      <c r="Q538" s="13">
        <f t="shared" si="43"/>
        <v>0</v>
      </c>
      <c r="R538" s="13">
        <f>L538*Assumptions!$B$11+M538*Assumptions!$B$12+N538*Assumptions!$B$13+O538*Assumptions!$B$14+P538*Assumptions!$B$15+Q538*Assumptions!$B$16</f>
        <v>0</v>
      </c>
      <c r="S538" s="13" t="str">
        <f>IF(R538&gt;=Assumptions!$B$20,"High",IF(R538&gt;=Assumptions!$B$21,"Medium",IF(R538&gt;=1,"Low","Clear")))</f>
        <v>Clear</v>
      </c>
      <c r="T538" s="13" t="str">
        <f t="shared" si="44"/>
        <v/>
      </c>
    </row>
    <row r="539" spans="1:20" x14ac:dyDescent="0.35">
      <c r="A539" s="13" t="s">
        <v>2260</v>
      </c>
      <c r="B539" s="13" t="s">
        <v>145</v>
      </c>
      <c r="C539" s="13" t="s">
        <v>146</v>
      </c>
      <c r="D539" s="13" t="s">
        <v>2261</v>
      </c>
      <c r="E539" s="14">
        <v>45874</v>
      </c>
      <c r="F539" s="14">
        <v>45912</v>
      </c>
      <c r="G539" s="15">
        <v>60751.56</v>
      </c>
      <c r="H539" s="13" t="s">
        <v>2262</v>
      </c>
      <c r="I539" s="13"/>
      <c r="J539" s="13" t="s">
        <v>98</v>
      </c>
      <c r="K539" s="13">
        <f t="shared" si="40"/>
        <v>6</v>
      </c>
      <c r="L539" s="13">
        <f t="shared" si="41"/>
        <v>0</v>
      </c>
      <c r="M539" s="13">
        <f>IF(AND(L539=0,COUNTIFS($B$2:$B$1534,B539,$G$2:$G$1534,G539,$E$2:$E$1534,"&gt;="&amp;(E539-Assumptions!$B$5),$E$2:$E$1534,"&lt;="&amp;(E539+Assumptions!$B$5))&gt;1),1,0)</f>
        <v>0</v>
      </c>
      <c r="N539" s="13">
        <f>IF(AND(G539&gt;=Assumptions!$B$4*(1-Assumptions!$B$6),G539&lt;Assumptions!$B$4),1,0)</f>
        <v>0</v>
      </c>
      <c r="O539" s="13">
        <f>IF(AND(G539&gt;=Assumptions!$B$7,MOD(G539,Assumptions!$B$7)=0),1,0)</f>
        <v>0</v>
      </c>
      <c r="P539" s="13">
        <f t="shared" si="42"/>
        <v>1</v>
      </c>
      <c r="Q539" s="13">
        <f t="shared" si="43"/>
        <v>0</v>
      </c>
      <c r="R539" s="13">
        <f>L539*Assumptions!$B$11+M539*Assumptions!$B$12+N539*Assumptions!$B$13+O539*Assumptions!$B$14+P539*Assumptions!$B$15+Q539*Assumptions!$B$16</f>
        <v>4</v>
      </c>
      <c r="S539" s="13" t="str">
        <f>IF(R539&gt;=Assumptions!$B$20,"High",IF(R539&gt;=Assumptions!$B$21,"Medium",IF(R539&gt;=1,"Low","Clear")))</f>
        <v>Medium</v>
      </c>
      <c r="T539" s="13" t="str">
        <f t="shared" si="44"/>
        <v xml:space="preserve">No PO/GRN; </v>
      </c>
    </row>
    <row r="540" spans="1:20" x14ac:dyDescent="0.35">
      <c r="A540" s="13" t="s">
        <v>2263</v>
      </c>
      <c r="B540" s="13" t="s">
        <v>293</v>
      </c>
      <c r="C540" s="13" t="s">
        <v>294</v>
      </c>
      <c r="D540" s="13" t="s">
        <v>2264</v>
      </c>
      <c r="E540" s="14">
        <v>45888</v>
      </c>
      <c r="F540" s="14">
        <v>45915</v>
      </c>
      <c r="G540" s="15">
        <v>41003.97</v>
      </c>
      <c r="H540" s="13" t="s">
        <v>2265</v>
      </c>
      <c r="I540" s="13" t="s">
        <v>2266</v>
      </c>
      <c r="J540" s="13" t="s">
        <v>91</v>
      </c>
      <c r="K540" s="13">
        <f t="shared" si="40"/>
        <v>4</v>
      </c>
      <c r="L540" s="13">
        <f t="shared" si="41"/>
        <v>0</v>
      </c>
      <c r="M540" s="13">
        <f>IF(AND(L540=0,COUNTIFS($B$2:$B$1534,B540,$G$2:$G$1534,G540,$E$2:$E$1534,"&gt;="&amp;(E540-Assumptions!$B$5),$E$2:$E$1534,"&lt;="&amp;(E540+Assumptions!$B$5))&gt;1),1,0)</f>
        <v>0</v>
      </c>
      <c r="N540" s="13">
        <f>IF(AND(G540&gt;=Assumptions!$B$4*(1-Assumptions!$B$6),G540&lt;Assumptions!$B$4),1,0)</f>
        <v>0</v>
      </c>
      <c r="O540" s="13">
        <f>IF(AND(G540&gt;=Assumptions!$B$7,MOD(G540,Assumptions!$B$7)=0),1,0)</f>
        <v>0</v>
      </c>
      <c r="P540" s="13">
        <f t="shared" si="42"/>
        <v>0</v>
      </c>
      <c r="Q540" s="13">
        <f t="shared" si="43"/>
        <v>0</v>
      </c>
      <c r="R540" s="13">
        <f>L540*Assumptions!$B$11+M540*Assumptions!$B$12+N540*Assumptions!$B$13+O540*Assumptions!$B$14+P540*Assumptions!$B$15+Q540*Assumptions!$B$16</f>
        <v>0</v>
      </c>
      <c r="S540" s="13" t="str">
        <f>IF(R540&gt;=Assumptions!$B$20,"High",IF(R540&gt;=Assumptions!$B$21,"Medium",IF(R540&gt;=1,"Low","Clear")))</f>
        <v>Clear</v>
      </c>
      <c r="T540" s="13" t="str">
        <f t="shared" si="44"/>
        <v/>
      </c>
    </row>
    <row r="541" spans="1:20" x14ac:dyDescent="0.35">
      <c r="A541" s="13" t="s">
        <v>2267</v>
      </c>
      <c r="B541" s="13" t="s">
        <v>409</v>
      </c>
      <c r="C541" s="13" t="s">
        <v>410</v>
      </c>
      <c r="D541" s="13" t="s">
        <v>2268</v>
      </c>
      <c r="E541" s="14">
        <v>45893</v>
      </c>
      <c r="F541" s="14">
        <v>45915</v>
      </c>
      <c r="G541" s="15">
        <v>14444.32</v>
      </c>
      <c r="H541" s="13" t="s">
        <v>2269</v>
      </c>
      <c r="I541" s="13" t="s">
        <v>2270</v>
      </c>
      <c r="J541" s="13" t="s">
        <v>143</v>
      </c>
      <c r="K541" s="13">
        <f t="shared" si="40"/>
        <v>1</v>
      </c>
      <c r="L541" s="13">
        <f t="shared" si="41"/>
        <v>0</v>
      </c>
      <c r="M541" s="13">
        <f>IF(AND(L541=0,COUNTIFS($B$2:$B$1534,B541,$G$2:$G$1534,G541,$E$2:$E$1534,"&gt;="&amp;(E541-Assumptions!$B$5),$E$2:$E$1534,"&lt;="&amp;(E541+Assumptions!$B$5))&gt;1),1,0)</f>
        <v>0</v>
      </c>
      <c r="N541" s="13">
        <f>IF(AND(G541&gt;=Assumptions!$B$4*(1-Assumptions!$B$6),G541&lt;Assumptions!$B$4),1,0)</f>
        <v>0</v>
      </c>
      <c r="O541" s="13">
        <f>IF(AND(G541&gt;=Assumptions!$B$7,MOD(G541,Assumptions!$B$7)=0),1,0)</f>
        <v>0</v>
      </c>
      <c r="P541" s="13">
        <f t="shared" si="42"/>
        <v>0</v>
      </c>
      <c r="Q541" s="13">
        <f t="shared" si="43"/>
        <v>0</v>
      </c>
      <c r="R541" s="13">
        <f>L541*Assumptions!$B$11+M541*Assumptions!$B$12+N541*Assumptions!$B$13+O541*Assumptions!$B$14+P541*Assumptions!$B$15+Q541*Assumptions!$B$16</f>
        <v>0</v>
      </c>
      <c r="S541" s="13" t="str">
        <f>IF(R541&gt;=Assumptions!$B$20,"High",IF(R541&gt;=Assumptions!$B$21,"Medium",IF(R541&gt;=1,"Low","Clear")))</f>
        <v>Clear</v>
      </c>
      <c r="T541" s="13" t="str">
        <f t="shared" si="44"/>
        <v/>
      </c>
    </row>
    <row r="542" spans="1:20" x14ac:dyDescent="0.35">
      <c r="A542" s="13" t="s">
        <v>2271</v>
      </c>
      <c r="B542" s="13" t="s">
        <v>774</v>
      </c>
      <c r="C542" s="13" t="s">
        <v>775</v>
      </c>
      <c r="D542" s="13" t="s">
        <v>2272</v>
      </c>
      <c r="E542" s="14">
        <v>45890</v>
      </c>
      <c r="F542" s="14">
        <v>45915</v>
      </c>
      <c r="G542" s="15">
        <v>12274.22</v>
      </c>
      <c r="H542" s="13" t="s">
        <v>2273</v>
      </c>
      <c r="I542" s="13" t="s">
        <v>2274</v>
      </c>
      <c r="J542" s="13" t="s">
        <v>170</v>
      </c>
      <c r="K542" s="13">
        <f t="shared" si="40"/>
        <v>1</v>
      </c>
      <c r="L542" s="13">
        <f t="shared" si="41"/>
        <v>0</v>
      </c>
      <c r="M542" s="13">
        <f>IF(AND(L542=0,COUNTIFS($B$2:$B$1534,B542,$G$2:$G$1534,G542,$E$2:$E$1534,"&gt;="&amp;(E542-Assumptions!$B$5),$E$2:$E$1534,"&lt;="&amp;(E542+Assumptions!$B$5))&gt;1),1,0)</f>
        <v>0</v>
      </c>
      <c r="N542" s="13">
        <f>IF(AND(G542&gt;=Assumptions!$B$4*(1-Assumptions!$B$6),G542&lt;Assumptions!$B$4),1,0)</f>
        <v>0</v>
      </c>
      <c r="O542" s="13">
        <f>IF(AND(G542&gt;=Assumptions!$B$7,MOD(G542,Assumptions!$B$7)=0),1,0)</f>
        <v>0</v>
      </c>
      <c r="P542" s="13">
        <f t="shared" si="42"/>
        <v>0</v>
      </c>
      <c r="Q542" s="13">
        <f t="shared" si="43"/>
        <v>0</v>
      </c>
      <c r="R542" s="13">
        <f>L542*Assumptions!$B$11+M542*Assumptions!$B$12+N542*Assumptions!$B$13+O542*Assumptions!$B$14+P542*Assumptions!$B$15+Q542*Assumptions!$B$16</f>
        <v>0</v>
      </c>
      <c r="S542" s="13" t="str">
        <f>IF(R542&gt;=Assumptions!$B$20,"High",IF(R542&gt;=Assumptions!$B$21,"Medium",IF(R542&gt;=1,"Low","Clear")))</f>
        <v>Clear</v>
      </c>
      <c r="T542" s="13" t="str">
        <f t="shared" si="44"/>
        <v/>
      </c>
    </row>
    <row r="543" spans="1:20" x14ac:dyDescent="0.35">
      <c r="A543" s="13" t="s">
        <v>2275</v>
      </c>
      <c r="B543" s="13" t="s">
        <v>774</v>
      </c>
      <c r="C543" s="13" t="s">
        <v>775</v>
      </c>
      <c r="D543" s="13" t="s">
        <v>2276</v>
      </c>
      <c r="E543" s="14">
        <v>45877</v>
      </c>
      <c r="F543" s="14">
        <v>45915</v>
      </c>
      <c r="G543" s="15">
        <v>14258.39</v>
      </c>
      <c r="H543" s="13" t="s">
        <v>2277</v>
      </c>
      <c r="I543" s="13" t="s">
        <v>2278</v>
      </c>
      <c r="J543" s="13" t="s">
        <v>136</v>
      </c>
      <c r="K543" s="13">
        <f t="shared" si="40"/>
        <v>1</v>
      </c>
      <c r="L543" s="13">
        <f t="shared" si="41"/>
        <v>0</v>
      </c>
      <c r="M543" s="13">
        <f>IF(AND(L543=0,COUNTIFS($B$2:$B$1534,B543,$G$2:$G$1534,G543,$E$2:$E$1534,"&gt;="&amp;(E543-Assumptions!$B$5),$E$2:$E$1534,"&lt;="&amp;(E543+Assumptions!$B$5))&gt;1),1,0)</f>
        <v>0</v>
      </c>
      <c r="N543" s="13">
        <f>IF(AND(G543&gt;=Assumptions!$B$4*(1-Assumptions!$B$6),G543&lt;Assumptions!$B$4),1,0)</f>
        <v>0</v>
      </c>
      <c r="O543" s="13">
        <f>IF(AND(G543&gt;=Assumptions!$B$7,MOD(G543,Assumptions!$B$7)=0),1,0)</f>
        <v>0</v>
      </c>
      <c r="P543" s="13">
        <f t="shared" si="42"/>
        <v>0</v>
      </c>
      <c r="Q543" s="13">
        <f t="shared" si="43"/>
        <v>0</v>
      </c>
      <c r="R543" s="13">
        <f>L543*Assumptions!$B$11+M543*Assumptions!$B$12+N543*Assumptions!$B$13+O543*Assumptions!$B$14+P543*Assumptions!$B$15+Q543*Assumptions!$B$16</f>
        <v>0</v>
      </c>
      <c r="S543" s="13" t="str">
        <f>IF(R543&gt;=Assumptions!$B$20,"High",IF(R543&gt;=Assumptions!$B$21,"Medium",IF(R543&gt;=1,"Low","Clear")))</f>
        <v>Clear</v>
      </c>
      <c r="T543" s="13" t="str">
        <f t="shared" si="44"/>
        <v/>
      </c>
    </row>
    <row r="544" spans="1:20" x14ac:dyDescent="0.35">
      <c r="A544" s="13" t="s">
        <v>2279</v>
      </c>
      <c r="B544" s="13" t="s">
        <v>323</v>
      </c>
      <c r="C544" s="13" t="s">
        <v>324</v>
      </c>
      <c r="D544" s="13" t="s">
        <v>2280</v>
      </c>
      <c r="E544" s="14">
        <v>45884</v>
      </c>
      <c r="F544" s="14">
        <v>45915</v>
      </c>
      <c r="G544" s="15">
        <v>86721.74</v>
      </c>
      <c r="H544" s="13" t="s">
        <v>2281</v>
      </c>
      <c r="I544" s="13" t="s">
        <v>2282</v>
      </c>
      <c r="J544" s="13" t="s">
        <v>143</v>
      </c>
      <c r="K544" s="13">
        <f t="shared" si="40"/>
        <v>8</v>
      </c>
      <c r="L544" s="13">
        <f t="shared" si="41"/>
        <v>0</v>
      </c>
      <c r="M544" s="13">
        <f>IF(AND(L544=0,COUNTIFS($B$2:$B$1534,B544,$G$2:$G$1534,G544,$E$2:$E$1534,"&gt;="&amp;(E544-Assumptions!$B$5),$E$2:$E$1534,"&lt;="&amp;(E544+Assumptions!$B$5))&gt;1),1,0)</f>
        <v>0</v>
      </c>
      <c r="N544" s="13">
        <f>IF(AND(G544&gt;=Assumptions!$B$4*(1-Assumptions!$B$6),G544&lt;Assumptions!$B$4),1,0)</f>
        <v>0</v>
      </c>
      <c r="O544" s="13">
        <f>IF(AND(G544&gt;=Assumptions!$B$7,MOD(G544,Assumptions!$B$7)=0),1,0)</f>
        <v>0</v>
      </c>
      <c r="P544" s="13">
        <f t="shared" si="42"/>
        <v>0</v>
      </c>
      <c r="Q544" s="13">
        <f t="shared" si="43"/>
        <v>0</v>
      </c>
      <c r="R544" s="13">
        <f>L544*Assumptions!$B$11+M544*Assumptions!$B$12+N544*Assumptions!$B$13+O544*Assumptions!$B$14+P544*Assumptions!$B$15+Q544*Assumptions!$B$16</f>
        <v>0</v>
      </c>
      <c r="S544" s="13" t="str">
        <f>IF(R544&gt;=Assumptions!$B$20,"High",IF(R544&gt;=Assumptions!$B$21,"Medium",IF(R544&gt;=1,"Low","Clear")))</f>
        <v>Clear</v>
      </c>
      <c r="T544" s="13" t="str">
        <f t="shared" si="44"/>
        <v/>
      </c>
    </row>
    <row r="545" spans="1:20" x14ac:dyDescent="0.35">
      <c r="A545" s="13" t="s">
        <v>2283</v>
      </c>
      <c r="B545" s="13" t="s">
        <v>155</v>
      </c>
      <c r="C545" s="13" t="s">
        <v>156</v>
      </c>
      <c r="D545" s="13" t="s">
        <v>2284</v>
      </c>
      <c r="E545" s="14">
        <v>45887</v>
      </c>
      <c r="F545" s="14">
        <v>45915</v>
      </c>
      <c r="G545" s="15">
        <v>160000</v>
      </c>
      <c r="H545" s="13" t="s">
        <v>2285</v>
      </c>
      <c r="I545" s="13" t="s">
        <v>2286</v>
      </c>
      <c r="J545" s="13" t="s">
        <v>91</v>
      </c>
      <c r="K545" s="13">
        <f t="shared" si="40"/>
        <v>1</v>
      </c>
      <c r="L545" s="13">
        <f t="shared" si="41"/>
        <v>0</v>
      </c>
      <c r="M545" s="13">
        <f>IF(AND(L545=0,COUNTIFS($B$2:$B$1534,B545,$G$2:$G$1534,G545,$E$2:$E$1534,"&gt;="&amp;(E545-Assumptions!$B$5),$E$2:$E$1534,"&lt;="&amp;(E545+Assumptions!$B$5))&gt;1),1,0)</f>
        <v>0</v>
      </c>
      <c r="N545" s="13">
        <f>IF(AND(G545&gt;=Assumptions!$B$4*(1-Assumptions!$B$6),G545&lt;Assumptions!$B$4),1,0)</f>
        <v>0</v>
      </c>
      <c r="O545" s="13">
        <f>IF(AND(G545&gt;=Assumptions!$B$7,MOD(G545,Assumptions!$B$7)=0),1,0)</f>
        <v>1</v>
      </c>
      <c r="P545" s="13">
        <f t="shared" si="42"/>
        <v>0</v>
      </c>
      <c r="Q545" s="13">
        <f t="shared" si="43"/>
        <v>0</v>
      </c>
      <c r="R545" s="13">
        <f>L545*Assumptions!$B$11+M545*Assumptions!$B$12+N545*Assumptions!$B$13+O545*Assumptions!$B$14+P545*Assumptions!$B$15+Q545*Assumptions!$B$16</f>
        <v>1</v>
      </c>
      <c r="S545" s="13" t="str">
        <f>IF(R545&gt;=Assumptions!$B$20,"High",IF(R545&gt;=Assumptions!$B$21,"Medium",IF(R545&gt;=1,"Low","Clear")))</f>
        <v>Low</v>
      </c>
      <c r="T545" s="13" t="str">
        <f t="shared" si="44"/>
        <v xml:space="preserve">Round amount; </v>
      </c>
    </row>
    <row r="546" spans="1:20" x14ac:dyDescent="0.35">
      <c r="A546" s="13" t="s">
        <v>2287</v>
      </c>
      <c r="B546" s="13" t="s">
        <v>161</v>
      </c>
      <c r="C546" s="13" t="s">
        <v>162</v>
      </c>
      <c r="D546" s="13" t="s">
        <v>2288</v>
      </c>
      <c r="E546" s="14">
        <v>45889</v>
      </c>
      <c r="F546" s="14">
        <v>45915</v>
      </c>
      <c r="G546" s="15">
        <v>1052.76</v>
      </c>
      <c r="H546" s="13" t="s">
        <v>2289</v>
      </c>
      <c r="I546" s="13" t="s">
        <v>2290</v>
      </c>
      <c r="J546" s="13" t="s">
        <v>111</v>
      </c>
      <c r="K546" s="13">
        <f t="shared" si="40"/>
        <v>1</v>
      </c>
      <c r="L546" s="13">
        <f t="shared" si="41"/>
        <v>0</v>
      </c>
      <c r="M546" s="13">
        <f>IF(AND(L546=0,COUNTIFS($B$2:$B$1534,B546,$G$2:$G$1534,G546,$E$2:$E$1534,"&gt;="&amp;(E546-Assumptions!$B$5),$E$2:$E$1534,"&lt;="&amp;(E546+Assumptions!$B$5))&gt;1),1,0)</f>
        <v>0</v>
      </c>
      <c r="N546" s="13">
        <f>IF(AND(G546&gt;=Assumptions!$B$4*(1-Assumptions!$B$6),G546&lt;Assumptions!$B$4),1,0)</f>
        <v>0</v>
      </c>
      <c r="O546" s="13">
        <f>IF(AND(G546&gt;=Assumptions!$B$7,MOD(G546,Assumptions!$B$7)=0),1,0)</f>
        <v>0</v>
      </c>
      <c r="P546" s="13">
        <f t="shared" si="42"/>
        <v>0</v>
      </c>
      <c r="Q546" s="13">
        <f t="shared" si="43"/>
        <v>0</v>
      </c>
      <c r="R546" s="13">
        <f>L546*Assumptions!$B$11+M546*Assumptions!$B$12+N546*Assumptions!$B$13+O546*Assumptions!$B$14+P546*Assumptions!$B$15+Q546*Assumptions!$B$16</f>
        <v>0</v>
      </c>
      <c r="S546" s="13" t="str">
        <f>IF(R546&gt;=Assumptions!$B$20,"High",IF(R546&gt;=Assumptions!$B$21,"Medium",IF(R546&gt;=1,"Low","Clear")))</f>
        <v>Clear</v>
      </c>
      <c r="T546" s="13" t="str">
        <f t="shared" si="44"/>
        <v/>
      </c>
    </row>
    <row r="547" spans="1:20" x14ac:dyDescent="0.35">
      <c r="A547" s="13" t="s">
        <v>2291</v>
      </c>
      <c r="B547" s="13" t="s">
        <v>476</v>
      </c>
      <c r="C547" s="13" t="s">
        <v>477</v>
      </c>
      <c r="D547" s="13" t="s">
        <v>2292</v>
      </c>
      <c r="E547" s="14">
        <v>45883</v>
      </c>
      <c r="F547" s="14">
        <v>45915</v>
      </c>
      <c r="G547" s="15">
        <v>48400.86</v>
      </c>
      <c r="H547" s="13" t="s">
        <v>2293</v>
      </c>
      <c r="I547" s="13" t="s">
        <v>2294</v>
      </c>
      <c r="J547" s="13" t="s">
        <v>98</v>
      </c>
      <c r="K547" s="13">
        <f t="shared" si="40"/>
        <v>4</v>
      </c>
      <c r="L547" s="13">
        <f t="shared" si="41"/>
        <v>0</v>
      </c>
      <c r="M547" s="13">
        <f>IF(AND(L547=0,COUNTIFS($B$2:$B$1534,B547,$G$2:$G$1534,G547,$E$2:$E$1534,"&gt;="&amp;(E547-Assumptions!$B$5),$E$2:$E$1534,"&lt;="&amp;(E547+Assumptions!$B$5))&gt;1),1,0)</f>
        <v>0</v>
      </c>
      <c r="N547" s="13">
        <f>IF(AND(G547&gt;=Assumptions!$B$4*(1-Assumptions!$B$6),G547&lt;Assumptions!$B$4),1,0)</f>
        <v>1</v>
      </c>
      <c r="O547" s="13">
        <f>IF(AND(G547&gt;=Assumptions!$B$7,MOD(G547,Assumptions!$B$7)=0),1,0)</f>
        <v>0</v>
      </c>
      <c r="P547" s="13">
        <f t="shared" si="42"/>
        <v>0</v>
      </c>
      <c r="Q547" s="13">
        <f t="shared" si="43"/>
        <v>0</v>
      </c>
      <c r="R547" s="13">
        <f>L547*Assumptions!$B$11+M547*Assumptions!$B$12+N547*Assumptions!$B$13+O547*Assumptions!$B$14+P547*Assumptions!$B$15+Q547*Assumptions!$B$16</f>
        <v>3</v>
      </c>
      <c r="S547" s="13" t="str">
        <f>IF(R547&gt;=Assumptions!$B$20,"High",IF(R547&gt;=Assumptions!$B$21,"Medium",IF(R547&gt;=1,"Low","Clear")))</f>
        <v>Medium</v>
      </c>
      <c r="T547" s="13" t="str">
        <f t="shared" si="44"/>
        <v xml:space="preserve">Just below limit; </v>
      </c>
    </row>
    <row r="548" spans="1:20" x14ac:dyDescent="0.35">
      <c r="A548" s="13" t="s">
        <v>2295</v>
      </c>
      <c r="B548" s="13" t="s">
        <v>138</v>
      </c>
      <c r="C548" s="13" t="s">
        <v>139</v>
      </c>
      <c r="D548" s="13" t="s">
        <v>2296</v>
      </c>
      <c r="E548" s="14">
        <v>45892</v>
      </c>
      <c r="F548" s="14">
        <v>45915</v>
      </c>
      <c r="G548" s="15">
        <v>3049.64</v>
      </c>
      <c r="H548" s="13" t="s">
        <v>2297</v>
      </c>
      <c r="I548" s="13" t="s">
        <v>2298</v>
      </c>
      <c r="J548" s="13" t="s">
        <v>111</v>
      </c>
      <c r="K548" s="13">
        <f t="shared" si="40"/>
        <v>3</v>
      </c>
      <c r="L548" s="13">
        <f t="shared" si="41"/>
        <v>0</v>
      </c>
      <c r="M548" s="13">
        <f>IF(AND(L548=0,COUNTIFS($B$2:$B$1534,B548,$G$2:$G$1534,G548,$E$2:$E$1534,"&gt;="&amp;(E548-Assumptions!$B$5),$E$2:$E$1534,"&lt;="&amp;(E548+Assumptions!$B$5))&gt;1),1,0)</f>
        <v>0</v>
      </c>
      <c r="N548" s="13">
        <f>IF(AND(G548&gt;=Assumptions!$B$4*(1-Assumptions!$B$6),G548&lt;Assumptions!$B$4),1,0)</f>
        <v>0</v>
      </c>
      <c r="O548" s="13">
        <f>IF(AND(G548&gt;=Assumptions!$B$7,MOD(G548,Assumptions!$B$7)=0),1,0)</f>
        <v>0</v>
      </c>
      <c r="P548" s="13">
        <f t="shared" si="42"/>
        <v>0</v>
      </c>
      <c r="Q548" s="13">
        <f t="shared" si="43"/>
        <v>0</v>
      </c>
      <c r="R548" s="13">
        <f>L548*Assumptions!$B$11+M548*Assumptions!$B$12+N548*Assumptions!$B$13+O548*Assumptions!$B$14+P548*Assumptions!$B$15+Q548*Assumptions!$B$16</f>
        <v>0</v>
      </c>
      <c r="S548" s="13" t="str">
        <f>IF(R548&gt;=Assumptions!$B$20,"High",IF(R548&gt;=Assumptions!$B$21,"Medium",IF(R548&gt;=1,"Low","Clear")))</f>
        <v>Clear</v>
      </c>
      <c r="T548" s="13" t="str">
        <f t="shared" si="44"/>
        <v/>
      </c>
    </row>
    <row r="549" spans="1:20" x14ac:dyDescent="0.35">
      <c r="A549" s="13" t="s">
        <v>2299</v>
      </c>
      <c r="B549" s="13" t="s">
        <v>339</v>
      </c>
      <c r="C549" s="13" t="s">
        <v>340</v>
      </c>
      <c r="D549" s="13" t="s">
        <v>2300</v>
      </c>
      <c r="E549" s="14">
        <v>45893</v>
      </c>
      <c r="F549" s="14">
        <v>45915</v>
      </c>
      <c r="G549" s="15">
        <v>5646.98</v>
      </c>
      <c r="H549" s="13" t="s">
        <v>2301</v>
      </c>
      <c r="I549" s="13" t="s">
        <v>2302</v>
      </c>
      <c r="J549" s="13" t="s">
        <v>170</v>
      </c>
      <c r="K549" s="13">
        <f t="shared" si="40"/>
        <v>5</v>
      </c>
      <c r="L549" s="13">
        <f t="shared" si="41"/>
        <v>0</v>
      </c>
      <c r="M549" s="13">
        <f>IF(AND(L549=0,COUNTIFS($B$2:$B$1534,B549,$G$2:$G$1534,G549,$E$2:$E$1534,"&gt;="&amp;(E549-Assumptions!$B$5),$E$2:$E$1534,"&lt;="&amp;(E549+Assumptions!$B$5))&gt;1),1,0)</f>
        <v>0</v>
      </c>
      <c r="N549" s="13">
        <f>IF(AND(G549&gt;=Assumptions!$B$4*(1-Assumptions!$B$6),G549&lt;Assumptions!$B$4),1,0)</f>
        <v>0</v>
      </c>
      <c r="O549" s="13">
        <f>IF(AND(G549&gt;=Assumptions!$B$7,MOD(G549,Assumptions!$B$7)=0),1,0)</f>
        <v>0</v>
      </c>
      <c r="P549" s="13">
        <f t="shared" si="42"/>
        <v>0</v>
      </c>
      <c r="Q549" s="13">
        <f t="shared" si="43"/>
        <v>0</v>
      </c>
      <c r="R549" s="13">
        <f>L549*Assumptions!$B$11+M549*Assumptions!$B$12+N549*Assumptions!$B$13+O549*Assumptions!$B$14+P549*Assumptions!$B$15+Q549*Assumptions!$B$16</f>
        <v>0</v>
      </c>
      <c r="S549" s="13" t="str">
        <f>IF(R549&gt;=Assumptions!$B$20,"High",IF(R549&gt;=Assumptions!$B$21,"Medium",IF(R549&gt;=1,"Low","Clear")))</f>
        <v>Clear</v>
      </c>
      <c r="T549" s="13" t="str">
        <f t="shared" si="44"/>
        <v/>
      </c>
    </row>
    <row r="550" spans="1:20" x14ac:dyDescent="0.35">
      <c r="A550" s="13" t="s">
        <v>2303</v>
      </c>
      <c r="B550" s="13" t="s">
        <v>339</v>
      </c>
      <c r="C550" s="13" t="s">
        <v>340</v>
      </c>
      <c r="D550" s="13" t="s">
        <v>2304</v>
      </c>
      <c r="E550" s="14">
        <v>45875</v>
      </c>
      <c r="F550" s="14">
        <v>45915</v>
      </c>
      <c r="G550" s="15">
        <v>959979.22</v>
      </c>
      <c r="H550" s="13" t="s">
        <v>2305</v>
      </c>
      <c r="I550" s="13" t="s">
        <v>2306</v>
      </c>
      <c r="J550" s="13" t="s">
        <v>98</v>
      </c>
      <c r="K550" s="13">
        <f t="shared" si="40"/>
        <v>9</v>
      </c>
      <c r="L550" s="13">
        <f t="shared" si="41"/>
        <v>0</v>
      </c>
      <c r="M550" s="13">
        <f>IF(AND(L550=0,COUNTIFS($B$2:$B$1534,B550,$G$2:$G$1534,G550,$E$2:$E$1534,"&gt;="&amp;(E550-Assumptions!$B$5),$E$2:$E$1534,"&lt;="&amp;(E550+Assumptions!$B$5))&gt;1),1,0)</f>
        <v>0</v>
      </c>
      <c r="N550" s="13">
        <f>IF(AND(G550&gt;=Assumptions!$B$4*(1-Assumptions!$B$6),G550&lt;Assumptions!$B$4),1,0)</f>
        <v>0</v>
      </c>
      <c r="O550" s="13">
        <f>IF(AND(G550&gt;=Assumptions!$B$7,MOD(G550,Assumptions!$B$7)=0),1,0)</f>
        <v>0</v>
      </c>
      <c r="P550" s="13">
        <f t="shared" si="42"/>
        <v>0</v>
      </c>
      <c r="Q550" s="13">
        <f t="shared" si="43"/>
        <v>0</v>
      </c>
      <c r="R550" s="13">
        <f>L550*Assumptions!$B$11+M550*Assumptions!$B$12+N550*Assumptions!$B$13+O550*Assumptions!$B$14+P550*Assumptions!$B$15+Q550*Assumptions!$B$16</f>
        <v>0</v>
      </c>
      <c r="S550" s="13" t="str">
        <f>IF(R550&gt;=Assumptions!$B$20,"High",IF(R550&gt;=Assumptions!$B$21,"Medium",IF(R550&gt;=1,"Low","Clear")))</f>
        <v>Clear</v>
      </c>
      <c r="T550" s="13" t="str">
        <f t="shared" si="44"/>
        <v/>
      </c>
    </row>
    <row r="551" spans="1:20" x14ac:dyDescent="0.35">
      <c r="A551" s="13" t="s">
        <v>2307</v>
      </c>
      <c r="B551" s="13" t="s">
        <v>556</v>
      </c>
      <c r="C551" s="13" t="s">
        <v>557</v>
      </c>
      <c r="D551" s="13" t="s">
        <v>2308</v>
      </c>
      <c r="E551" s="14">
        <v>45885</v>
      </c>
      <c r="F551" s="14">
        <v>45915</v>
      </c>
      <c r="G551" s="15">
        <v>359037.23</v>
      </c>
      <c r="H551" s="13" t="s">
        <v>2309</v>
      </c>
      <c r="I551" s="13" t="s">
        <v>2310</v>
      </c>
      <c r="J551" s="13" t="s">
        <v>98</v>
      </c>
      <c r="K551" s="13">
        <f t="shared" si="40"/>
        <v>3</v>
      </c>
      <c r="L551" s="13">
        <f t="shared" si="41"/>
        <v>0</v>
      </c>
      <c r="M551" s="13">
        <f>IF(AND(L551=0,COUNTIFS($B$2:$B$1534,B551,$G$2:$G$1534,G551,$E$2:$E$1534,"&gt;="&amp;(E551-Assumptions!$B$5),$E$2:$E$1534,"&lt;="&amp;(E551+Assumptions!$B$5))&gt;1),1,0)</f>
        <v>0</v>
      </c>
      <c r="N551" s="13">
        <f>IF(AND(G551&gt;=Assumptions!$B$4*(1-Assumptions!$B$6),G551&lt;Assumptions!$B$4),1,0)</f>
        <v>0</v>
      </c>
      <c r="O551" s="13">
        <f>IF(AND(G551&gt;=Assumptions!$B$7,MOD(G551,Assumptions!$B$7)=0),1,0)</f>
        <v>0</v>
      </c>
      <c r="P551" s="13">
        <f t="shared" si="42"/>
        <v>0</v>
      </c>
      <c r="Q551" s="13">
        <f t="shared" si="43"/>
        <v>0</v>
      </c>
      <c r="R551" s="13">
        <f>L551*Assumptions!$B$11+M551*Assumptions!$B$12+N551*Assumptions!$B$13+O551*Assumptions!$B$14+P551*Assumptions!$B$15+Q551*Assumptions!$B$16</f>
        <v>0</v>
      </c>
      <c r="S551" s="13" t="str">
        <f>IF(R551&gt;=Assumptions!$B$20,"High",IF(R551&gt;=Assumptions!$B$21,"Medium",IF(R551&gt;=1,"Low","Clear")))</f>
        <v>Clear</v>
      </c>
      <c r="T551" s="13" t="str">
        <f t="shared" si="44"/>
        <v/>
      </c>
    </row>
    <row r="552" spans="1:20" x14ac:dyDescent="0.35">
      <c r="A552" s="13" t="s">
        <v>2311</v>
      </c>
      <c r="B552" s="13" t="s">
        <v>357</v>
      </c>
      <c r="C552" s="13" t="s">
        <v>358</v>
      </c>
      <c r="D552" s="13" t="s">
        <v>2312</v>
      </c>
      <c r="E552" s="14">
        <v>45883</v>
      </c>
      <c r="F552" s="14">
        <v>45915</v>
      </c>
      <c r="G552" s="15">
        <v>794618.88</v>
      </c>
      <c r="H552" s="13" t="s">
        <v>2313</v>
      </c>
      <c r="I552" s="13" t="s">
        <v>2314</v>
      </c>
      <c r="J552" s="13" t="s">
        <v>143</v>
      </c>
      <c r="K552" s="13">
        <f t="shared" si="40"/>
        <v>7</v>
      </c>
      <c r="L552" s="13">
        <f t="shared" si="41"/>
        <v>0</v>
      </c>
      <c r="M552" s="13">
        <f>IF(AND(L552=0,COUNTIFS($B$2:$B$1534,B552,$G$2:$G$1534,G552,$E$2:$E$1534,"&gt;="&amp;(E552-Assumptions!$B$5),$E$2:$E$1534,"&lt;="&amp;(E552+Assumptions!$B$5))&gt;1),1,0)</f>
        <v>0</v>
      </c>
      <c r="N552" s="13">
        <f>IF(AND(G552&gt;=Assumptions!$B$4*(1-Assumptions!$B$6),G552&lt;Assumptions!$B$4),1,0)</f>
        <v>0</v>
      </c>
      <c r="O552" s="13">
        <f>IF(AND(G552&gt;=Assumptions!$B$7,MOD(G552,Assumptions!$B$7)=0),1,0)</f>
        <v>0</v>
      </c>
      <c r="P552" s="13">
        <f t="shared" si="42"/>
        <v>0</v>
      </c>
      <c r="Q552" s="13">
        <f t="shared" si="43"/>
        <v>0</v>
      </c>
      <c r="R552" s="13">
        <f>L552*Assumptions!$B$11+M552*Assumptions!$B$12+N552*Assumptions!$B$13+O552*Assumptions!$B$14+P552*Assumptions!$B$15+Q552*Assumptions!$B$16</f>
        <v>0</v>
      </c>
      <c r="S552" s="13" t="str">
        <f>IF(R552&gt;=Assumptions!$B$20,"High",IF(R552&gt;=Assumptions!$B$21,"Medium",IF(R552&gt;=1,"Low","Clear")))</f>
        <v>Clear</v>
      </c>
      <c r="T552" s="13" t="str">
        <f t="shared" si="44"/>
        <v/>
      </c>
    </row>
    <row r="553" spans="1:20" x14ac:dyDescent="0.35">
      <c r="A553" s="13" t="s">
        <v>2315</v>
      </c>
      <c r="B553" s="13" t="s">
        <v>409</v>
      </c>
      <c r="C553" s="13" t="s">
        <v>410</v>
      </c>
      <c r="D553" s="13" t="s">
        <v>2316</v>
      </c>
      <c r="E553" s="14">
        <v>45889</v>
      </c>
      <c r="F553" s="14">
        <v>45916</v>
      </c>
      <c r="G553" s="15">
        <v>1973.46</v>
      </c>
      <c r="H553" s="13" t="s">
        <v>2317</v>
      </c>
      <c r="I553" s="13" t="s">
        <v>2318</v>
      </c>
      <c r="J553" s="13" t="s">
        <v>111</v>
      </c>
      <c r="K553" s="13">
        <f t="shared" si="40"/>
        <v>1</v>
      </c>
      <c r="L553" s="13">
        <f t="shared" si="41"/>
        <v>0</v>
      </c>
      <c r="M553" s="13">
        <f>IF(AND(L553=0,COUNTIFS($B$2:$B$1534,B553,$G$2:$G$1534,G553,$E$2:$E$1534,"&gt;="&amp;(E553-Assumptions!$B$5),$E$2:$E$1534,"&lt;="&amp;(E553+Assumptions!$B$5))&gt;1),1,0)</f>
        <v>0</v>
      </c>
      <c r="N553" s="13">
        <f>IF(AND(G553&gt;=Assumptions!$B$4*(1-Assumptions!$B$6),G553&lt;Assumptions!$B$4),1,0)</f>
        <v>0</v>
      </c>
      <c r="O553" s="13">
        <f>IF(AND(G553&gt;=Assumptions!$B$7,MOD(G553,Assumptions!$B$7)=0),1,0)</f>
        <v>0</v>
      </c>
      <c r="P553" s="13">
        <f t="shared" si="42"/>
        <v>0</v>
      </c>
      <c r="Q553" s="13">
        <f t="shared" si="43"/>
        <v>0</v>
      </c>
      <c r="R553" s="13">
        <f>L553*Assumptions!$B$11+M553*Assumptions!$B$12+N553*Assumptions!$B$13+O553*Assumptions!$B$14+P553*Assumptions!$B$15+Q553*Assumptions!$B$16</f>
        <v>0</v>
      </c>
      <c r="S553" s="13" t="str">
        <f>IF(R553&gt;=Assumptions!$B$20,"High",IF(R553&gt;=Assumptions!$B$21,"Medium",IF(R553&gt;=1,"Low","Clear")))</f>
        <v>Clear</v>
      </c>
      <c r="T553" s="13" t="str">
        <f t="shared" si="44"/>
        <v/>
      </c>
    </row>
    <row r="554" spans="1:20" x14ac:dyDescent="0.35">
      <c r="A554" s="13" t="s">
        <v>2319</v>
      </c>
      <c r="B554" s="13" t="s">
        <v>119</v>
      </c>
      <c r="C554" s="13" t="s">
        <v>120</v>
      </c>
      <c r="D554" s="13" t="s">
        <v>2320</v>
      </c>
      <c r="E554" s="14">
        <v>45889</v>
      </c>
      <c r="F554" s="14">
        <v>45916</v>
      </c>
      <c r="G554" s="15">
        <v>65931.09</v>
      </c>
      <c r="H554" s="13" t="s">
        <v>2321</v>
      </c>
      <c r="I554" s="13" t="s">
        <v>2322</v>
      </c>
      <c r="J554" s="13" t="s">
        <v>98</v>
      </c>
      <c r="K554" s="13">
        <f t="shared" si="40"/>
        <v>6</v>
      </c>
      <c r="L554" s="13">
        <f t="shared" si="41"/>
        <v>0</v>
      </c>
      <c r="M554" s="13">
        <f>IF(AND(L554=0,COUNTIFS($B$2:$B$1534,B554,$G$2:$G$1534,G554,$E$2:$E$1534,"&gt;="&amp;(E554-Assumptions!$B$5),$E$2:$E$1534,"&lt;="&amp;(E554+Assumptions!$B$5))&gt;1),1,0)</f>
        <v>0</v>
      </c>
      <c r="N554" s="13">
        <f>IF(AND(G554&gt;=Assumptions!$B$4*(1-Assumptions!$B$6),G554&lt;Assumptions!$B$4),1,0)</f>
        <v>0</v>
      </c>
      <c r="O554" s="13">
        <f>IF(AND(G554&gt;=Assumptions!$B$7,MOD(G554,Assumptions!$B$7)=0),1,0)</f>
        <v>0</v>
      </c>
      <c r="P554" s="13">
        <f t="shared" si="42"/>
        <v>0</v>
      </c>
      <c r="Q554" s="13">
        <f t="shared" si="43"/>
        <v>0</v>
      </c>
      <c r="R554" s="13">
        <f>L554*Assumptions!$B$11+M554*Assumptions!$B$12+N554*Assumptions!$B$13+O554*Assumptions!$B$14+P554*Assumptions!$B$15+Q554*Assumptions!$B$16</f>
        <v>0</v>
      </c>
      <c r="S554" s="13" t="str">
        <f>IF(R554&gt;=Assumptions!$B$20,"High",IF(R554&gt;=Assumptions!$B$21,"Medium",IF(R554&gt;=1,"Low","Clear")))</f>
        <v>Clear</v>
      </c>
      <c r="T554" s="13" t="str">
        <f t="shared" si="44"/>
        <v/>
      </c>
    </row>
    <row r="555" spans="1:20" x14ac:dyDescent="0.35">
      <c r="A555" s="13" t="s">
        <v>2323</v>
      </c>
      <c r="B555" s="13" t="s">
        <v>119</v>
      </c>
      <c r="C555" s="13" t="s">
        <v>120</v>
      </c>
      <c r="D555" s="13" t="s">
        <v>2324</v>
      </c>
      <c r="E555" s="14">
        <v>45878</v>
      </c>
      <c r="F555" s="14">
        <v>45916</v>
      </c>
      <c r="G555" s="15">
        <v>1759.17</v>
      </c>
      <c r="H555" s="13" t="s">
        <v>2325</v>
      </c>
      <c r="I555" s="13" t="s">
        <v>2326</v>
      </c>
      <c r="J555" s="13" t="s">
        <v>111</v>
      </c>
      <c r="K555" s="13">
        <f t="shared" si="40"/>
        <v>1</v>
      </c>
      <c r="L555" s="13">
        <f t="shared" si="41"/>
        <v>0</v>
      </c>
      <c r="M555" s="13">
        <f>IF(AND(L555=0,COUNTIFS($B$2:$B$1534,B555,$G$2:$G$1534,G555,$E$2:$E$1534,"&gt;="&amp;(E555-Assumptions!$B$5),$E$2:$E$1534,"&lt;="&amp;(E555+Assumptions!$B$5))&gt;1),1,0)</f>
        <v>0</v>
      </c>
      <c r="N555" s="13">
        <f>IF(AND(G555&gt;=Assumptions!$B$4*(1-Assumptions!$B$6),G555&lt;Assumptions!$B$4),1,0)</f>
        <v>0</v>
      </c>
      <c r="O555" s="13">
        <f>IF(AND(G555&gt;=Assumptions!$B$7,MOD(G555,Assumptions!$B$7)=0),1,0)</f>
        <v>0</v>
      </c>
      <c r="P555" s="13">
        <f t="shared" si="42"/>
        <v>0</v>
      </c>
      <c r="Q555" s="13">
        <f t="shared" si="43"/>
        <v>0</v>
      </c>
      <c r="R555" s="13">
        <f>L555*Assumptions!$B$11+M555*Assumptions!$B$12+N555*Assumptions!$B$13+O555*Assumptions!$B$14+P555*Assumptions!$B$15+Q555*Assumptions!$B$16</f>
        <v>0</v>
      </c>
      <c r="S555" s="13" t="str">
        <f>IF(R555&gt;=Assumptions!$B$20,"High",IF(R555&gt;=Assumptions!$B$21,"Medium",IF(R555&gt;=1,"Low","Clear")))</f>
        <v>Clear</v>
      </c>
      <c r="T555" s="13" t="str">
        <f t="shared" si="44"/>
        <v/>
      </c>
    </row>
    <row r="556" spans="1:20" x14ac:dyDescent="0.35">
      <c r="A556" s="13" t="s">
        <v>2327</v>
      </c>
      <c r="B556" s="13" t="s">
        <v>212</v>
      </c>
      <c r="C556" s="13" t="s">
        <v>213</v>
      </c>
      <c r="D556" s="13" t="s">
        <v>2328</v>
      </c>
      <c r="E556" s="14">
        <v>45895</v>
      </c>
      <c r="F556" s="14">
        <v>45916</v>
      </c>
      <c r="G556" s="15">
        <v>2786.22</v>
      </c>
      <c r="H556" s="13" t="s">
        <v>2329</v>
      </c>
      <c r="I556" s="13" t="s">
        <v>2330</v>
      </c>
      <c r="J556" s="13" t="s">
        <v>143</v>
      </c>
      <c r="K556" s="13">
        <f t="shared" si="40"/>
        <v>2</v>
      </c>
      <c r="L556" s="13">
        <f t="shared" si="41"/>
        <v>0</v>
      </c>
      <c r="M556" s="13">
        <f>IF(AND(L556=0,COUNTIFS($B$2:$B$1534,B556,$G$2:$G$1534,G556,$E$2:$E$1534,"&gt;="&amp;(E556-Assumptions!$B$5),$E$2:$E$1534,"&lt;="&amp;(E556+Assumptions!$B$5))&gt;1),1,0)</f>
        <v>0</v>
      </c>
      <c r="N556" s="13">
        <f>IF(AND(G556&gt;=Assumptions!$B$4*(1-Assumptions!$B$6),G556&lt;Assumptions!$B$4),1,0)</f>
        <v>0</v>
      </c>
      <c r="O556" s="13">
        <f>IF(AND(G556&gt;=Assumptions!$B$7,MOD(G556,Assumptions!$B$7)=0),1,0)</f>
        <v>0</v>
      </c>
      <c r="P556" s="13">
        <f t="shared" si="42"/>
        <v>0</v>
      </c>
      <c r="Q556" s="13">
        <f t="shared" si="43"/>
        <v>0</v>
      </c>
      <c r="R556" s="13">
        <f>L556*Assumptions!$B$11+M556*Assumptions!$B$12+N556*Assumptions!$B$13+O556*Assumptions!$B$14+P556*Assumptions!$B$15+Q556*Assumptions!$B$16</f>
        <v>0</v>
      </c>
      <c r="S556" s="13" t="str">
        <f>IF(R556&gt;=Assumptions!$B$20,"High",IF(R556&gt;=Assumptions!$B$21,"Medium",IF(R556&gt;=1,"Low","Clear")))</f>
        <v>Clear</v>
      </c>
      <c r="T556" s="13" t="str">
        <f t="shared" si="44"/>
        <v/>
      </c>
    </row>
    <row r="557" spans="1:20" x14ac:dyDescent="0.35">
      <c r="A557" s="13" t="s">
        <v>2331</v>
      </c>
      <c r="B557" s="13" t="s">
        <v>228</v>
      </c>
      <c r="C557" s="13" t="s">
        <v>229</v>
      </c>
      <c r="D557" s="13" t="s">
        <v>2332</v>
      </c>
      <c r="E557" s="14">
        <v>45886</v>
      </c>
      <c r="F557" s="14">
        <v>45917</v>
      </c>
      <c r="G557" s="15">
        <v>48897.2</v>
      </c>
      <c r="H557" s="13" t="s">
        <v>2333</v>
      </c>
      <c r="I557" s="13" t="s">
        <v>2334</v>
      </c>
      <c r="J557" s="13" t="s">
        <v>143</v>
      </c>
      <c r="K557" s="13">
        <f t="shared" si="40"/>
        <v>4</v>
      </c>
      <c r="L557" s="13">
        <f t="shared" si="41"/>
        <v>0</v>
      </c>
      <c r="M557" s="13">
        <f>IF(AND(L557=0,COUNTIFS($B$2:$B$1534,B557,$G$2:$G$1534,G557,$E$2:$E$1534,"&gt;="&amp;(E557-Assumptions!$B$5),$E$2:$E$1534,"&lt;="&amp;(E557+Assumptions!$B$5))&gt;1),1,0)</f>
        <v>0</v>
      </c>
      <c r="N557" s="13">
        <f>IF(AND(G557&gt;=Assumptions!$B$4*(1-Assumptions!$B$6),G557&lt;Assumptions!$B$4),1,0)</f>
        <v>1</v>
      </c>
      <c r="O557" s="13">
        <f>IF(AND(G557&gt;=Assumptions!$B$7,MOD(G557,Assumptions!$B$7)=0),1,0)</f>
        <v>0</v>
      </c>
      <c r="P557" s="13">
        <f t="shared" si="42"/>
        <v>0</v>
      </c>
      <c r="Q557" s="13">
        <f t="shared" si="43"/>
        <v>0</v>
      </c>
      <c r="R557" s="13">
        <f>L557*Assumptions!$B$11+M557*Assumptions!$B$12+N557*Assumptions!$B$13+O557*Assumptions!$B$14+P557*Assumptions!$B$15+Q557*Assumptions!$B$16</f>
        <v>3</v>
      </c>
      <c r="S557" s="13" t="str">
        <f>IF(R557&gt;=Assumptions!$B$20,"High",IF(R557&gt;=Assumptions!$B$21,"Medium",IF(R557&gt;=1,"Low","Clear")))</f>
        <v>Medium</v>
      </c>
      <c r="T557" s="13" t="str">
        <f t="shared" si="44"/>
        <v xml:space="preserve">Just below limit; </v>
      </c>
    </row>
    <row r="558" spans="1:20" x14ac:dyDescent="0.35">
      <c r="A558" s="13" t="s">
        <v>2335</v>
      </c>
      <c r="B558" s="13" t="s">
        <v>145</v>
      </c>
      <c r="C558" s="13" t="s">
        <v>146</v>
      </c>
      <c r="D558" s="13" t="s">
        <v>2336</v>
      </c>
      <c r="E558" s="14">
        <v>45896</v>
      </c>
      <c r="F558" s="14">
        <v>45917</v>
      </c>
      <c r="G558" s="15">
        <v>37011.14</v>
      </c>
      <c r="H558" s="13" t="s">
        <v>2337</v>
      </c>
      <c r="I558" s="13" t="s">
        <v>2338</v>
      </c>
      <c r="J558" s="13" t="s">
        <v>170</v>
      </c>
      <c r="K558" s="13">
        <f t="shared" si="40"/>
        <v>3</v>
      </c>
      <c r="L558" s="13">
        <f t="shared" si="41"/>
        <v>0</v>
      </c>
      <c r="M558" s="13">
        <f>IF(AND(L558=0,COUNTIFS($B$2:$B$1534,B558,$G$2:$G$1534,G558,$E$2:$E$1534,"&gt;="&amp;(E558-Assumptions!$B$5),$E$2:$E$1534,"&lt;="&amp;(E558+Assumptions!$B$5))&gt;1),1,0)</f>
        <v>0</v>
      </c>
      <c r="N558" s="13">
        <f>IF(AND(G558&gt;=Assumptions!$B$4*(1-Assumptions!$B$6),G558&lt;Assumptions!$B$4),1,0)</f>
        <v>0</v>
      </c>
      <c r="O558" s="13">
        <f>IF(AND(G558&gt;=Assumptions!$B$7,MOD(G558,Assumptions!$B$7)=0),1,0)</f>
        <v>0</v>
      </c>
      <c r="P558" s="13">
        <f t="shared" si="42"/>
        <v>0</v>
      </c>
      <c r="Q558" s="13">
        <f t="shared" si="43"/>
        <v>0</v>
      </c>
      <c r="R558" s="13">
        <f>L558*Assumptions!$B$11+M558*Assumptions!$B$12+N558*Assumptions!$B$13+O558*Assumptions!$B$14+P558*Assumptions!$B$15+Q558*Assumptions!$B$16</f>
        <v>0</v>
      </c>
      <c r="S558" s="13" t="str">
        <f>IF(R558&gt;=Assumptions!$B$20,"High",IF(R558&gt;=Assumptions!$B$21,"Medium",IF(R558&gt;=1,"Low","Clear")))</f>
        <v>Clear</v>
      </c>
      <c r="T558" s="13" t="str">
        <f t="shared" si="44"/>
        <v/>
      </c>
    </row>
    <row r="559" spans="1:20" x14ac:dyDescent="0.35">
      <c r="A559" s="13" t="s">
        <v>2339</v>
      </c>
      <c r="B559" s="13" t="s">
        <v>391</v>
      </c>
      <c r="C559" s="13" t="s">
        <v>392</v>
      </c>
      <c r="D559" s="13" t="s">
        <v>2340</v>
      </c>
      <c r="E559" s="14">
        <v>45890</v>
      </c>
      <c r="F559" s="14">
        <v>45918</v>
      </c>
      <c r="G559" s="15">
        <v>2498.14</v>
      </c>
      <c r="H559" s="13" t="s">
        <v>2341</v>
      </c>
      <c r="I559" s="13" t="s">
        <v>2342</v>
      </c>
      <c r="J559" s="13" t="s">
        <v>170</v>
      </c>
      <c r="K559" s="13">
        <f t="shared" si="40"/>
        <v>2</v>
      </c>
      <c r="L559" s="13">
        <f t="shared" si="41"/>
        <v>0</v>
      </c>
      <c r="M559" s="13">
        <f>IF(AND(L559=0,COUNTIFS($B$2:$B$1534,B559,$G$2:$G$1534,G559,$E$2:$E$1534,"&gt;="&amp;(E559-Assumptions!$B$5),$E$2:$E$1534,"&lt;="&amp;(E559+Assumptions!$B$5))&gt;1),1,0)</f>
        <v>0</v>
      </c>
      <c r="N559" s="13">
        <f>IF(AND(G559&gt;=Assumptions!$B$4*(1-Assumptions!$B$6),G559&lt;Assumptions!$B$4),1,0)</f>
        <v>0</v>
      </c>
      <c r="O559" s="13">
        <f>IF(AND(G559&gt;=Assumptions!$B$7,MOD(G559,Assumptions!$B$7)=0),1,0)</f>
        <v>0</v>
      </c>
      <c r="P559" s="13">
        <f t="shared" si="42"/>
        <v>0</v>
      </c>
      <c r="Q559" s="13">
        <f t="shared" si="43"/>
        <v>0</v>
      </c>
      <c r="R559" s="13">
        <f>L559*Assumptions!$B$11+M559*Assumptions!$B$12+N559*Assumptions!$B$13+O559*Assumptions!$B$14+P559*Assumptions!$B$15+Q559*Assumptions!$B$16</f>
        <v>0</v>
      </c>
      <c r="S559" s="13" t="str">
        <f>IF(R559&gt;=Assumptions!$B$20,"High",IF(R559&gt;=Assumptions!$B$21,"Medium",IF(R559&gt;=1,"Low","Clear")))</f>
        <v>Clear</v>
      </c>
      <c r="T559" s="13" t="str">
        <f t="shared" si="44"/>
        <v/>
      </c>
    </row>
    <row r="560" spans="1:20" x14ac:dyDescent="0.35">
      <c r="A560" s="13" t="s">
        <v>2343</v>
      </c>
      <c r="B560" s="13" t="s">
        <v>234</v>
      </c>
      <c r="C560" s="13" t="s">
        <v>235</v>
      </c>
      <c r="D560" s="13" t="s">
        <v>2344</v>
      </c>
      <c r="E560" s="14">
        <v>45881</v>
      </c>
      <c r="F560" s="14">
        <v>45918</v>
      </c>
      <c r="G560" s="15">
        <v>18650.25</v>
      </c>
      <c r="H560" s="13" t="s">
        <v>2345</v>
      </c>
      <c r="I560" s="13" t="s">
        <v>2346</v>
      </c>
      <c r="J560" s="13" t="s">
        <v>170</v>
      </c>
      <c r="K560" s="13">
        <f t="shared" si="40"/>
        <v>1</v>
      </c>
      <c r="L560" s="13">
        <f t="shared" si="41"/>
        <v>0</v>
      </c>
      <c r="M560" s="13">
        <f>IF(AND(L560=0,COUNTIFS($B$2:$B$1534,B560,$G$2:$G$1534,G560,$E$2:$E$1534,"&gt;="&amp;(E560-Assumptions!$B$5),$E$2:$E$1534,"&lt;="&amp;(E560+Assumptions!$B$5))&gt;1),1,0)</f>
        <v>0</v>
      </c>
      <c r="N560" s="13">
        <f>IF(AND(G560&gt;=Assumptions!$B$4*(1-Assumptions!$B$6),G560&lt;Assumptions!$B$4),1,0)</f>
        <v>0</v>
      </c>
      <c r="O560" s="13">
        <f>IF(AND(G560&gt;=Assumptions!$B$7,MOD(G560,Assumptions!$B$7)=0),1,0)</f>
        <v>0</v>
      </c>
      <c r="P560" s="13">
        <f t="shared" si="42"/>
        <v>0</v>
      </c>
      <c r="Q560" s="13">
        <f t="shared" si="43"/>
        <v>0</v>
      </c>
      <c r="R560" s="13">
        <f>L560*Assumptions!$B$11+M560*Assumptions!$B$12+N560*Assumptions!$B$13+O560*Assumptions!$B$14+P560*Assumptions!$B$15+Q560*Assumptions!$B$16</f>
        <v>0</v>
      </c>
      <c r="S560" s="13" t="str">
        <f>IF(R560&gt;=Assumptions!$B$20,"High",IF(R560&gt;=Assumptions!$B$21,"Medium",IF(R560&gt;=1,"Low","Clear")))</f>
        <v>Clear</v>
      </c>
      <c r="T560" s="13" t="str">
        <f t="shared" si="44"/>
        <v/>
      </c>
    </row>
    <row r="561" spans="1:20" x14ac:dyDescent="0.35">
      <c r="A561" s="13" t="s">
        <v>2347</v>
      </c>
      <c r="B561" s="13" t="s">
        <v>138</v>
      </c>
      <c r="C561" s="13" t="s">
        <v>139</v>
      </c>
      <c r="D561" s="13" t="s">
        <v>2348</v>
      </c>
      <c r="E561" s="14">
        <v>45885</v>
      </c>
      <c r="F561" s="14">
        <v>45918</v>
      </c>
      <c r="G561" s="15">
        <v>40000</v>
      </c>
      <c r="H561" s="13" t="s">
        <v>2349</v>
      </c>
      <c r="I561" s="13" t="s">
        <v>2350</v>
      </c>
      <c r="J561" s="13" t="s">
        <v>111</v>
      </c>
      <c r="K561" s="13">
        <f t="shared" si="40"/>
        <v>4</v>
      </c>
      <c r="L561" s="13">
        <f t="shared" si="41"/>
        <v>0</v>
      </c>
      <c r="M561" s="13">
        <f>IF(AND(L561=0,COUNTIFS($B$2:$B$1534,B561,$G$2:$G$1534,G561,$E$2:$E$1534,"&gt;="&amp;(E561-Assumptions!$B$5),$E$2:$E$1534,"&lt;="&amp;(E561+Assumptions!$B$5))&gt;1),1,0)</f>
        <v>0</v>
      </c>
      <c r="N561" s="13">
        <f>IF(AND(G561&gt;=Assumptions!$B$4*(1-Assumptions!$B$6),G561&lt;Assumptions!$B$4),1,0)</f>
        <v>0</v>
      </c>
      <c r="O561" s="13">
        <f>IF(AND(G561&gt;=Assumptions!$B$7,MOD(G561,Assumptions!$B$7)=0),1,0)</f>
        <v>1</v>
      </c>
      <c r="P561" s="13">
        <f t="shared" si="42"/>
        <v>0</v>
      </c>
      <c r="Q561" s="13">
        <f t="shared" si="43"/>
        <v>0</v>
      </c>
      <c r="R561" s="13">
        <f>L561*Assumptions!$B$11+M561*Assumptions!$B$12+N561*Assumptions!$B$13+O561*Assumptions!$B$14+P561*Assumptions!$B$15+Q561*Assumptions!$B$16</f>
        <v>1</v>
      </c>
      <c r="S561" s="13" t="str">
        <f>IF(R561&gt;=Assumptions!$B$20,"High",IF(R561&gt;=Assumptions!$B$21,"Medium",IF(R561&gt;=1,"Low","Clear")))</f>
        <v>Low</v>
      </c>
      <c r="T561" s="13" t="str">
        <f t="shared" si="44"/>
        <v xml:space="preserve">Round amount; </v>
      </c>
    </row>
    <row r="562" spans="1:20" x14ac:dyDescent="0.35">
      <c r="A562" s="13" t="s">
        <v>2351</v>
      </c>
      <c r="B562" s="13" t="s">
        <v>138</v>
      </c>
      <c r="C562" s="13" t="s">
        <v>139</v>
      </c>
      <c r="D562" s="13" t="s">
        <v>2352</v>
      </c>
      <c r="E562" s="14">
        <v>45881</v>
      </c>
      <c r="F562" s="14">
        <v>45918</v>
      </c>
      <c r="G562" s="15">
        <v>10736.11</v>
      </c>
      <c r="H562" s="13" t="s">
        <v>2353</v>
      </c>
      <c r="I562" s="13" t="s">
        <v>2354</v>
      </c>
      <c r="J562" s="13" t="s">
        <v>111</v>
      </c>
      <c r="K562" s="13">
        <f t="shared" si="40"/>
        <v>1</v>
      </c>
      <c r="L562" s="13">
        <f t="shared" si="41"/>
        <v>0</v>
      </c>
      <c r="M562" s="13">
        <f>IF(AND(L562=0,COUNTIFS($B$2:$B$1534,B562,$G$2:$G$1534,G562,$E$2:$E$1534,"&gt;="&amp;(E562-Assumptions!$B$5),$E$2:$E$1534,"&lt;="&amp;(E562+Assumptions!$B$5))&gt;1),1,0)</f>
        <v>0</v>
      </c>
      <c r="N562" s="13">
        <f>IF(AND(G562&gt;=Assumptions!$B$4*(1-Assumptions!$B$6),G562&lt;Assumptions!$B$4),1,0)</f>
        <v>0</v>
      </c>
      <c r="O562" s="13">
        <f>IF(AND(G562&gt;=Assumptions!$B$7,MOD(G562,Assumptions!$B$7)=0),1,0)</f>
        <v>0</v>
      </c>
      <c r="P562" s="13">
        <f t="shared" si="42"/>
        <v>0</v>
      </c>
      <c r="Q562" s="13">
        <f t="shared" si="43"/>
        <v>0</v>
      </c>
      <c r="R562" s="13">
        <f>L562*Assumptions!$B$11+M562*Assumptions!$B$12+N562*Assumptions!$B$13+O562*Assumptions!$B$14+P562*Assumptions!$B$15+Q562*Assumptions!$B$16</f>
        <v>0</v>
      </c>
      <c r="S562" s="13" t="str">
        <f>IF(R562&gt;=Assumptions!$B$20,"High",IF(R562&gt;=Assumptions!$B$21,"Medium",IF(R562&gt;=1,"Low","Clear")))</f>
        <v>Clear</v>
      </c>
      <c r="T562" s="13" t="str">
        <f t="shared" si="44"/>
        <v/>
      </c>
    </row>
    <row r="563" spans="1:20" x14ac:dyDescent="0.35">
      <c r="A563" s="13" t="s">
        <v>2355</v>
      </c>
      <c r="B563" s="13" t="s">
        <v>228</v>
      </c>
      <c r="C563" s="13" t="s">
        <v>229</v>
      </c>
      <c r="D563" s="13" t="s">
        <v>2356</v>
      </c>
      <c r="E563" s="14">
        <v>45879</v>
      </c>
      <c r="F563" s="14">
        <v>45919</v>
      </c>
      <c r="G563" s="15">
        <v>4937.2</v>
      </c>
      <c r="H563" s="13" t="s">
        <v>2357</v>
      </c>
      <c r="I563" s="13" t="s">
        <v>2358</v>
      </c>
      <c r="J563" s="13" t="s">
        <v>98</v>
      </c>
      <c r="K563" s="13">
        <f t="shared" si="40"/>
        <v>4</v>
      </c>
      <c r="L563" s="13">
        <f t="shared" si="41"/>
        <v>0</v>
      </c>
      <c r="M563" s="13">
        <f>IF(AND(L563=0,COUNTIFS($B$2:$B$1534,B563,$G$2:$G$1534,G563,$E$2:$E$1534,"&gt;="&amp;(E563-Assumptions!$B$5),$E$2:$E$1534,"&lt;="&amp;(E563+Assumptions!$B$5))&gt;1),1,0)</f>
        <v>0</v>
      </c>
      <c r="N563" s="13">
        <f>IF(AND(G563&gt;=Assumptions!$B$4*(1-Assumptions!$B$6),G563&lt;Assumptions!$B$4),1,0)</f>
        <v>0</v>
      </c>
      <c r="O563" s="13">
        <f>IF(AND(G563&gt;=Assumptions!$B$7,MOD(G563,Assumptions!$B$7)=0),1,0)</f>
        <v>0</v>
      </c>
      <c r="P563" s="13">
        <f t="shared" si="42"/>
        <v>0</v>
      </c>
      <c r="Q563" s="13">
        <f t="shared" si="43"/>
        <v>0</v>
      </c>
      <c r="R563" s="13">
        <f>L563*Assumptions!$B$11+M563*Assumptions!$B$12+N563*Assumptions!$B$13+O563*Assumptions!$B$14+P563*Assumptions!$B$15+Q563*Assumptions!$B$16</f>
        <v>0</v>
      </c>
      <c r="S563" s="13" t="str">
        <f>IF(R563&gt;=Assumptions!$B$20,"High",IF(R563&gt;=Assumptions!$B$21,"Medium",IF(R563&gt;=1,"Low","Clear")))</f>
        <v>Clear</v>
      </c>
      <c r="T563" s="13" t="str">
        <f t="shared" si="44"/>
        <v/>
      </c>
    </row>
    <row r="564" spans="1:20" x14ac:dyDescent="0.35">
      <c r="A564" s="13" t="s">
        <v>2359</v>
      </c>
      <c r="B564" s="13" t="s">
        <v>212</v>
      </c>
      <c r="C564" s="13" t="s">
        <v>213</v>
      </c>
      <c r="D564" s="13" t="s">
        <v>2360</v>
      </c>
      <c r="E564" s="14">
        <v>45893</v>
      </c>
      <c r="F564" s="14">
        <v>45919</v>
      </c>
      <c r="G564" s="15">
        <v>20137.93</v>
      </c>
      <c r="H564" s="13" t="s">
        <v>2361</v>
      </c>
      <c r="I564" s="13" t="s">
        <v>2362</v>
      </c>
      <c r="J564" s="13" t="s">
        <v>98</v>
      </c>
      <c r="K564" s="13">
        <f t="shared" si="40"/>
        <v>2</v>
      </c>
      <c r="L564" s="13">
        <f t="shared" si="41"/>
        <v>0</v>
      </c>
      <c r="M564" s="13">
        <f>IF(AND(L564=0,COUNTIFS($B$2:$B$1534,B564,$G$2:$G$1534,G564,$E$2:$E$1534,"&gt;="&amp;(E564-Assumptions!$B$5),$E$2:$E$1534,"&lt;="&amp;(E564+Assumptions!$B$5))&gt;1),1,0)</f>
        <v>0</v>
      </c>
      <c r="N564" s="13">
        <f>IF(AND(G564&gt;=Assumptions!$B$4*(1-Assumptions!$B$6),G564&lt;Assumptions!$B$4),1,0)</f>
        <v>0</v>
      </c>
      <c r="O564" s="13">
        <f>IF(AND(G564&gt;=Assumptions!$B$7,MOD(G564,Assumptions!$B$7)=0),1,0)</f>
        <v>0</v>
      </c>
      <c r="P564" s="13">
        <f t="shared" si="42"/>
        <v>0</v>
      </c>
      <c r="Q564" s="13">
        <f t="shared" si="43"/>
        <v>0</v>
      </c>
      <c r="R564" s="13">
        <f>L564*Assumptions!$B$11+M564*Assumptions!$B$12+N564*Assumptions!$B$13+O564*Assumptions!$B$14+P564*Assumptions!$B$15+Q564*Assumptions!$B$16</f>
        <v>0</v>
      </c>
      <c r="S564" s="13" t="str">
        <f>IF(R564&gt;=Assumptions!$B$20,"High",IF(R564&gt;=Assumptions!$B$21,"Medium",IF(R564&gt;=1,"Low","Clear")))</f>
        <v>Clear</v>
      </c>
      <c r="T564" s="13" t="str">
        <f t="shared" si="44"/>
        <v/>
      </c>
    </row>
    <row r="565" spans="1:20" x14ac:dyDescent="0.35">
      <c r="A565" s="13" t="s">
        <v>2363</v>
      </c>
      <c r="B565" s="13" t="s">
        <v>438</v>
      </c>
      <c r="C565" s="13" t="s">
        <v>439</v>
      </c>
      <c r="D565" s="13" t="s">
        <v>2364</v>
      </c>
      <c r="E565" s="14">
        <v>45893</v>
      </c>
      <c r="F565" s="14">
        <v>45919</v>
      </c>
      <c r="G565" s="15">
        <v>1898.71</v>
      </c>
      <c r="H565" s="13" t="s">
        <v>2365</v>
      </c>
      <c r="I565" s="13" t="s">
        <v>2366</v>
      </c>
      <c r="J565" s="13" t="s">
        <v>91</v>
      </c>
      <c r="K565" s="13">
        <f t="shared" si="40"/>
        <v>1</v>
      </c>
      <c r="L565" s="13">
        <f t="shared" si="41"/>
        <v>0</v>
      </c>
      <c r="M565" s="13">
        <f>IF(AND(L565=0,COUNTIFS($B$2:$B$1534,B565,$G$2:$G$1534,G565,$E$2:$E$1534,"&gt;="&amp;(E565-Assumptions!$B$5),$E$2:$E$1534,"&lt;="&amp;(E565+Assumptions!$B$5))&gt;1),1,0)</f>
        <v>0</v>
      </c>
      <c r="N565" s="13">
        <f>IF(AND(G565&gt;=Assumptions!$B$4*(1-Assumptions!$B$6),G565&lt;Assumptions!$B$4),1,0)</f>
        <v>0</v>
      </c>
      <c r="O565" s="13">
        <f>IF(AND(G565&gt;=Assumptions!$B$7,MOD(G565,Assumptions!$B$7)=0),1,0)</f>
        <v>0</v>
      </c>
      <c r="P565" s="13">
        <f t="shared" si="42"/>
        <v>0</v>
      </c>
      <c r="Q565" s="13">
        <f t="shared" si="43"/>
        <v>0</v>
      </c>
      <c r="R565" s="13">
        <f>L565*Assumptions!$B$11+M565*Assumptions!$B$12+N565*Assumptions!$B$13+O565*Assumptions!$B$14+P565*Assumptions!$B$15+Q565*Assumptions!$B$16</f>
        <v>0</v>
      </c>
      <c r="S565" s="13" t="str">
        <f>IF(R565&gt;=Assumptions!$B$20,"High",IF(R565&gt;=Assumptions!$B$21,"Medium",IF(R565&gt;=1,"Low","Clear")))</f>
        <v>Clear</v>
      </c>
      <c r="T565" s="13" t="str">
        <f t="shared" si="44"/>
        <v/>
      </c>
    </row>
    <row r="566" spans="1:20" x14ac:dyDescent="0.35">
      <c r="A566" s="13" t="s">
        <v>2367</v>
      </c>
      <c r="B566" s="13" t="s">
        <v>391</v>
      </c>
      <c r="C566" s="13" t="s">
        <v>392</v>
      </c>
      <c r="D566" s="13" t="s">
        <v>2368</v>
      </c>
      <c r="E566" s="14">
        <v>45901</v>
      </c>
      <c r="F566" s="14">
        <v>45922</v>
      </c>
      <c r="G566" s="15">
        <v>269499.40999999997</v>
      </c>
      <c r="H566" s="13" t="s">
        <v>2369</v>
      </c>
      <c r="I566" s="13" t="s">
        <v>2370</v>
      </c>
      <c r="J566" s="13" t="s">
        <v>170</v>
      </c>
      <c r="K566" s="13">
        <f t="shared" si="40"/>
        <v>2</v>
      </c>
      <c r="L566" s="13">
        <f t="shared" si="41"/>
        <v>0</v>
      </c>
      <c r="M566" s="13">
        <f>IF(AND(L566=0,COUNTIFS($B$2:$B$1534,B566,$G$2:$G$1534,G566,$E$2:$E$1534,"&gt;="&amp;(E566-Assumptions!$B$5),$E$2:$E$1534,"&lt;="&amp;(E566+Assumptions!$B$5))&gt;1),1,0)</f>
        <v>0</v>
      </c>
      <c r="N566" s="13">
        <f>IF(AND(G566&gt;=Assumptions!$B$4*(1-Assumptions!$B$6),G566&lt;Assumptions!$B$4),1,0)</f>
        <v>0</v>
      </c>
      <c r="O566" s="13">
        <f>IF(AND(G566&gt;=Assumptions!$B$7,MOD(G566,Assumptions!$B$7)=0),1,0)</f>
        <v>0</v>
      </c>
      <c r="P566" s="13">
        <f t="shared" si="42"/>
        <v>0</v>
      </c>
      <c r="Q566" s="13">
        <f t="shared" si="43"/>
        <v>0</v>
      </c>
      <c r="R566" s="13">
        <f>L566*Assumptions!$B$11+M566*Assumptions!$B$12+N566*Assumptions!$B$13+O566*Assumptions!$B$14+P566*Assumptions!$B$15+Q566*Assumptions!$B$16</f>
        <v>0</v>
      </c>
      <c r="S566" s="13" t="str">
        <f>IF(R566&gt;=Assumptions!$B$20,"High",IF(R566&gt;=Assumptions!$B$21,"Medium",IF(R566&gt;=1,"Low","Clear")))</f>
        <v>Clear</v>
      </c>
      <c r="T566" s="13" t="str">
        <f t="shared" si="44"/>
        <v/>
      </c>
    </row>
    <row r="567" spans="1:20" x14ac:dyDescent="0.35">
      <c r="A567" s="13" t="s">
        <v>2371</v>
      </c>
      <c r="B567" s="13" t="s">
        <v>228</v>
      </c>
      <c r="C567" s="13" t="s">
        <v>229</v>
      </c>
      <c r="D567" s="13" t="s">
        <v>2372</v>
      </c>
      <c r="E567" s="14">
        <v>45892</v>
      </c>
      <c r="F567" s="14">
        <v>45922</v>
      </c>
      <c r="G567" s="15">
        <v>2372.02</v>
      </c>
      <c r="H567" s="13" t="s">
        <v>2373</v>
      </c>
      <c r="I567" s="13" t="s">
        <v>2374</v>
      </c>
      <c r="J567" s="13" t="s">
        <v>143</v>
      </c>
      <c r="K567" s="13">
        <f t="shared" si="40"/>
        <v>2</v>
      </c>
      <c r="L567" s="13">
        <f t="shared" si="41"/>
        <v>0</v>
      </c>
      <c r="M567" s="13">
        <f>IF(AND(L567=0,COUNTIFS($B$2:$B$1534,B567,$G$2:$G$1534,G567,$E$2:$E$1534,"&gt;="&amp;(E567-Assumptions!$B$5),$E$2:$E$1534,"&lt;="&amp;(E567+Assumptions!$B$5))&gt;1),1,0)</f>
        <v>0</v>
      </c>
      <c r="N567" s="13">
        <f>IF(AND(G567&gt;=Assumptions!$B$4*(1-Assumptions!$B$6),G567&lt;Assumptions!$B$4),1,0)</f>
        <v>0</v>
      </c>
      <c r="O567" s="13">
        <f>IF(AND(G567&gt;=Assumptions!$B$7,MOD(G567,Assumptions!$B$7)=0),1,0)</f>
        <v>0</v>
      </c>
      <c r="P567" s="13">
        <f t="shared" si="42"/>
        <v>0</v>
      </c>
      <c r="Q567" s="13">
        <f t="shared" si="43"/>
        <v>0</v>
      </c>
      <c r="R567" s="13">
        <f>L567*Assumptions!$B$11+M567*Assumptions!$B$12+N567*Assumptions!$B$13+O567*Assumptions!$B$14+P567*Assumptions!$B$15+Q567*Assumptions!$B$16</f>
        <v>0</v>
      </c>
      <c r="S567" s="13" t="str">
        <f>IF(R567&gt;=Assumptions!$B$20,"High",IF(R567&gt;=Assumptions!$B$21,"Medium",IF(R567&gt;=1,"Low","Clear")))</f>
        <v>Clear</v>
      </c>
      <c r="T567" s="13" t="str">
        <f t="shared" si="44"/>
        <v/>
      </c>
    </row>
    <row r="568" spans="1:20" x14ac:dyDescent="0.35">
      <c r="A568" s="13" t="s">
        <v>2375</v>
      </c>
      <c r="B568" s="13" t="s">
        <v>670</v>
      </c>
      <c r="C568" s="13" t="s">
        <v>671</v>
      </c>
      <c r="D568" s="13" t="s">
        <v>2376</v>
      </c>
      <c r="E568" s="14">
        <v>45895</v>
      </c>
      <c r="F568" s="14">
        <v>45922</v>
      </c>
      <c r="G568" s="15">
        <v>8006.7</v>
      </c>
      <c r="H568" s="13" t="s">
        <v>2377</v>
      </c>
      <c r="I568" s="13" t="s">
        <v>2378</v>
      </c>
      <c r="J568" s="13" t="s">
        <v>98</v>
      </c>
      <c r="K568" s="13">
        <f t="shared" si="40"/>
        <v>8</v>
      </c>
      <c r="L568" s="13">
        <f t="shared" si="41"/>
        <v>0</v>
      </c>
      <c r="M568" s="13">
        <f>IF(AND(L568=0,COUNTIFS($B$2:$B$1534,B568,$G$2:$G$1534,G568,$E$2:$E$1534,"&gt;="&amp;(E568-Assumptions!$B$5),$E$2:$E$1534,"&lt;="&amp;(E568+Assumptions!$B$5))&gt;1),1,0)</f>
        <v>0</v>
      </c>
      <c r="N568" s="13">
        <f>IF(AND(G568&gt;=Assumptions!$B$4*(1-Assumptions!$B$6),G568&lt;Assumptions!$B$4),1,0)</f>
        <v>0</v>
      </c>
      <c r="O568" s="13">
        <f>IF(AND(G568&gt;=Assumptions!$B$7,MOD(G568,Assumptions!$B$7)=0),1,0)</f>
        <v>0</v>
      </c>
      <c r="P568" s="13">
        <f t="shared" si="42"/>
        <v>0</v>
      </c>
      <c r="Q568" s="13">
        <f t="shared" si="43"/>
        <v>0</v>
      </c>
      <c r="R568" s="13">
        <f>L568*Assumptions!$B$11+M568*Assumptions!$B$12+N568*Assumptions!$B$13+O568*Assumptions!$B$14+P568*Assumptions!$B$15+Q568*Assumptions!$B$16</f>
        <v>0</v>
      </c>
      <c r="S568" s="13" t="str">
        <f>IF(R568&gt;=Assumptions!$B$20,"High",IF(R568&gt;=Assumptions!$B$21,"Medium",IF(R568&gt;=1,"Low","Clear")))</f>
        <v>Clear</v>
      </c>
      <c r="T568" s="13" t="str">
        <f t="shared" si="44"/>
        <v/>
      </c>
    </row>
    <row r="569" spans="1:20" x14ac:dyDescent="0.35">
      <c r="A569" s="13" t="s">
        <v>2379</v>
      </c>
      <c r="B569" s="13" t="s">
        <v>200</v>
      </c>
      <c r="C569" s="13" t="s">
        <v>201</v>
      </c>
      <c r="D569" s="13" t="s">
        <v>2380</v>
      </c>
      <c r="E569" s="14">
        <v>45898</v>
      </c>
      <c r="F569" s="14">
        <v>45922</v>
      </c>
      <c r="G569" s="15">
        <v>25842.98</v>
      </c>
      <c r="H569" s="13" t="s">
        <v>2381</v>
      </c>
      <c r="I569" s="13" t="s">
        <v>2382</v>
      </c>
      <c r="J569" s="13" t="s">
        <v>136</v>
      </c>
      <c r="K569" s="13">
        <f t="shared" si="40"/>
        <v>2</v>
      </c>
      <c r="L569" s="13">
        <f t="shared" si="41"/>
        <v>0</v>
      </c>
      <c r="M569" s="13">
        <f>IF(AND(L569=0,COUNTIFS($B$2:$B$1534,B569,$G$2:$G$1534,G569,$E$2:$E$1534,"&gt;="&amp;(E569-Assumptions!$B$5),$E$2:$E$1534,"&lt;="&amp;(E569+Assumptions!$B$5))&gt;1),1,0)</f>
        <v>0</v>
      </c>
      <c r="N569" s="13">
        <f>IF(AND(G569&gt;=Assumptions!$B$4*(1-Assumptions!$B$6),G569&lt;Assumptions!$B$4),1,0)</f>
        <v>0</v>
      </c>
      <c r="O569" s="13">
        <f>IF(AND(G569&gt;=Assumptions!$B$7,MOD(G569,Assumptions!$B$7)=0),1,0)</f>
        <v>0</v>
      </c>
      <c r="P569" s="13">
        <f t="shared" si="42"/>
        <v>0</v>
      </c>
      <c r="Q569" s="13">
        <f t="shared" si="43"/>
        <v>0</v>
      </c>
      <c r="R569" s="13">
        <f>L569*Assumptions!$B$11+M569*Assumptions!$B$12+N569*Assumptions!$B$13+O569*Assumptions!$B$14+P569*Assumptions!$B$15+Q569*Assumptions!$B$16</f>
        <v>0</v>
      </c>
      <c r="S569" s="13" t="str">
        <f>IF(R569&gt;=Assumptions!$B$20,"High",IF(R569&gt;=Assumptions!$B$21,"Medium",IF(R569&gt;=1,"Low","Clear")))</f>
        <v>Clear</v>
      </c>
      <c r="T569" s="13" t="str">
        <f t="shared" si="44"/>
        <v/>
      </c>
    </row>
    <row r="570" spans="1:20" x14ac:dyDescent="0.35">
      <c r="A570" s="13" t="s">
        <v>2383</v>
      </c>
      <c r="B570" s="13" t="s">
        <v>131</v>
      </c>
      <c r="C570" s="13" t="s">
        <v>132</v>
      </c>
      <c r="D570" s="13" t="s">
        <v>2384</v>
      </c>
      <c r="E570" s="14">
        <v>45881</v>
      </c>
      <c r="F570" s="14">
        <v>45922</v>
      </c>
      <c r="G570" s="15">
        <v>135919.35999999999</v>
      </c>
      <c r="H570" s="13"/>
      <c r="I570" s="13"/>
      <c r="J570" s="13" t="s">
        <v>143</v>
      </c>
      <c r="K570" s="13">
        <f t="shared" si="40"/>
        <v>1</v>
      </c>
      <c r="L570" s="13">
        <f t="shared" si="41"/>
        <v>0</v>
      </c>
      <c r="M570" s="13">
        <f>IF(AND(L570=0,COUNTIFS($B$2:$B$1534,B570,$G$2:$G$1534,G570,$E$2:$E$1534,"&gt;="&amp;(E570-Assumptions!$B$5),$E$2:$E$1534,"&lt;="&amp;(E570+Assumptions!$B$5))&gt;1),1,0)</f>
        <v>0</v>
      </c>
      <c r="N570" s="13">
        <f>IF(AND(G570&gt;=Assumptions!$B$4*(1-Assumptions!$B$6),G570&lt;Assumptions!$B$4),1,0)</f>
        <v>0</v>
      </c>
      <c r="O570" s="13">
        <f>IF(AND(G570&gt;=Assumptions!$B$7,MOD(G570,Assumptions!$B$7)=0),1,0)</f>
        <v>0</v>
      </c>
      <c r="P570" s="13">
        <f t="shared" si="42"/>
        <v>1</v>
      </c>
      <c r="Q570" s="13">
        <f t="shared" si="43"/>
        <v>0</v>
      </c>
      <c r="R570" s="13">
        <f>L570*Assumptions!$B$11+M570*Assumptions!$B$12+N570*Assumptions!$B$13+O570*Assumptions!$B$14+P570*Assumptions!$B$15+Q570*Assumptions!$B$16</f>
        <v>4</v>
      </c>
      <c r="S570" s="13" t="str">
        <f>IF(R570&gt;=Assumptions!$B$20,"High",IF(R570&gt;=Assumptions!$B$21,"Medium",IF(R570&gt;=1,"Low","Clear")))</f>
        <v>Medium</v>
      </c>
      <c r="T570" s="13" t="str">
        <f t="shared" si="44"/>
        <v xml:space="preserve">No PO/GRN; </v>
      </c>
    </row>
    <row r="571" spans="1:20" x14ac:dyDescent="0.35">
      <c r="A571" s="13" t="s">
        <v>2385</v>
      </c>
      <c r="B571" s="13" t="s">
        <v>113</v>
      </c>
      <c r="C571" s="13" t="s">
        <v>114</v>
      </c>
      <c r="D571" s="13" t="s">
        <v>2386</v>
      </c>
      <c r="E571" s="14">
        <v>45885</v>
      </c>
      <c r="F571" s="14">
        <v>45922</v>
      </c>
      <c r="G571" s="15">
        <v>2740.34</v>
      </c>
      <c r="H571" s="13" t="s">
        <v>2387</v>
      </c>
      <c r="I571" s="13" t="s">
        <v>2388</v>
      </c>
      <c r="J571" s="13" t="s">
        <v>170</v>
      </c>
      <c r="K571" s="13">
        <f t="shared" si="40"/>
        <v>2</v>
      </c>
      <c r="L571" s="13">
        <f t="shared" si="41"/>
        <v>0</v>
      </c>
      <c r="M571" s="13">
        <f>IF(AND(L571=0,COUNTIFS($B$2:$B$1534,B571,$G$2:$G$1534,G571,$E$2:$E$1534,"&gt;="&amp;(E571-Assumptions!$B$5),$E$2:$E$1534,"&lt;="&amp;(E571+Assumptions!$B$5))&gt;1),1,0)</f>
        <v>1</v>
      </c>
      <c r="N571" s="13">
        <f>IF(AND(G571&gt;=Assumptions!$B$4*(1-Assumptions!$B$6),G571&lt;Assumptions!$B$4),1,0)</f>
        <v>0</v>
      </c>
      <c r="O571" s="13">
        <f>IF(AND(G571&gt;=Assumptions!$B$7,MOD(G571,Assumptions!$B$7)=0),1,0)</f>
        <v>0</v>
      </c>
      <c r="P571" s="13">
        <f t="shared" si="42"/>
        <v>0</v>
      </c>
      <c r="Q571" s="13">
        <f t="shared" si="43"/>
        <v>0</v>
      </c>
      <c r="R571" s="13">
        <f>L571*Assumptions!$B$11+M571*Assumptions!$B$12+N571*Assumptions!$B$13+O571*Assumptions!$B$14+P571*Assumptions!$B$15+Q571*Assumptions!$B$16</f>
        <v>3</v>
      </c>
      <c r="S571" s="13" t="str">
        <f>IF(R571&gt;=Assumptions!$B$20,"High",IF(R571&gt;=Assumptions!$B$21,"Medium",IF(R571&gt;=1,"Low","Clear")))</f>
        <v>Medium</v>
      </c>
      <c r="T571" s="13" t="str">
        <f t="shared" si="44"/>
        <v xml:space="preserve">Near-duplicate; </v>
      </c>
    </row>
    <row r="572" spans="1:20" x14ac:dyDescent="0.35">
      <c r="A572" s="13" t="s">
        <v>2389</v>
      </c>
      <c r="B572" s="13" t="s">
        <v>155</v>
      </c>
      <c r="C572" s="13" t="s">
        <v>156</v>
      </c>
      <c r="D572" s="13" t="s">
        <v>2390</v>
      </c>
      <c r="E572" s="14">
        <v>45883</v>
      </c>
      <c r="F572" s="14">
        <v>45922</v>
      </c>
      <c r="G572" s="15">
        <v>3576.76</v>
      </c>
      <c r="H572" s="13" t="s">
        <v>2254</v>
      </c>
      <c r="I572" s="13" t="s">
        <v>2255</v>
      </c>
      <c r="J572" s="13" t="s">
        <v>136</v>
      </c>
      <c r="K572" s="13">
        <f t="shared" si="40"/>
        <v>3</v>
      </c>
      <c r="L572" s="13">
        <f t="shared" si="41"/>
        <v>0</v>
      </c>
      <c r="M572" s="13">
        <f>IF(AND(L572=0,COUNTIFS($B$2:$B$1534,B572,$G$2:$G$1534,G572,$E$2:$E$1534,"&gt;="&amp;(E572-Assumptions!$B$5),$E$2:$E$1534,"&lt;="&amp;(E572+Assumptions!$B$5))&gt;1),1,0)</f>
        <v>1</v>
      </c>
      <c r="N572" s="13">
        <f>IF(AND(G572&gt;=Assumptions!$B$4*(1-Assumptions!$B$6),G572&lt;Assumptions!$B$4),1,0)</f>
        <v>0</v>
      </c>
      <c r="O572" s="13">
        <f>IF(AND(G572&gt;=Assumptions!$B$7,MOD(G572,Assumptions!$B$7)=0),1,0)</f>
        <v>0</v>
      </c>
      <c r="P572" s="13">
        <f t="shared" si="42"/>
        <v>0</v>
      </c>
      <c r="Q572" s="13">
        <f t="shared" si="43"/>
        <v>0</v>
      </c>
      <c r="R572" s="13">
        <f>L572*Assumptions!$B$11+M572*Assumptions!$B$12+N572*Assumptions!$B$13+O572*Assumptions!$B$14+P572*Assumptions!$B$15+Q572*Assumptions!$B$16</f>
        <v>3</v>
      </c>
      <c r="S572" s="13" t="str">
        <f>IF(R572&gt;=Assumptions!$B$20,"High",IF(R572&gt;=Assumptions!$B$21,"Medium",IF(R572&gt;=1,"Low","Clear")))</f>
        <v>Medium</v>
      </c>
      <c r="T572" s="13" t="str">
        <f t="shared" si="44"/>
        <v xml:space="preserve">Near-duplicate; </v>
      </c>
    </row>
    <row r="573" spans="1:20" x14ac:dyDescent="0.35">
      <c r="A573" s="13" t="s">
        <v>2391</v>
      </c>
      <c r="B573" s="13" t="s">
        <v>279</v>
      </c>
      <c r="C573" s="13" t="s">
        <v>280</v>
      </c>
      <c r="D573" s="13" t="s">
        <v>2392</v>
      </c>
      <c r="E573" s="14">
        <v>45883</v>
      </c>
      <c r="F573" s="14">
        <v>45923</v>
      </c>
      <c r="G573" s="15">
        <v>58798.84</v>
      </c>
      <c r="H573" s="13" t="s">
        <v>2393</v>
      </c>
      <c r="I573" s="13" t="s">
        <v>2394</v>
      </c>
      <c r="J573" s="13" t="s">
        <v>111</v>
      </c>
      <c r="K573" s="13">
        <f t="shared" si="40"/>
        <v>5</v>
      </c>
      <c r="L573" s="13">
        <f t="shared" si="41"/>
        <v>0</v>
      </c>
      <c r="M573" s="13">
        <f>IF(AND(L573=0,COUNTIFS($B$2:$B$1534,B573,$G$2:$G$1534,G573,$E$2:$E$1534,"&gt;="&amp;(E573-Assumptions!$B$5),$E$2:$E$1534,"&lt;="&amp;(E573+Assumptions!$B$5))&gt;1),1,0)</f>
        <v>0</v>
      </c>
      <c r="N573" s="13">
        <f>IF(AND(G573&gt;=Assumptions!$B$4*(1-Assumptions!$B$6),G573&lt;Assumptions!$B$4),1,0)</f>
        <v>0</v>
      </c>
      <c r="O573" s="13">
        <f>IF(AND(G573&gt;=Assumptions!$B$7,MOD(G573,Assumptions!$B$7)=0),1,0)</f>
        <v>0</v>
      </c>
      <c r="P573" s="13">
        <f t="shared" si="42"/>
        <v>0</v>
      </c>
      <c r="Q573" s="13">
        <f t="shared" si="43"/>
        <v>0</v>
      </c>
      <c r="R573" s="13">
        <f>L573*Assumptions!$B$11+M573*Assumptions!$B$12+N573*Assumptions!$B$13+O573*Assumptions!$B$14+P573*Assumptions!$B$15+Q573*Assumptions!$B$16</f>
        <v>0</v>
      </c>
      <c r="S573" s="13" t="str">
        <f>IF(R573&gt;=Assumptions!$B$20,"High",IF(R573&gt;=Assumptions!$B$21,"Medium",IF(R573&gt;=1,"Low","Clear")))</f>
        <v>Clear</v>
      </c>
      <c r="T573" s="13" t="str">
        <f t="shared" si="44"/>
        <v/>
      </c>
    </row>
    <row r="574" spans="1:20" x14ac:dyDescent="0.35">
      <c r="A574" s="13" t="s">
        <v>2395</v>
      </c>
      <c r="B574" s="13" t="s">
        <v>279</v>
      </c>
      <c r="C574" s="13" t="s">
        <v>280</v>
      </c>
      <c r="D574" s="13" t="s">
        <v>2396</v>
      </c>
      <c r="E574" s="14">
        <v>45885</v>
      </c>
      <c r="F574" s="14">
        <v>45923</v>
      </c>
      <c r="G574" s="15">
        <v>1530.8</v>
      </c>
      <c r="H574" s="13" t="s">
        <v>2397</v>
      </c>
      <c r="I574" s="13" t="s">
        <v>2398</v>
      </c>
      <c r="J574" s="13" t="s">
        <v>111</v>
      </c>
      <c r="K574" s="13">
        <f t="shared" si="40"/>
        <v>1</v>
      </c>
      <c r="L574" s="13">
        <f t="shared" si="41"/>
        <v>0</v>
      </c>
      <c r="M574" s="13">
        <f>IF(AND(L574=0,COUNTIFS($B$2:$B$1534,B574,$G$2:$G$1534,G574,$E$2:$E$1534,"&gt;="&amp;(E574-Assumptions!$B$5),$E$2:$E$1534,"&lt;="&amp;(E574+Assumptions!$B$5))&gt;1),1,0)</f>
        <v>0</v>
      </c>
      <c r="N574" s="13">
        <f>IF(AND(G574&gt;=Assumptions!$B$4*(1-Assumptions!$B$6),G574&lt;Assumptions!$B$4),1,0)</f>
        <v>0</v>
      </c>
      <c r="O574" s="13">
        <f>IF(AND(G574&gt;=Assumptions!$B$7,MOD(G574,Assumptions!$B$7)=0),1,0)</f>
        <v>0</v>
      </c>
      <c r="P574" s="13">
        <f t="shared" si="42"/>
        <v>0</v>
      </c>
      <c r="Q574" s="13">
        <f t="shared" si="43"/>
        <v>0</v>
      </c>
      <c r="R574" s="13">
        <f>L574*Assumptions!$B$11+M574*Assumptions!$B$12+N574*Assumptions!$B$13+O574*Assumptions!$B$14+P574*Assumptions!$B$15+Q574*Assumptions!$B$16</f>
        <v>0</v>
      </c>
      <c r="S574" s="13" t="str">
        <f>IF(R574&gt;=Assumptions!$B$20,"High",IF(R574&gt;=Assumptions!$B$21,"Medium",IF(R574&gt;=1,"Low","Clear")))</f>
        <v>Clear</v>
      </c>
      <c r="T574" s="13" t="str">
        <f t="shared" si="44"/>
        <v/>
      </c>
    </row>
    <row r="575" spans="1:20" x14ac:dyDescent="0.35">
      <c r="A575" s="13" t="s">
        <v>2399</v>
      </c>
      <c r="B575" s="13" t="s">
        <v>206</v>
      </c>
      <c r="C575" s="13" t="s">
        <v>207</v>
      </c>
      <c r="D575" s="13" t="s">
        <v>2400</v>
      </c>
      <c r="E575" s="14">
        <v>45893</v>
      </c>
      <c r="F575" s="14">
        <v>45923</v>
      </c>
      <c r="G575" s="15">
        <v>43846.16</v>
      </c>
      <c r="H575" s="13" t="s">
        <v>2401</v>
      </c>
      <c r="I575" s="13" t="s">
        <v>2402</v>
      </c>
      <c r="J575" s="13" t="s">
        <v>98</v>
      </c>
      <c r="K575" s="13">
        <f t="shared" si="40"/>
        <v>4</v>
      </c>
      <c r="L575" s="13">
        <f t="shared" si="41"/>
        <v>0</v>
      </c>
      <c r="M575" s="13">
        <f>IF(AND(L575=0,COUNTIFS($B$2:$B$1534,B575,$G$2:$G$1534,G575,$E$2:$E$1534,"&gt;="&amp;(E575-Assumptions!$B$5),$E$2:$E$1534,"&lt;="&amp;(E575+Assumptions!$B$5))&gt;1),1,0)</f>
        <v>0</v>
      </c>
      <c r="N575" s="13">
        <f>IF(AND(G575&gt;=Assumptions!$B$4*(1-Assumptions!$B$6),G575&lt;Assumptions!$B$4),1,0)</f>
        <v>0</v>
      </c>
      <c r="O575" s="13">
        <f>IF(AND(G575&gt;=Assumptions!$B$7,MOD(G575,Assumptions!$B$7)=0),1,0)</f>
        <v>0</v>
      </c>
      <c r="P575" s="13">
        <f t="shared" si="42"/>
        <v>0</v>
      </c>
      <c r="Q575" s="13">
        <f t="shared" si="43"/>
        <v>0</v>
      </c>
      <c r="R575" s="13">
        <f>L575*Assumptions!$B$11+M575*Assumptions!$B$12+N575*Assumptions!$B$13+O575*Assumptions!$B$14+P575*Assumptions!$B$15+Q575*Assumptions!$B$16</f>
        <v>0</v>
      </c>
      <c r="S575" s="13" t="str">
        <f>IF(R575&gt;=Assumptions!$B$20,"High",IF(R575&gt;=Assumptions!$B$21,"Medium",IF(R575&gt;=1,"Low","Clear")))</f>
        <v>Clear</v>
      </c>
      <c r="T575" s="13" t="str">
        <f t="shared" si="44"/>
        <v/>
      </c>
    </row>
    <row r="576" spans="1:20" x14ac:dyDescent="0.35">
      <c r="A576" s="13" t="s">
        <v>2403</v>
      </c>
      <c r="B576" s="13" t="s">
        <v>218</v>
      </c>
      <c r="C576" s="13" t="s">
        <v>219</v>
      </c>
      <c r="D576" s="13" t="s">
        <v>2404</v>
      </c>
      <c r="E576" s="14">
        <v>45891</v>
      </c>
      <c r="F576" s="14">
        <v>45923</v>
      </c>
      <c r="G576" s="15">
        <v>12446.48</v>
      </c>
      <c r="H576" s="13" t="s">
        <v>2405</v>
      </c>
      <c r="I576" s="13" t="s">
        <v>2406</v>
      </c>
      <c r="J576" s="13" t="s">
        <v>91</v>
      </c>
      <c r="K576" s="13">
        <f t="shared" si="40"/>
        <v>1</v>
      </c>
      <c r="L576" s="13">
        <f t="shared" si="41"/>
        <v>0</v>
      </c>
      <c r="M576" s="13">
        <f>IF(AND(L576=0,COUNTIFS($B$2:$B$1534,B576,$G$2:$G$1534,G576,$E$2:$E$1534,"&gt;="&amp;(E576-Assumptions!$B$5),$E$2:$E$1534,"&lt;="&amp;(E576+Assumptions!$B$5))&gt;1),1,0)</f>
        <v>0</v>
      </c>
      <c r="N576" s="13">
        <f>IF(AND(G576&gt;=Assumptions!$B$4*(1-Assumptions!$B$6),G576&lt;Assumptions!$B$4),1,0)</f>
        <v>0</v>
      </c>
      <c r="O576" s="13">
        <f>IF(AND(G576&gt;=Assumptions!$B$7,MOD(G576,Assumptions!$B$7)=0),1,0)</f>
        <v>0</v>
      </c>
      <c r="P576" s="13">
        <f t="shared" si="42"/>
        <v>0</v>
      </c>
      <c r="Q576" s="13">
        <f t="shared" si="43"/>
        <v>0</v>
      </c>
      <c r="R576" s="13">
        <f>L576*Assumptions!$B$11+M576*Assumptions!$B$12+N576*Assumptions!$B$13+O576*Assumptions!$B$14+P576*Assumptions!$B$15+Q576*Assumptions!$B$16</f>
        <v>0</v>
      </c>
      <c r="S576" s="13" t="str">
        <f>IF(R576&gt;=Assumptions!$B$20,"High",IF(R576&gt;=Assumptions!$B$21,"Medium",IF(R576&gt;=1,"Low","Clear")))</f>
        <v>Clear</v>
      </c>
      <c r="T576" s="13" t="str">
        <f t="shared" si="44"/>
        <v/>
      </c>
    </row>
    <row r="577" spans="1:20" x14ac:dyDescent="0.35">
      <c r="A577" s="13" t="s">
        <v>2407</v>
      </c>
      <c r="B577" s="13" t="s">
        <v>323</v>
      </c>
      <c r="C577" s="13" t="s">
        <v>324</v>
      </c>
      <c r="D577" s="13" t="s">
        <v>2408</v>
      </c>
      <c r="E577" s="14">
        <v>45899</v>
      </c>
      <c r="F577" s="14">
        <v>45923</v>
      </c>
      <c r="G577" s="15">
        <v>3877.71</v>
      </c>
      <c r="H577" s="13" t="s">
        <v>2409</v>
      </c>
      <c r="I577" s="13" t="s">
        <v>2410</v>
      </c>
      <c r="J577" s="13" t="s">
        <v>91</v>
      </c>
      <c r="K577" s="13">
        <f t="shared" si="40"/>
        <v>3</v>
      </c>
      <c r="L577" s="13">
        <f t="shared" si="41"/>
        <v>0</v>
      </c>
      <c r="M577" s="13">
        <f>IF(AND(L577=0,COUNTIFS($B$2:$B$1534,B577,$G$2:$G$1534,G577,$E$2:$E$1534,"&gt;="&amp;(E577-Assumptions!$B$5),$E$2:$E$1534,"&lt;="&amp;(E577+Assumptions!$B$5))&gt;1),1,0)</f>
        <v>0</v>
      </c>
      <c r="N577" s="13">
        <f>IF(AND(G577&gt;=Assumptions!$B$4*(1-Assumptions!$B$6),G577&lt;Assumptions!$B$4),1,0)</f>
        <v>0</v>
      </c>
      <c r="O577" s="13">
        <f>IF(AND(G577&gt;=Assumptions!$B$7,MOD(G577,Assumptions!$B$7)=0),1,0)</f>
        <v>0</v>
      </c>
      <c r="P577" s="13">
        <f t="shared" si="42"/>
        <v>0</v>
      </c>
      <c r="Q577" s="13">
        <f t="shared" si="43"/>
        <v>0</v>
      </c>
      <c r="R577" s="13">
        <f>L577*Assumptions!$B$11+M577*Assumptions!$B$12+N577*Assumptions!$B$13+O577*Assumptions!$B$14+P577*Assumptions!$B$15+Q577*Assumptions!$B$16</f>
        <v>0</v>
      </c>
      <c r="S577" s="13" t="str">
        <f>IF(R577&gt;=Assumptions!$B$20,"High",IF(R577&gt;=Assumptions!$B$21,"Medium",IF(R577&gt;=1,"Low","Clear")))</f>
        <v>Clear</v>
      </c>
      <c r="T577" s="13" t="str">
        <f t="shared" si="44"/>
        <v/>
      </c>
    </row>
    <row r="578" spans="1:20" x14ac:dyDescent="0.35">
      <c r="A578" s="13" t="s">
        <v>2411</v>
      </c>
      <c r="B578" s="13" t="s">
        <v>329</v>
      </c>
      <c r="C578" s="13" t="s">
        <v>330</v>
      </c>
      <c r="D578" s="13" t="s">
        <v>2412</v>
      </c>
      <c r="E578" s="14">
        <v>45887</v>
      </c>
      <c r="F578" s="14">
        <v>45923</v>
      </c>
      <c r="G578" s="15">
        <v>1554.59</v>
      </c>
      <c r="H578" s="13" t="s">
        <v>2413</v>
      </c>
      <c r="I578" s="13" t="s">
        <v>2414</v>
      </c>
      <c r="J578" s="13" t="s">
        <v>136</v>
      </c>
      <c r="K578" s="13">
        <f t="shared" ref="K578:K641" si="45">VALUE(LEFT(TEXT(G578,"0"),1))</f>
        <v>1</v>
      </c>
      <c r="L578" s="13">
        <f t="shared" ref="L578:L641" si="46">IF(COUNTIFS($B$2:$B$1534,B578,$D$2:$D$1534,D578)&gt;1,1,0)</f>
        <v>0</v>
      </c>
      <c r="M578" s="13">
        <f>IF(AND(L578=0,COUNTIFS($B$2:$B$1534,B578,$G$2:$G$1534,G578,$E$2:$E$1534,"&gt;="&amp;(E578-Assumptions!$B$5),$E$2:$E$1534,"&lt;="&amp;(E578+Assumptions!$B$5))&gt;1),1,0)</f>
        <v>0</v>
      </c>
      <c r="N578" s="13">
        <f>IF(AND(G578&gt;=Assumptions!$B$4*(1-Assumptions!$B$6),G578&lt;Assumptions!$B$4),1,0)</f>
        <v>0</v>
      </c>
      <c r="O578" s="13">
        <f>IF(AND(G578&gt;=Assumptions!$B$7,MOD(G578,Assumptions!$B$7)=0),1,0)</f>
        <v>0</v>
      </c>
      <c r="P578" s="13">
        <f t="shared" ref="P578:P641" si="47">IF(OR(H578="",I578=""),1,0)</f>
        <v>0</v>
      </c>
      <c r="Q578" s="13">
        <f t="shared" ref="Q578:Q641" si="48">IF(WEEKDAY(F578,2)&gt;5,1,0)</f>
        <v>0</v>
      </c>
      <c r="R578" s="13">
        <f>L578*Assumptions!$B$11+M578*Assumptions!$B$12+N578*Assumptions!$B$13+O578*Assumptions!$B$14+P578*Assumptions!$B$15+Q578*Assumptions!$B$16</f>
        <v>0</v>
      </c>
      <c r="S578" s="13" t="str">
        <f>IF(R578&gt;=Assumptions!$B$20,"High",IF(R578&gt;=Assumptions!$B$21,"Medium",IF(R578&gt;=1,"Low","Clear")))</f>
        <v>Clear</v>
      </c>
      <c r="T578" s="13" t="str">
        <f t="shared" ref="T578:T641" si="49">IF(R578=0,"",IF(L578=1,"Duplicate invoice; ","")&amp;IF(M578=1,"Near-duplicate; ","")&amp;IF(N578=1,"Just below limit; ","")&amp;IF(O578=1,"Round amount; ","")&amp;IF(P578=1,"No PO/GRN; ","")&amp;IF(Q578=1,"Weekend payment; ",""))</f>
        <v/>
      </c>
    </row>
    <row r="579" spans="1:20" x14ac:dyDescent="0.35">
      <c r="A579" s="13" t="s">
        <v>2415</v>
      </c>
      <c r="B579" s="13" t="s">
        <v>138</v>
      </c>
      <c r="C579" s="13" t="s">
        <v>139</v>
      </c>
      <c r="D579" s="13" t="s">
        <v>2416</v>
      </c>
      <c r="E579" s="14">
        <v>45896</v>
      </c>
      <c r="F579" s="14">
        <v>45923</v>
      </c>
      <c r="G579" s="15">
        <v>280129.45</v>
      </c>
      <c r="H579" s="13" t="s">
        <v>2417</v>
      </c>
      <c r="I579" s="13" t="s">
        <v>2418</v>
      </c>
      <c r="J579" s="13" t="s">
        <v>170</v>
      </c>
      <c r="K579" s="13">
        <f t="shared" si="45"/>
        <v>2</v>
      </c>
      <c r="L579" s="13">
        <f t="shared" si="46"/>
        <v>0</v>
      </c>
      <c r="M579" s="13">
        <f>IF(AND(L579=0,COUNTIFS($B$2:$B$1534,B579,$G$2:$G$1534,G579,$E$2:$E$1534,"&gt;="&amp;(E579-Assumptions!$B$5),$E$2:$E$1534,"&lt;="&amp;(E579+Assumptions!$B$5))&gt;1),1,0)</f>
        <v>0</v>
      </c>
      <c r="N579" s="13">
        <f>IF(AND(G579&gt;=Assumptions!$B$4*(1-Assumptions!$B$6),G579&lt;Assumptions!$B$4),1,0)</f>
        <v>0</v>
      </c>
      <c r="O579" s="13">
        <f>IF(AND(G579&gt;=Assumptions!$B$7,MOD(G579,Assumptions!$B$7)=0),1,0)</f>
        <v>0</v>
      </c>
      <c r="P579" s="13">
        <f t="shared" si="47"/>
        <v>0</v>
      </c>
      <c r="Q579" s="13">
        <f t="shared" si="48"/>
        <v>0</v>
      </c>
      <c r="R579" s="13">
        <f>L579*Assumptions!$B$11+M579*Assumptions!$B$12+N579*Assumptions!$B$13+O579*Assumptions!$B$14+P579*Assumptions!$B$15+Q579*Assumptions!$B$16</f>
        <v>0</v>
      </c>
      <c r="S579" s="13" t="str">
        <f>IF(R579&gt;=Assumptions!$B$20,"High",IF(R579&gt;=Assumptions!$B$21,"Medium",IF(R579&gt;=1,"Low","Clear")))</f>
        <v>Clear</v>
      </c>
      <c r="T579" s="13" t="str">
        <f t="shared" si="49"/>
        <v/>
      </c>
    </row>
    <row r="580" spans="1:20" x14ac:dyDescent="0.35">
      <c r="A580" s="13" t="s">
        <v>2419</v>
      </c>
      <c r="B580" s="13" t="s">
        <v>145</v>
      </c>
      <c r="C580" s="13" t="s">
        <v>146</v>
      </c>
      <c r="D580" s="13" t="s">
        <v>2420</v>
      </c>
      <c r="E580" s="14">
        <v>45883</v>
      </c>
      <c r="F580" s="14">
        <v>45923</v>
      </c>
      <c r="G580" s="15">
        <v>4289.68</v>
      </c>
      <c r="H580" s="13"/>
      <c r="I580" s="13"/>
      <c r="J580" s="13" t="s">
        <v>91</v>
      </c>
      <c r="K580" s="13">
        <f t="shared" si="45"/>
        <v>4</v>
      </c>
      <c r="L580" s="13">
        <f t="shared" si="46"/>
        <v>0</v>
      </c>
      <c r="M580" s="13">
        <f>IF(AND(L580=0,COUNTIFS($B$2:$B$1534,B580,$G$2:$G$1534,G580,$E$2:$E$1534,"&gt;="&amp;(E580-Assumptions!$B$5),$E$2:$E$1534,"&lt;="&amp;(E580+Assumptions!$B$5))&gt;1),1,0)</f>
        <v>0</v>
      </c>
      <c r="N580" s="13">
        <f>IF(AND(G580&gt;=Assumptions!$B$4*(1-Assumptions!$B$6),G580&lt;Assumptions!$B$4),1,0)</f>
        <v>0</v>
      </c>
      <c r="O580" s="13">
        <f>IF(AND(G580&gt;=Assumptions!$B$7,MOD(G580,Assumptions!$B$7)=0),1,0)</f>
        <v>0</v>
      </c>
      <c r="P580" s="13">
        <f t="shared" si="47"/>
        <v>1</v>
      </c>
      <c r="Q580" s="13">
        <f t="shared" si="48"/>
        <v>0</v>
      </c>
      <c r="R580" s="13">
        <f>L580*Assumptions!$B$11+M580*Assumptions!$B$12+N580*Assumptions!$B$13+O580*Assumptions!$B$14+P580*Assumptions!$B$15+Q580*Assumptions!$B$16</f>
        <v>4</v>
      </c>
      <c r="S580" s="13" t="str">
        <f>IF(R580&gt;=Assumptions!$B$20,"High",IF(R580&gt;=Assumptions!$B$21,"Medium",IF(R580&gt;=1,"Low","Clear")))</f>
        <v>Medium</v>
      </c>
      <c r="T580" s="13" t="str">
        <f t="shared" si="49"/>
        <v xml:space="preserve">No PO/GRN; </v>
      </c>
    </row>
    <row r="581" spans="1:20" x14ac:dyDescent="0.35">
      <c r="A581" s="13" t="s">
        <v>2421</v>
      </c>
      <c r="B581" s="13" t="s">
        <v>234</v>
      </c>
      <c r="C581" s="13" t="s">
        <v>235</v>
      </c>
      <c r="D581" s="13" t="s">
        <v>2422</v>
      </c>
      <c r="E581" s="14">
        <v>45902</v>
      </c>
      <c r="F581" s="14">
        <v>45924</v>
      </c>
      <c r="G581" s="15">
        <v>644120.64</v>
      </c>
      <c r="H581" s="13" t="s">
        <v>2423</v>
      </c>
      <c r="I581" s="13" t="s">
        <v>2424</v>
      </c>
      <c r="J581" s="13" t="s">
        <v>170</v>
      </c>
      <c r="K581" s="13">
        <f t="shared" si="45"/>
        <v>6</v>
      </c>
      <c r="L581" s="13">
        <f t="shared" si="46"/>
        <v>0</v>
      </c>
      <c r="M581" s="13">
        <f>IF(AND(L581=0,COUNTIFS($B$2:$B$1534,B581,$G$2:$G$1534,G581,$E$2:$E$1534,"&gt;="&amp;(E581-Assumptions!$B$5),$E$2:$E$1534,"&lt;="&amp;(E581+Assumptions!$B$5))&gt;1),1,0)</f>
        <v>0</v>
      </c>
      <c r="N581" s="13">
        <f>IF(AND(G581&gt;=Assumptions!$B$4*(1-Assumptions!$B$6),G581&lt;Assumptions!$B$4),1,0)</f>
        <v>0</v>
      </c>
      <c r="O581" s="13">
        <f>IF(AND(G581&gt;=Assumptions!$B$7,MOD(G581,Assumptions!$B$7)=0),1,0)</f>
        <v>0</v>
      </c>
      <c r="P581" s="13">
        <f t="shared" si="47"/>
        <v>0</v>
      </c>
      <c r="Q581" s="13">
        <f t="shared" si="48"/>
        <v>0</v>
      </c>
      <c r="R581" s="13">
        <f>L581*Assumptions!$B$11+M581*Assumptions!$B$12+N581*Assumptions!$B$13+O581*Assumptions!$B$14+P581*Assumptions!$B$15+Q581*Assumptions!$B$16</f>
        <v>0</v>
      </c>
      <c r="S581" s="13" t="str">
        <f>IF(R581&gt;=Assumptions!$B$20,"High",IF(R581&gt;=Assumptions!$B$21,"Medium",IF(R581&gt;=1,"Low","Clear")))</f>
        <v>Clear</v>
      </c>
      <c r="T581" s="13" t="str">
        <f t="shared" si="49"/>
        <v/>
      </c>
    </row>
    <row r="582" spans="1:20" x14ac:dyDescent="0.35">
      <c r="A582" s="13" t="s">
        <v>2425</v>
      </c>
      <c r="B582" s="13" t="s">
        <v>317</v>
      </c>
      <c r="C582" s="13" t="s">
        <v>318</v>
      </c>
      <c r="D582" s="13" t="s">
        <v>2426</v>
      </c>
      <c r="E582" s="14">
        <v>45902</v>
      </c>
      <c r="F582" s="14">
        <v>45924</v>
      </c>
      <c r="G582" s="15">
        <v>2372.84</v>
      </c>
      <c r="H582" s="13"/>
      <c r="I582" s="13"/>
      <c r="J582" s="13" t="s">
        <v>111</v>
      </c>
      <c r="K582" s="13">
        <f t="shared" si="45"/>
        <v>2</v>
      </c>
      <c r="L582" s="13">
        <f t="shared" si="46"/>
        <v>0</v>
      </c>
      <c r="M582" s="13">
        <f>IF(AND(L582=0,COUNTIFS($B$2:$B$1534,B582,$G$2:$G$1534,G582,$E$2:$E$1534,"&gt;="&amp;(E582-Assumptions!$B$5),$E$2:$E$1534,"&lt;="&amp;(E582+Assumptions!$B$5))&gt;1),1,0)</f>
        <v>0</v>
      </c>
      <c r="N582" s="13">
        <f>IF(AND(G582&gt;=Assumptions!$B$4*(1-Assumptions!$B$6),G582&lt;Assumptions!$B$4),1,0)</f>
        <v>0</v>
      </c>
      <c r="O582" s="13">
        <f>IF(AND(G582&gt;=Assumptions!$B$7,MOD(G582,Assumptions!$B$7)=0),1,0)</f>
        <v>0</v>
      </c>
      <c r="P582" s="13">
        <f t="shared" si="47"/>
        <v>1</v>
      </c>
      <c r="Q582" s="13">
        <f t="shared" si="48"/>
        <v>0</v>
      </c>
      <c r="R582" s="13">
        <f>L582*Assumptions!$B$11+M582*Assumptions!$B$12+N582*Assumptions!$B$13+O582*Assumptions!$B$14+P582*Assumptions!$B$15+Q582*Assumptions!$B$16</f>
        <v>4</v>
      </c>
      <c r="S582" s="13" t="str">
        <f>IF(R582&gt;=Assumptions!$B$20,"High",IF(R582&gt;=Assumptions!$B$21,"Medium",IF(R582&gt;=1,"Low","Clear")))</f>
        <v>Medium</v>
      </c>
      <c r="T582" s="13" t="str">
        <f t="shared" si="49"/>
        <v xml:space="preserve">No PO/GRN; </v>
      </c>
    </row>
    <row r="583" spans="1:20" x14ac:dyDescent="0.35">
      <c r="A583" s="13" t="s">
        <v>2427</v>
      </c>
      <c r="B583" s="13" t="s">
        <v>323</v>
      </c>
      <c r="C583" s="13" t="s">
        <v>324</v>
      </c>
      <c r="D583" s="13" t="s">
        <v>2428</v>
      </c>
      <c r="E583" s="14">
        <v>45899</v>
      </c>
      <c r="F583" s="14">
        <v>45924</v>
      </c>
      <c r="G583" s="15">
        <v>1312.86</v>
      </c>
      <c r="H583" s="13" t="s">
        <v>2429</v>
      </c>
      <c r="I583" s="13" t="s">
        <v>2430</v>
      </c>
      <c r="J583" s="13" t="s">
        <v>136</v>
      </c>
      <c r="K583" s="13">
        <f t="shared" si="45"/>
        <v>1</v>
      </c>
      <c r="L583" s="13">
        <f t="shared" si="46"/>
        <v>0</v>
      </c>
      <c r="M583" s="13">
        <f>IF(AND(L583=0,COUNTIFS($B$2:$B$1534,B583,$G$2:$G$1534,G583,$E$2:$E$1534,"&gt;="&amp;(E583-Assumptions!$B$5),$E$2:$E$1534,"&lt;="&amp;(E583+Assumptions!$B$5))&gt;1),1,0)</f>
        <v>0</v>
      </c>
      <c r="N583" s="13">
        <f>IF(AND(G583&gt;=Assumptions!$B$4*(1-Assumptions!$B$6),G583&lt;Assumptions!$B$4),1,0)</f>
        <v>0</v>
      </c>
      <c r="O583" s="13">
        <f>IF(AND(G583&gt;=Assumptions!$B$7,MOD(G583,Assumptions!$B$7)=0),1,0)</f>
        <v>0</v>
      </c>
      <c r="P583" s="13">
        <f t="shared" si="47"/>
        <v>0</v>
      </c>
      <c r="Q583" s="13">
        <f t="shared" si="48"/>
        <v>0</v>
      </c>
      <c r="R583" s="13">
        <f>L583*Assumptions!$B$11+M583*Assumptions!$B$12+N583*Assumptions!$B$13+O583*Assumptions!$B$14+P583*Assumptions!$B$15+Q583*Assumptions!$B$16</f>
        <v>0</v>
      </c>
      <c r="S583" s="13" t="str">
        <f>IF(R583&gt;=Assumptions!$B$20,"High",IF(R583&gt;=Assumptions!$B$21,"Medium",IF(R583&gt;=1,"Low","Clear")))</f>
        <v>Clear</v>
      </c>
      <c r="T583" s="13" t="str">
        <f t="shared" si="49"/>
        <v/>
      </c>
    </row>
    <row r="584" spans="1:20" x14ac:dyDescent="0.35">
      <c r="A584" s="13" t="s">
        <v>2431</v>
      </c>
      <c r="B584" s="13" t="s">
        <v>438</v>
      </c>
      <c r="C584" s="13" t="s">
        <v>439</v>
      </c>
      <c r="D584" s="13" t="s">
        <v>2432</v>
      </c>
      <c r="E584" s="14">
        <v>45887</v>
      </c>
      <c r="F584" s="14">
        <v>45924</v>
      </c>
      <c r="G584" s="15">
        <v>21604.03</v>
      </c>
      <c r="H584" s="13" t="s">
        <v>2433</v>
      </c>
      <c r="I584" s="13" t="s">
        <v>2434</v>
      </c>
      <c r="J584" s="13" t="s">
        <v>143</v>
      </c>
      <c r="K584" s="13">
        <f t="shared" si="45"/>
        <v>2</v>
      </c>
      <c r="L584" s="13">
        <f t="shared" si="46"/>
        <v>0</v>
      </c>
      <c r="M584" s="13">
        <f>IF(AND(L584=0,COUNTIFS($B$2:$B$1534,B584,$G$2:$G$1534,G584,$E$2:$E$1534,"&gt;="&amp;(E584-Assumptions!$B$5),$E$2:$E$1534,"&lt;="&amp;(E584+Assumptions!$B$5))&gt;1),1,0)</f>
        <v>0</v>
      </c>
      <c r="N584" s="13">
        <f>IF(AND(G584&gt;=Assumptions!$B$4*(1-Assumptions!$B$6),G584&lt;Assumptions!$B$4),1,0)</f>
        <v>0</v>
      </c>
      <c r="O584" s="13">
        <f>IF(AND(G584&gt;=Assumptions!$B$7,MOD(G584,Assumptions!$B$7)=0),1,0)</f>
        <v>0</v>
      </c>
      <c r="P584" s="13">
        <f t="shared" si="47"/>
        <v>0</v>
      </c>
      <c r="Q584" s="13">
        <f t="shared" si="48"/>
        <v>0</v>
      </c>
      <c r="R584" s="13">
        <f>L584*Assumptions!$B$11+M584*Assumptions!$B$12+N584*Assumptions!$B$13+O584*Assumptions!$B$14+P584*Assumptions!$B$15+Q584*Assumptions!$B$16</f>
        <v>0</v>
      </c>
      <c r="S584" s="13" t="str">
        <f>IF(R584&gt;=Assumptions!$B$20,"High",IF(R584&gt;=Assumptions!$B$21,"Medium",IF(R584&gt;=1,"Low","Clear")))</f>
        <v>Clear</v>
      </c>
      <c r="T584" s="13" t="str">
        <f t="shared" si="49"/>
        <v/>
      </c>
    </row>
    <row r="585" spans="1:20" x14ac:dyDescent="0.35">
      <c r="A585" s="13" t="s">
        <v>2435</v>
      </c>
      <c r="B585" s="13" t="s">
        <v>93</v>
      </c>
      <c r="C585" s="13" t="s">
        <v>94</v>
      </c>
      <c r="D585" s="13" t="s">
        <v>2436</v>
      </c>
      <c r="E585" s="14">
        <v>45895</v>
      </c>
      <c r="F585" s="14">
        <v>45925</v>
      </c>
      <c r="G585" s="15">
        <v>7182.01</v>
      </c>
      <c r="H585" s="13" t="s">
        <v>2437</v>
      </c>
      <c r="I585" s="13"/>
      <c r="J585" s="13" t="s">
        <v>136</v>
      </c>
      <c r="K585" s="13">
        <f t="shared" si="45"/>
        <v>7</v>
      </c>
      <c r="L585" s="13">
        <f t="shared" si="46"/>
        <v>0</v>
      </c>
      <c r="M585" s="13">
        <f>IF(AND(L585=0,COUNTIFS($B$2:$B$1534,B585,$G$2:$G$1534,G585,$E$2:$E$1534,"&gt;="&amp;(E585-Assumptions!$B$5),$E$2:$E$1534,"&lt;="&amp;(E585+Assumptions!$B$5))&gt;1),1,0)</f>
        <v>0</v>
      </c>
      <c r="N585" s="13">
        <f>IF(AND(G585&gt;=Assumptions!$B$4*(1-Assumptions!$B$6),G585&lt;Assumptions!$B$4),1,0)</f>
        <v>0</v>
      </c>
      <c r="O585" s="13">
        <f>IF(AND(G585&gt;=Assumptions!$B$7,MOD(G585,Assumptions!$B$7)=0),1,0)</f>
        <v>0</v>
      </c>
      <c r="P585" s="13">
        <f t="shared" si="47"/>
        <v>1</v>
      </c>
      <c r="Q585" s="13">
        <f t="shared" si="48"/>
        <v>0</v>
      </c>
      <c r="R585" s="13">
        <f>L585*Assumptions!$B$11+M585*Assumptions!$B$12+N585*Assumptions!$B$13+O585*Assumptions!$B$14+P585*Assumptions!$B$15+Q585*Assumptions!$B$16</f>
        <v>4</v>
      </c>
      <c r="S585" s="13" t="str">
        <f>IF(R585&gt;=Assumptions!$B$20,"High",IF(R585&gt;=Assumptions!$B$21,"Medium",IF(R585&gt;=1,"Low","Clear")))</f>
        <v>Medium</v>
      </c>
      <c r="T585" s="13" t="str">
        <f t="shared" si="49"/>
        <v xml:space="preserve">No PO/GRN; </v>
      </c>
    </row>
    <row r="586" spans="1:20" x14ac:dyDescent="0.35">
      <c r="A586" s="13" t="s">
        <v>2438</v>
      </c>
      <c r="B586" s="13" t="s">
        <v>774</v>
      </c>
      <c r="C586" s="13" t="s">
        <v>775</v>
      </c>
      <c r="D586" s="13" t="s">
        <v>2439</v>
      </c>
      <c r="E586" s="14">
        <v>45897</v>
      </c>
      <c r="F586" s="14">
        <v>45925</v>
      </c>
      <c r="G586" s="15">
        <v>357059.93</v>
      </c>
      <c r="H586" s="13" t="s">
        <v>2440</v>
      </c>
      <c r="I586" s="13" t="s">
        <v>2441</v>
      </c>
      <c r="J586" s="13" t="s">
        <v>170</v>
      </c>
      <c r="K586" s="13">
        <f t="shared" si="45"/>
        <v>3</v>
      </c>
      <c r="L586" s="13">
        <f t="shared" si="46"/>
        <v>0</v>
      </c>
      <c r="M586" s="13">
        <f>IF(AND(L586=0,COUNTIFS($B$2:$B$1534,B586,$G$2:$G$1534,G586,$E$2:$E$1534,"&gt;="&amp;(E586-Assumptions!$B$5),$E$2:$E$1534,"&lt;="&amp;(E586+Assumptions!$B$5))&gt;1),1,0)</f>
        <v>0</v>
      </c>
      <c r="N586" s="13">
        <f>IF(AND(G586&gt;=Assumptions!$B$4*(1-Assumptions!$B$6),G586&lt;Assumptions!$B$4),1,0)</f>
        <v>0</v>
      </c>
      <c r="O586" s="13">
        <f>IF(AND(G586&gt;=Assumptions!$B$7,MOD(G586,Assumptions!$B$7)=0),1,0)</f>
        <v>0</v>
      </c>
      <c r="P586" s="13">
        <f t="shared" si="47"/>
        <v>0</v>
      </c>
      <c r="Q586" s="13">
        <f t="shared" si="48"/>
        <v>0</v>
      </c>
      <c r="R586" s="13">
        <f>L586*Assumptions!$B$11+M586*Assumptions!$B$12+N586*Assumptions!$B$13+O586*Assumptions!$B$14+P586*Assumptions!$B$15+Q586*Assumptions!$B$16</f>
        <v>0</v>
      </c>
      <c r="S586" s="13" t="str">
        <f>IF(R586&gt;=Assumptions!$B$20,"High",IF(R586&gt;=Assumptions!$B$21,"Medium",IF(R586&gt;=1,"Low","Clear")))</f>
        <v>Clear</v>
      </c>
      <c r="T586" s="13" t="str">
        <f t="shared" si="49"/>
        <v/>
      </c>
    </row>
    <row r="587" spans="1:20" x14ac:dyDescent="0.35">
      <c r="A587" s="13" t="s">
        <v>2442</v>
      </c>
      <c r="B587" s="13" t="s">
        <v>138</v>
      </c>
      <c r="C587" s="13" t="s">
        <v>139</v>
      </c>
      <c r="D587" s="13" t="s">
        <v>2443</v>
      </c>
      <c r="E587" s="14">
        <v>45887</v>
      </c>
      <c r="F587" s="14">
        <v>45925</v>
      </c>
      <c r="G587" s="15">
        <v>470634.29</v>
      </c>
      <c r="H587" s="13" t="s">
        <v>2444</v>
      </c>
      <c r="I587" s="13" t="s">
        <v>2445</v>
      </c>
      <c r="J587" s="13" t="s">
        <v>91</v>
      </c>
      <c r="K587" s="13">
        <f t="shared" si="45"/>
        <v>4</v>
      </c>
      <c r="L587" s="13">
        <f t="shared" si="46"/>
        <v>0</v>
      </c>
      <c r="M587" s="13">
        <f>IF(AND(L587=0,COUNTIFS($B$2:$B$1534,B587,$G$2:$G$1534,G587,$E$2:$E$1534,"&gt;="&amp;(E587-Assumptions!$B$5),$E$2:$E$1534,"&lt;="&amp;(E587+Assumptions!$B$5))&gt;1),1,0)</f>
        <v>0</v>
      </c>
      <c r="N587" s="13">
        <f>IF(AND(G587&gt;=Assumptions!$B$4*(1-Assumptions!$B$6),G587&lt;Assumptions!$B$4),1,0)</f>
        <v>0</v>
      </c>
      <c r="O587" s="13">
        <f>IF(AND(G587&gt;=Assumptions!$B$7,MOD(G587,Assumptions!$B$7)=0),1,0)</f>
        <v>0</v>
      </c>
      <c r="P587" s="13">
        <f t="shared" si="47"/>
        <v>0</v>
      </c>
      <c r="Q587" s="13">
        <f t="shared" si="48"/>
        <v>0</v>
      </c>
      <c r="R587" s="13">
        <f>L587*Assumptions!$B$11+M587*Assumptions!$B$12+N587*Assumptions!$B$13+O587*Assumptions!$B$14+P587*Assumptions!$B$15+Q587*Assumptions!$B$16</f>
        <v>0</v>
      </c>
      <c r="S587" s="13" t="str">
        <f>IF(R587&gt;=Assumptions!$B$20,"High",IF(R587&gt;=Assumptions!$B$21,"Medium",IF(R587&gt;=1,"Low","Clear")))</f>
        <v>Clear</v>
      </c>
      <c r="T587" s="13" t="str">
        <f t="shared" si="49"/>
        <v/>
      </c>
    </row>
    <row r="588" spans="1:20" x14ac:dyDescent="0.35">
      <c r="A588" s="13" t="s">
        <v>2446</v>
      </c>
      <c r="B588" s="13" t="s">
        <v>339</v>
      </c>
      <c r="C588" s="13" t="s">
        <v>340</v>
      </c>
      <c r="D588" s="13" t="s">
        <v>2447</v>
      </c>
      <c r="E588" s="14">
        <v>45886</v>
      </c>
      <c r="F588" s="14">
        <v>45925</v>
      </c>
      <c r="G588" s="15">
        <v>65599.87</v>
      </c>
      <c r="H588" s="13" t="s">
        <v>2448</v>
      </c>
      <c r="I588" s="13" t="s">
        <v>2449</v>
      </c>
      <c r="J588" s="13" t="s">
        <v>111</v>
      </c>
      <c r="K588" s="13">
        <f t="shared" si="45"/>
        <v>6</v>
      </c>
      <c r="L588" s="13">
        <f t="shared" si="46"/>
        <v>0</v>
      </c>
      <c r="M588" s="13">
        <f>IF(AND(L588=0,COUNTIFS($B$2:$B$1534,B588,$G$2:$G$1534,G588,$E$2:$E$1534,"&gt;="&amp;(E588-Assumptions!$B$5),$E$2:$E$1534,"&lt;="&amp;(E588+Assumptions!$B$5))&gt;1),1,0)</f>
        <v>0</v>
      </c>
      <c r="N588" s="13">
        <f>IF(AND(G588&gt;=Assumptions!$B$4*(1-Assumptions!$B$6),G588&lt;Assumptions!$B$4),1,0)</f>
        <v>0</v>
      </c>
      <c r="O588" s="13">
        <f>IF(AND(G588&gt;=Assumptions!$B$7,MOD(G588,Assumptions!$B$7)=0),1,0)</f>
        <v>0</v>
      </c>
      <c r="P588" s="13">
        <f t="shared" si="47"/>
        <v>0</v>
      </c>
      <c r="Q588" s="13">
        <f t="shared" si="48"/>
        <v>0</v>
      </c>
      <c r="R588" s="13">
        <f>L588*Assumptions!$B$11+M588*Assumptions!$B$12+N588*Assumptions!$B$13+O588*Assumptions!$B$14+P588*Assumptions!$B$15+Q588*Assumptions!$B$16</f>
        <v>0</v>
      </c>
      <c r="S588" s="13" t="str">
        <f>IF(R588&gt;=Assumptions!$B$20,"High",IF(R588&gt;=Assumptions!$B$21,"Medium",IF(R588&gt;=1,"Low","Clear")))</f>
        <v>Clear</v>
      </c>
      <c r="T588" s="13" t="str">
        <f t="shared" si="49"/>
        <v/>
      </c>
    </row>
    <row r="589" spans="1:20" x14ac:dyDescent="0.35">
      <c r="A589" s="13" t="s">
        <v>2450</v>
      </c>
      <c r="B589" s="13" t="s">
        <v>438</v>
      </c>
      <c r="C589" s="13" t="s">
        <v>439</v>
      </c>
      <c r="D589" s="13" t="s">
        <v>2451</v>
      </c>
      <c r="E589" s="14">
        <v>45896</v>
      </c>
      <c r="F589" s="14">
        <v>45925</v>
      </c>
      <c r="G589" s="15">
        <v>358167.48</v>
      </c>
      <c r="H589" s="13" t="s">
        <v>2452</v>
      </c>
      <c r="I589" s="13" t="s">
        <v>2453</v>
      </c>
      <c r="J589" s="13" t="s">
        <v>143</v>
      </c>
      <c r="K589" s="13">
        <f t="shared" si="45"/>
        <v>3</v>
      </c>
      <c r="L589" s="13">
        <f t="shared" si="46"/>
        <v>0</v>
      </c>
      <c r="M589" s="13">
        <f>IF(AND(L589=0,COUNTIFS($B$2:$B$1534,B589,$G$2:$G$1534,G589,$E$2:$E$1534,"&gt;="&amp;(E589-Assumptions!$B$5),$E$2:$E$1534,"&lt;="&amp;(E589+Assumptions!$B$5))&gt;1),1,0)</f>
        <v>0</v>
      </c>
      <c r="N589" s="13">
        <f>IF(AND(G589&gt;=Assumptions!$B$4*(1-Assumptions!$B$6),G589&lt;Assumptions!$B$4),1,0)</f>
        <v>0</v>
      </c>
      <c r="O589" s="13">
        <f>IF(AND(G589&gt;=Assumptions!$B$7,MOD(G589,Assumptions!$B$7)=0),1,0)</f>
        <v>0</v>
      </c>
      <c r="P589" s="13">
        <f t="shared" si="47"/>
        <v>0</v>
      </c>
      <c r="Q589" s="13">
        <f t="shared" si="48"/>
        <v>0</v>
      </c>
      <c r="R589" s="13">
        <f>L589*Assumptions!$B$11+M589*Assumptions!$B$12+N589*Assumptions!$B$13+O589*Assumptions!$B$14+P589*Assumptions!$B$15+Q589*Assumptions!$B$16</f>
        <v>0</v>
      </c>
      <c r="S589" s="13" t="str">
        <f>IF(R589&gt;=Assumptions!$B$20,"High",IF(R589&gt;=Assumptions!$B$21,"Medium",IF(R589&gt;=1,"Low","Clear")))</f>
        <v>Clear</v>
      </c>
      <c r="T589" s="13" t="str">
        <f t="shared" si="49"/>
        <v/>
      </c>
    </row>
    <row r="590" spans="1:20" x14ac:dyDescent="0.35">
      <c r="A590" s="13" t="s">
        <v>2454</v>
      </c>
      <c r="B590" s="13" t="s">
        <v>409</v>
      </c>
      <c r="C590" s="13" t="s">
        <v>410</v>
      </c>
      <c r="D590" s="13" t="s">
        <v>2455</v>
      </c>
      <c r="E590" s="14">
        <v>45892</v>
      </c>
      <c r="F590" s="14">
        <v>45926</v>
      </c>
      <c r="G590" s="15">
        <v>13939.29</v>
      </c>
      <c r="H590" s="13" t="s">
        <v>2456</v>
      </c>
      <c r="I590" s="13" t="s">
        <v>2457</v>
      </c>
      <c r="J590" s="13" t="s">
        <v>98</v>
      </c>
      <c r="K590" s="13">
        <f t="shared" si="45"/>
        <v>1</v>
      </c>
      <c r="L590" s="13">
        <f t="shared" si="46"/>
        <v>0</v>
      </c>
      <c r="M590" s="13">
        <f>IF(AND(L590=0,COUNTIFS($B$2:$B$1534,B590,$G$2:$G$1534,G590,$E$2:$E$1534,"&gt;="&amp;(E590-Assumptions!$B$5),$E$2:$E$1534,"&lt;="&amp;(E590+Assumptions!$B$5))&gt;1),1,0)</f>
        <v>0</v>
      </c>
      <c r="N590" s="13">
        <f>IF(AND(G590&gt;=Assumptions!$B$4*(1-Assumptions!$B$6),G590&lt;Assumptions!$B$4),1,0)</f>
        <v>0</v>
      </c>
      <c r="O590" s="13">
        <f>IF(AND(G590&gt;=Assumptions!$B$7,MOD(G590,Assumptions!$B$7)=0),1,0)</f>
        <v>0</v>
      </c>
      <c r="P590" s="13">
        <f t="shared" si="47"/>
        <v>0</v>
      </c>
      <c r="Q590" s="13">
        <f t="shared" si="48"/>
        <v>0</v>
      </c>
      <c r="R590" s="13">
        <f>L590*Assumptions!$B$11+M590*Assumptions!$B$12+N590*Assumptions!$B$13+O590*Assumptions!$B$14+P590*Assumptions!$B$15+Q590*Assumptions!$B$16</f>
        <v>0</v>
      </c>
      <c r="S590" s="13" t="str">
        <f>IF(R590&gt;=Assumptions!$B$20,"High",IF(R590&gt;=Assumptions!$B$21,"Medium",IF(R590&gt;=1,"Low","Clear")))</f>
        <v>Clear</v>
      </c>
      <c r="T590" s="13" t="str">
        <f t="shared" si="49"/>
        <v/>
      </c>
    </row>
    <row r="591" spans="1:20" x14ac:dyDescent="0.35">
      <c r="A591" s="13" t="s">
        <v>2458</v>
      </c>
      <c r="B591" s="13" t="s">
        <v>466</v>
      </c>
      <c r="C591" s="13" t="s">
        <v>467</v>
      </c>
      <c r="D591" s="13" t="s">
        <v>2459</v>
      </c>
      <c r="E591" s="14">
        <v>45889</v>
      </c>
      <c r="F591" s="14">
        <v>45926</v>
      </c>
      <c r="G591" s="15">
        <v>9066.7000000000007</v>
      </c>
      <c r="H591" s="13" t="s">
        <v>2460</v>
      </c>
      <c r="I591" s="13" t="s">
        <v>2461</v>
      </c>
      <c r="J591" s="13" t="s">
        <v>111</v>
      </c>
      <c r="K591" s="13">
        <f t="shared" si="45"/>
        <v>9</v>
      </c>
      <c r="L591" s="13">
        <f t="shared" si="46"/>
        <v>0</v>
      </c>
      <c r="M591" s="13">
        <f>IF(AND(L591=0,COUNTIFS($B$2:$B$1534,B591,$G$2:$G$1534,G591,$E$2:$E$1534,"&gt;="&amp;(E591-Assumptions!$B$5),$E$2:$E$1534,"&lt;="&amp;(E591+Assumptions!$B$5))&gt;1),1,0)</f>
        <v>0</v>
      </c>
      <c r="N591" s="13">
        <f>IF(AND(G591&gt;=Assumptions!$B$4*(1-Assumptions!$B$6),G591&lt;Assumptions!$B$4),1,0)</f>
        <v>0</v>
      </c>
      <c r="O591" s="13">
        <f>IF(AND(G591&gt;=Assumptions!$B$7,MOD(G591,Assumptions!$B$7)=0),1,0)</f>
        <v>0</v>
      </c>
      <c r="P591" s="13">
        <f t="shared" si="47"/>
        <v>0</v>
      </c>
      <c r="Q591" s="13">
        <f t="shared" si="48"/>
        <v>0</v>
      </c>
      <c r="R591" s="13">
        <f>L591*Assumptions!$B$11+M591*Assumptions!$B$12+N591*Assumptions!$B$13+O591*Assumptions!$B$14+P591*Assumptions!$B$15+Q591*Assumptions!$B$16</f>
        <v>0</v>
      </c>
      <c r="S591" s="13" t="str">
        <f>IF(R591&gt;=Assumptions!$B$20,"High",IF(R591&gt;=Assumptions!$B$21,"Medium",IF(R591&gt;=1,"Low","Clear")))</f>
        <v>Clear</v>
      </c>
      <c r="T591" s="13" t="str">
        <f t="shared" si="49"/>
        <v/>
      </c>
    </row>
    <row r="592" spans="1:20" x14ac:dyDescent="0.35">
      <c r="A592" s="13" t="s">
        <v>2462</v>
      </c>
      <c r="B592" s="13" t="s">
        <v>113</v>
      </c>
      <c r="C592" s="13" t="s">
        <v>114</v>
      </c>
      <c r="D592" s="13" t="s">
        <v>2463</v>
      </c>
      <c r="E592" s="14">
        <v>45887</v>
      </c>
      <c r="F592" s="14">
        <v>45926</v>
      </c>
      <c r="G592" s="15">
        <v>2740.34</v>
      </c>
      <c r="H592" s="13" t="s">
        <v>2387</v>
      </c>
      <c r="I592" s="13" t="s">
        <v>2388</v>
      </c>
      <c r="J592" s="13" t="s">
        <v>170</v>
      </c>
      <c r="K592" s="13">
        <f t="shared" si="45"/>
        <v>2</v>
      </c>
      <c r="L592" s="13">
        <f t="shared" si="46"/>
        <v>0</v>
      </c>
      <c r="M592" s="13">
        <f>IF(AND(L592=0,COUNTIFS($B$2:$B$1534,B592,$G$2:$G$1534,G592,$E$2:$E$1534,"&gt;="&amp;(E592-Assumptions!$B$5),$E$2:$E$1534,"&lt;="&amp;(E592+Assumptions!$B$5))&gt;1),1,0)</f>
        <v>1</v>
      </c>
      <c r="N592" s="13">
        <f>IF(AND(G592&gt;=Assumptions!$B$4*(1-Assumptions!$B$6),G592&lt;Assumptions!$B$4),1,0)</f>
        <v>0</v>
      </c>
      <c r="O592" s="13">
        <f>IF(AND(G592&gt;=Assumptions!$B$7,MOD(G592,Assumptions!$B$7)=0),1,0)</f>
        <v>0</v>
      </c>
      <c r="P592" s="13">
        <f t="shared" si="47"/>
        <v>0</v>
      </c>
      <c r="Q592" s="13">
        <f t="shared" si="48"/>
        <v>0</v>
      </c>
      <c r="R592" s="13">
        <f>L592*Assumptions!$B$11+M592*Assumptions!$B$12+N592*Assumptions!$B$13+O592*Assumptions!$B$14+P592*Assumptions!$B$15+Q592*Assumptions!$B$16</f>
        <v>3</v>
      </c>
      <c r="S592" s="13" t="str">
        <f>IF(R592&gt;=Assumptions!$B$20,"High",IF(R592&gt;=Assumptions!$B$21,"Medium",IF(R592&gt;=1,"Low","Clear")))</f>
        <v>Medium</v>
      </c>
      <c r="T592" s="13" t="str">
        <f t="shared" si="49"/>
        <v xml:space="preserve">Near-duplicate; </v>
      </c>
    </row>
    <row r="593" spans="1:20" x14ac:dyDescent="0.35">
      <c r="A593" s="13" t="s">
        <v>2464</v>
      </c>
      <c r="B593" s="13" t="s">
        <v>188</v>
      </c>
      <c r="C593" s="13" t="s">
        <v>189</v>
      </c>
      <c r="D593" s="13" t="s">
        <v>2465</v>
      </c>
      <c r="E593" s="14">
        <v>45898</v>
      </c>
      <c r="F593" s="14">
        <v>45929</v>
      </c>
      <c r="G593" s="15">
        <v>13320.58</v>
      </c>
      <c r="H593" s="13" t="s">
        <v>2466</v>
      </c>
      <c r="I593" s="13" t="s">
        <v>2467</v>
      </c>
      <c r="J593" s="13" t="s">
        <v>91</v>
      </c>
      <c r="K593" s="13">
        <f t="shared" si="45"/>
        <v>1</v>
      </c>
      <c r="L593" s="13">
        <f t="shared" si="46"/>
        <v>0</v>
      </c>
      <c r="M593" s="13">
        <f>IF(AND(L593=0,COUNTIFS($B$2:$B$1534,B593,$G$2:$G$1534,G593,$E$2:$E$1534,"&gt;="&amp;(E593-Assumptions!$B$5),$E$2:$E$1534,"&lt;="&amp;(E593+Assumptions!$B$5))&gt;1),1,0)</f>
        <v>0</v>
      </c>
      <c r="N593" s="13">
        <f>IF(AND(G593&gt;=Assumptions!$B$4*(1-Assumptions!$B$6),G593&lt;Assumptions!$B$4),1,0)</f>
        <v>0</v>
      </c>
      <c r="O593" s="13">
        <f>IF(AND(G593&gt;=Assumptions!$B$7,MOD(G593,Assumptions!$B$7)=0),1,0)</f>
        <v>0</v>
      </c>
      <c r="P593" s="13">
        <f t="shared" si="47"/>
        <v>0</v>
      </c>
      <c r="Q593" s="13">
        <f t="shared" si="48"/>
        <v>0</v>
      </c>
      <c r="R593" s="13">
        <f>L593*Assumptions!$B$11+M593*Assumptions!$B$12+N593*Assumptions!$B$13+O593*Assumptions!$B$14+P593*Assumptions!$B$15+Q593*Assumptions!$B$16</f>
        <v>0</v>
      </c>
      <c r="S593" s="13" t="str">
        <f>IF(R593&gt;=Assumptions!$B$20,"High",IF(R593&gt;=Assumptions!$B$21,"Medium",IF(R593&gt;=1,"Low","Clear")))</f>
        <v>Clear</v>
      </c>
      <c r="T593" s="13" t="str">
        <f t="shared" si="49"/>
        <v/>
      </c>
    </row>
    <row r="594" spans="1:20" x14ac:dyDescent="0.35">
      <c r="A594" s="13" t="s">
        <v>2468</v>
      </c>
      <c r="B594" s="13" t="s">
        <v>391</v>
      </c>
      <c r="C594" s="13" t="s">
        <v>392</v>
      </c>
      <c r="D594" s="13" t="s">
        <v>2469</v>
      </c>
      <c r="E594" s="14">
        <v>45904</v>
      </c>
      <c r="F594" s="14">
        <v>45929</v>
      </c>
      <c r="G594" s="15">
        <v>10298.709999999999</v>
      </c>
      <c r="H594" s="13" t="s">
        <v>2470</v>
      </c>
      <c r="I594" s="13" t="s">
        <v>2471</v>
      </c>
      <c r="J594" s="13" t="s">
        <v>170</v>
      </c>
      <c r="K594" s="13">
        <f t="shared" si="45"/>
        <v>1</v>
      </c>
      <c r="L594" s="13">
        <f t="shared" si="46"/>
        <v>0</v>
      </c>
      <c r="M594" s="13">
        <f>IF(AND(L594=0,COUNTIFS($B$2:$B$1534,B594,$G$2:$G$1534,G594,$E$2:$E$1534,"&gt;="&amp;(E594-Assumptions!$B$5),$E$2:$E$1534,"&lt;="&amp;(E594+Assumptions!$B$5))&gt;1),1,0)</f>
        <v>0</v>
      </c>
      <c r="N594" s="13">
        <f>IF(AND(G594&gt;=Assumptions!$B$4*(1-Assumptions!$B$6),G594&lt;Assumptions!$B$4),1,0)</f>
        <v>0</v>
      </c>
      <c r="O594" s="13">
        <f>IF(AND(G594&gt;=Assumptions!$B$7,MOD(G594,Assumptions!$B$7)=0),1,0)</f>
        <v>0</v>
      </c>
      <c r="P594" s="13">
        <f t="shared" si="47"/>
        <v>0</v>
      </c>
      <c r="Q594" s="13">
        <f t="shared" si="48"/>
        <v>0</v>
      </c>
      <c r="R594" s="13">
        <f>L594*Assumptions!$B$11+M594*Assumptions!$B$12+N594*Assumptions!$B$13+O594*Assumptions!$B$14+P594*Assumptions!$B$15+Q594*Assumptions!$B$16</f>
        <v>0</v>
      </c>
      <c r="S594" s="13" t="str">
        <f>IF(R594&gt;=Assumptions!$B$20,"High",IF(R594&gt;=Assumptions!$B$21,"Medium",IF(R594&gt;=1,"Low","Clear")))</f>
        <v>Clear</v>
      </c>
      <c r="T594" s="13" t="str">
        <f t="shared" si="49"/>
        <v/>
      </c>
    </row>
    <row r="595" spans="1:20" x14ac:dyDescent="0.35">
      <c r="A595" s="13" t="s">
        <v>2472</v>
      </c>
      <c r="B595" s="13" t="s">
        <v>774</v>
      </c>
      <c r="C595" s="13" t="s">
        <v>775</v>
      </c>
      <c r="D595" s="13" t="s">
        <v>2473</v>
      </c>
      <c r="E595" s="14">
        <v>45904</v>
      </c>
      <c r="F595" s="14">
        <v>45929</v>
      </c>
      <c r="G595" s="15">
        <v>3541.06</v>
      </c>
      <c r="H595" s="13" t="s">
        <v>2474</v>
      </c>
      <c r="I595" s="13" t="s">
        <v>2475</v>
      </c>
      <c r="J595" s="13" t="s">
        <v>91</v>
      </c>
      <c r="K595" s="13">
        <f t="shared" si="45"/>
        <v>3</v>
      </c>
      <c r="L595" s="13">
        <f t="shared" si="46"/>
        <v>0</v>
      </c>
      <c r="M595" s="13">
        <f>IF(AND(L595=0,COUNTIFS($B$2:$B$1534,B595,$G$2:$G$1534,G595,$E$2:$E$1534,"&gt;="&amp;(E595-Assumptions!$B$5),$E$2:$E$1534,"&lt;="&amp;(E595+Assumptions!$B$5))&gt;1),1,0)</f>
        <v>0</v>
      </c>
      <c r="N595" s="13">
        <f>IF(AND(G595&gt;=Assumptions!$B$4*(1-Assumptions!$B$6),G595&lt;Assumptions!$B$4),1,0)</f>
        <v>0</v>
      </c>
      <c r="O595" s="13">
        <f>IF(AND(G595&gt;=Assumptions!$B$7,MOD(G595,Assumptions!$B$7)=0),1,0)</f>
        <v>0</v>
      </c>
      <c r="P595" s="13">
        <f t="shared" si="47"/>
        <v>0</v>
      </c>
      <c r="Q595" s="13">
        <f t="shared" si="48"/>
        <v>0</v>
      </c>
      <c r="R595" s="13">
        <f>L595*Assumptions!$B$11+M595*Assumptions!$B$12+N595*Assumptions!$B$13+O595*Assumptions!$B$14+P595*Assumptions!$B$15+Q595*Assumptions!$B$16</f>
        <v>0</v>
      </c>
      <c r="S595" s="13" t="str">
        <f>IF(R595&gt;=Assumptions!$B$20,"High",IF(R595&gt;=Assumptions!$B$21,"Medium",IF(R595&gt;=1,"Low","Clear")))</f>
        <v>Clear</v>
      </c>
      <c r="T595" s="13" t="str">
        <f t="shared" si="49"/>
        <v/>
      </c>
    </row>
    <row r="596" spans="1:20" x14ac:dyDescent="0.35">
      <c r="A596" s="13" t="s">
        <v>2476</v>
      </c>
      <c r="B596" s="13" t="s">
        <v>774</v>
      </c>
      <c r="C596" s="13" t="s">
        <v>775</v>
      </c>
      <c r="D596" s="13" t="s">
        <v>2477</v>
      </c>
      <c r="E596" s="14">
        <v>45893</v>
      </c>
      <c r="F596" s="14">
        <v>45929</v>
      </c>
      <c r="G596" s="15">
        <v>75760.36</v>
      </c>
      <c r="H596" s="13" t="s">
        <v>2478</v>
      </c>
      <c r="I596" s="13" t="s">
        <v>2479</v>
      </c>
      <c r="J596" s="13" t="s">
        <v>143</v>
      </c>
      <c r="K596" s="13">
        <f t="shared" si="45"/>
        <v>7</v>
      </c>
      <c r="L596" s="13">
        <f t="shared" si="46"/>
        <v>0</v>
      </c>
      <c r="M596" s="13">
        <f>IF(AND(L596=0,COUNTIFS($B$2:$B$1534,B596,$G$2:$G$1534,G596,$E$2:$E$1534,"&gt;="&amp;(E596-Assumptions!$B$5),$E$2:$E$1534,"&lt;="&amp;(E596+Assumptions!$B$5))&gt;1),1,0)</f>
        <v>0</v>
      </c>
      <c r="N596" s="13">
        <f>IF(AND(G596&gt;=Assumptions!$B$4*(1-Assumptions!$B$6),G596&lt;Assumptions!$B$4),1,0)</f>
        <v>0</v>
      </c>
      <c r="O596" s="13">
        <f>IF(AND(G596&gt;=Assumptions!$B$7,MOD(G596,Assumptions!$B$7)=0),1,0)</f>
        <v>0</v>
      </c>
      <c r="P596" s="13">
        <f t="shared" si="47"/>
        <v>0</v>
      </c>
      <c r="Q596" s="13">
        <f t="shared" si="48"/>
        <v>0</v>
      </c>
      <c r="R596" s="13">
        <f>L596*Assumptions!$B$11+M596*Assumptions!$B$12+N596*Assumptions!$B$13+O596*Assumptions!$B$14+P596*Assumptions!$B$15+Q596*Assumptions!$B$16</f>
        <v>0</v>
      </c>
      <c r="S596" s="13" t="str">
        <f>IF(R596&gt;=Assumptions!$B$20,"High",IF(R596&gt;=Assumptions!$B$21,"Medium",IF(R596&gt;=1,"Low","Clear")))</f>
        <v>Clear</v>
      </c>
      <c r="T596" s="13" t="str">
        <f t="shared" si="49"/>
        <v/>
      </c>
    </row>
    <row r="597" spans="1:20" x14ac:dyDescent="0.35">
      <c r="A597" s="13" t="s">
        <v>2480</v>
      </c>
      <c r="B597" s="13" t="s">
        <v>466</v>
      </c>
      <c r="C597" s="13" t="s">
        <v>467</v>
      </c>
      <c r="D597" s="13" t="s">
        <v>2481</v>
      </c>
      <c r="E597" s="14">
        <v>45893</v>
      </c>
      <c r="F597" s="14">
        <v>45929</v>
      </c>
      <c r="G597" s="15">
        <v>47618.18</v>
      </c>
      <c r="H597" s="13" t="s">
        <v>2482</v>
      </c>
      <c r="I597" s="13" t="s">
        <v>2483</v>
      </c>
      <c r="J597" s="13" t="s">
        <v>98</v>
      </c>
      <c r="K597" s="13">
        <f t="shared" si="45"/>
        <v>4</v>
      </c>
      <c r="L597" s="13">
        <f t="shared" si="46"/>
        <v>0</v>
      </c>
      <c r="M597" s="13">
        <f>IF(AND(L597=0,COUNTIFS($B$2:$B$1534,B597,$G$2:$G$1534,G597,$E$2:$E$1534,"&gt;="&amp;(E597-Assumptions!$B$5),$E$2:$E$1534,"&lt;="&amp;(E597+Assumptions!$B$5))&gt;1),1,0)</f>
        <v>0</v>
      </c>
      <c r="N597" s="13">
        <f>IF(AND(G597&gt;=Assumptions!$B$4*(1-Assumptions!$B$6),G597&lt;Assumptions!$B$4),1,0)</f>
        <v>1</v>
      </c>
      <c r="O597" s="13">
        <f>IF(AND(G597&gt;=Assumptions!$B$7,MOD(G597,Assumptions!$B$7)=0),1,0)</f>
        <v>0</v>
      </c>
      <c r="P597" s="13">
        <f t="shared" si="47"/>
        <v>0</v>
      </c>
      <c r="Q597" s="13">
        <f t="shared" si="48"/>
        <v>0</v>
      </c>
      <c r="R597" s="13">
        <f>L597*Assumptions!$B$11+M597*Assumptions!$B$12+N597*Assumptions!$B$13+O597*Assumptions!$B$14+P597*Assumptions!$B$15+Q597*Assumptions!$B$16</f>
        <v>3</v>
      </c>
      <c r="S597" s="13" t="str">
        <f>IF(R597&gt;=Assumptions!$B$20,"High",IF(R597&gt;=Assumptions!$B$21,"Medium",IF(R597&gt;=1,"Low","Clear")))</f>
        <v>Medium</v>
      </c>
      <c r="T597" s="13" t="str">
        <f t="shared" si="49"/>
        <v xml:space="preserve">Just below limit; </v>
      </c>
    </row>
    <row r="598" spans="1:20" x14ac:dyDescent="0.35">
      <c r="A598" s="13" t="s">
        <v>2484</v>
      </c>
      <c r="B598" s="13" t="s">
        <v>438</v>
      </c>
      <c r="C598" s="13" t="s">
        <v>439</v>
      </c>
      <c r="D598" s="13" t="s">
        <v>2485</v>
      </c>
      <c r="E598" s="14">
        <v>45894</v>
      </c>
      <c r="F598" s="14">
        <v>45929</v>
      </c>
      <c r="G598" s="15">
        <v>266020.03000000003</v>
      </c>
      <c r="H598" s="13" t="s">
        <v>2486</v>
      </c>
      <c r="I598" s="13" t="s">
        <v>2487</v>
      </c>
      <c r="J598" s="13" t="s">
        <v>111</v>
      </c>
      <c r="K598" s="13">
        <f t="shared" si="45"/>
        <v>2</v>
      </c>
      <c r="L598" s="13">
        <f t="shared" si="46"/>
        <v>0</v>
      </c>
      <c r="M598" s="13">
        <f>IF(AND(L598=0,COUNTIFS($B$2:$B$1534,B598,$G$2:$G$1534,G598,$E$2:$E$1534,"&gt;="&amp;(E598-Assumptions!$B$5),$E$2:$E$1534,"&lt;="&amp;(E598+Assumptions!$B$5))&gt;1),1,0)</f>
        <v>0</v>
      </c>
      <c r="N598" s="13">
        <f>IF(AND(G598&gt;=Assumptions!$B$4*(1-Assumptions!$B$6),G598&lt;Assumptions!$B$4),1,0)</f>
        <v>0</v>
      </c>
      <c r="O598" s="13">
        <f>IF(AND(G598&gt;=Assumptions!$B$7,MOD(G598,Assumptions!$B$7)=0),1,0)</f>
        <v>0</v>
      </c>
      <c r="P598" s="13">
        <f t="shared" si="47"/>
        <v>0</v>
      </c>
      <c r="Q598" s="13">
        <f t="shared" si="48"/>
        <v>0</v>
      </c>
      <c r="R598" s="13">
        <f>L598*Assumptions!$B$11+M598*Assumptions!$B$12+N598*Assumptions!$B$13+O598*Assumptions!$B$14+P598*Assumptions!$B$15+Q598*Assumptions!$B$16</f>
        <v>0</v>
      </c>
      <c r="S598" s="13" t="str">
        <f>IF(R598&gt;=Assumptions!$B$20,"High",IF(R598&gt;=Assumptions!$B$21,"Medium",IF(R598&gt;=1,"Low","Clear")))</f>
        <v>Clear</v>
      </c>
      <c r="T598" s="13" t="str">
        <f t="shared" si="49"/>
        <v/>
      </c>
    </row>
    <row r="599" spans="1:20" x14ac:dyDescent="0.35">
      <c r="A599" s="13" t="s">
        <v>2488</v>
      </c>
      <c r="B599" s="13" t="s">
        <v>357</v>
      </c>
      <c r="C599" s="13" t="s">
        <v>358</v>
      </c>
      <c r="D599" s="13" t="s">
        <v>2489</v>
      </c>
      <c r="E599" s="14">
        <v>45893</v>
      </c>
      <c r="F599" s="14">
        <v>45929</v>
      </c>
      <c r="G599" s="15">
        <v>5035.1099999999997</v>
      </c>
      <c r="H599" s="13" t="s">
        <v>2490</v>
      </c>
      <c r="I599" s="13" t="s">
        <v>2491</v>
      </c>
      <c r="J599" s="13" t="s">
        <v>98</v>
      </c>
      <c r="K599" s="13">
        <f t="shared" si="45"/>
        <v>5</v>
      </c>
      <c r="L599" s="13">
        <f t="shared" si="46"/>
        <v>0</v>
      </c>
      <c r="M599" s="13">
        <f>IF(AND(L599=0,COUNTIFS($B$2:$B$1534,B599,$G$2:$G$1534,G599,$E$2:$E$1534,"&gt;="&amp;(E599-Assumptions!$B$5),$E$2:$E$1534,"&lt;="&amp;(E599+Assumptions!$B$5))&gt;1),1,0)</f>
        <v>0</v>
      </c>
      <c r="N599" s="13">
        <f>IF(AND(G599&gt;=Assumptions!$B$4*(1-Assumptions!$B$6),G599&lt;Assumptions!$B$4),1,0)</f>
        <v>0</v>
      </c>
      <c r="O599" s="13">
        <f>IF(AND(G599&gt;=Assumptions!$B$7,MOD(G599,Assumptions!$B$7)=0),1,0)</f>
        <v>0</v>
      </c>
      <c r="P599" s="13">
        <f t="shared" si="47"/>
        <v>0</v>
      </c>
      <c r="Q599" s="13">
        <f t="shared" si="48"/>
        <v>0</v>
      </c>
      <c r="R599" s="13">
        <f>L599*Assumptions!$B$11+M599*Assumptions!$B$12+N599*Assumptions!$B$13+O599*Assumptions!$B$14+P599*Assumptions!$B$15+Q599*Assumptions!$B$16</f>
        <v>0</v>
      </c>
      <c r="S599" s="13" t="str">
        <f>IF(R599&gt;=Assumptions!$B$20,"High",IF(R599&gt;=Assumptions!$B$21,"Medium",IF(R599&gt;=1,"Low","Clear")))</f>
        <v>Clear</v>
      </c>
      <c r="T599" s="13" t="str">
        <f t="shared" si="49"/>
        <v/>
      </c>
    </row>
    <row r="600" spans="1:20" x14ac:dyDescent="0.35">
      <c r="A600" s="13" t="s">
        <v>2492</v>
      </c>
      <c r="B600" s="13" t="s">
        <v>176</v>
      </c>
      <c r="C600" s="13" t="s">
        <v>177</v>
      </c>
      <c r="D600" s="13" t="s">
        <v>2493</v>
      </c>
      <c r="E600" s="14">
        <v>45901</v>
      </c>
      <c r="F600" s="14">
        <v>45930</v>
      </c>
      <c r="G600" s="15">
        <v>293039.77</v>
      </c>
      <c r="H600" s="13" t="s">
        <v>2494</v>
      </c>
      <c r="I600" s="13" t="s">
        <v>2495</v>
      </c>
      <c r="J600" s="13" t="s">
        <v>91</v>
      </c>
      <c r="K600" s="13">
        <f t="shared" si="45"/>
        <v>2</v>
      </c>
      <c r="L600" s="13">
        <f t="shared" si="46"/>
        <v>0</v>
      </c>
      <c r="M600" s="13">
        <f>IF(AND(L600=0,COUNTIFS($B$2:$B$1534,B600,$G$2:$G$1534,G600,$E$2:$E$1534,"&gt;="&amp;(E600-Assumptions!$B$5),$E$2:$E$1534,"&lt;="&amp;(E600+Assumptions!$B$5))&gt;1),1,0)</f>
        <v>0</v>
      </c>
      <c r="N600" s="13">
        <f>IF(AND(G600&gt;=Assumptions!$B$4*(1-Assumptions!$B$6),G600&lt;Assumptions!$B$4),1,0)</f>
        <v>0</v>
      </c>
      <c r="O600" s="13">
        <f>IF(AND(G600&gt;=Assumptions!$B$7,MOD(G600,Assumptions!$B$7)=0),1,0)</f>
        <v>0</v>
      </c>
      <c r="P600" s="13">
        <f t="shared" si="47"/>
        <v>0</v>
      </c>
      <c r="Q600" s="13">
        <f t="shared" si="48"/>
        <v>0</v>
      </c>
      <c r="R600" s="13">
        <f>L600*Assumptions!$B$11+M600*Assumptions!$B$12+N600*Assumptions!$B$13+O600*Assumptions!$B$14+P600*Assumptions!$B$15+Q600*Assumptions!$B$16</f>
        <v>0</v>
      </c>
      <c r="S600" s="13" t="str">
        <f>IF(R600&gt;=Assumptions!$B$20,"High",IF(R600&gt;=Assumptions!$B$21,"Medium",IF(R600&gt;=1,"Low","Clear")))</f>
        <v>Clear</v>
      </c>
      <c r="T600" s="13" t="str">
        <f t="shared" si="49"/>
        <v/>
      </c>
    </row>
    <row r="601" spans="1:20" x14ac:dyDescent="0.35">
      <c r="A601" s="13" t="s">
        <v>2496</v>
      </c>
      <c r="B601" s="13" t="s">
        <v>113</v>
      </c>
      <c r="C601" s="13" t="s">
        <v>114</v>
      </c>
      <c r="D601" s="13" t="s">
        <v>2497</v>
      </c>
      <c r="E601" s="14">
        <v>45896</v>
      </c>
      <c r="F601" s="14">
        <v>45930</v>
      </c>
      <c r="G601" s="15">
        <v>152579.34</v>
      </c>
      <c r="H601" s="13" t="s">
        <v>2498</v>
      </c>
      <c r="I601" s="13" t="s">
        <v>2499</v>
      </c>
      <c r="J601" s="13" t="s">
        <v>170</v>
      </c>
      <c r="K601" s="13">
        <f t="shared" si="45"/>
        <v>1</v>
      </c>
      <c r="L601" s="13">
        <f t="shared" si="46"/>
        <v>0</v>
      </c>
      <c r="M601" s="13">
        <f>IF(AND(L601=0,COUNTIFS($B$2:$B$1534,B601,$G$2:$G$1534,G601,$E$2:$E$1534,"&gt;="&amp;(E601-Assumptions!$B$5),$E$2:$E$1534,"&lt;="&amp;(E601+Assumptions!$B$5))&gt;1),1,0)</f>
        <v>0</v>
      </c>
      <c r="N601" s="13">
        <f>IF(AND(G601&gt;=Assumptions!$B$4*(1-Assumptions!$B$6),G601&lt;Assumptions!$B$4),1,0)</f>
        <v>0</v>
      </c>
      <c r="O601" s="13">
        <f>IF(AND(G601&gt;=Assumptions!$B$7,MOD(G601,Assumptions!$B$7)=0),1,0)</f>
        <v>0</v>
      </c>
      <c r="P601" s="13">
        <f t="shared" si="47"/>
        <v>0</v>
      </c>
      <c r="Q601" s="13">
        <f t="shared" si="48"/>
        <v>0</v>
      </c>
      <c r="R601" s="13">
        <f>L601*Assumptions!$B$11+M601*Assumptions!$B$12+N601*Assumptions!$B$13+O601*Assumptions!$B$14+P601*Assumptions!$B$15+Q601*Assumptions!$B$16</f>
        <v>0</v>
      </c>
      <c r="S601" s="13" t="str">
        <f>IF(R601&gt;=Assumptions!$B$20,"High",IF(R601&gt;=Assumptions!$B$21,"Medium",IF(R601&gt;=1,"Low","Clear")))</f>
        <v>Clear</v>
      </c>
      <c r="T601" s="13" t="str">
        <f t="shared" si="49"/>
        <v/>
      </c>
    </row>
    <row r="602" spans="1:20" x14ac:dyDescent="0.35">
      <c r="A602" s="13" t="s">
        <v>2500</v>
      </c>
      <c r="B602" s="13" t="s">
        <v>218</v>
      </c>
      <c r="C602" s="13" t="s">
        <v>219</v>
      </c>
      <c r="D602" s="13" t="s">
        <v>2501</v>
      </c>
      <c r="E602" s="14">
        <v>45908</v>
      </c>
      <c r="F602" s="14">
        <v>45930</v>
      </c>
      <c r="G602" s="15">
        <v>222812.07</v>
      </c>
      <c r="H602" s="13" t="s">
        <v>2502</v>
      </c>
      <c r="I602" s="13" t="s">
        <v>2503</v>
      </c>
      <c r="J602" s="13" t="s">
        <v>111</v>
      </c>
      <c r="K602" s="13">
        <f t="shared" si="45"/>
        <v>2</v>
      </c>
      <c r="L602" s="13">
        <f t="shared" si="46"/>
        <v>0</v>
      </c>
      <c r="M602" s="13">
        <f>IF(AND(L602=0,COUNTIFS($B$2:$B$1534,B602,$G$2:$G$1534,G602,$E$2:$E$1534,"&gt;="&amp;(E602-Assumptions!$B$5),$E$2:$E$1534,"&lt;="&amp;(E602+Assumptions!$B$5))&gt;1),1,0)</f>
        <v>0</v>
      </c>
      <c r="N602" s="13">
        <f>IF(AND(G602&gt;=Assumptions!$B$4*(1-Assumptions!$B$6),G602&lt;Assumptions!$B$4),1,0)</f>
        <v>0</v>
      </c>
      <c r="O602" s="13">
        <f>IF(AND(G602&gt;=Assumptions!$B$7,MOD(G602,Assumptions!$B$7)=0),1,0)</f>
        <v>0</v>
      </c>
      <c r="P602" s="13">
        <f t="shared" si="47"/>
        <v>0</v>
      </c>
      <c r="Q602" s="13">
        <f t="shared" si="48"/>
        <v>0</v>
      </c>
      <c r="R602" s="13">
        <f>L602*Assumptions!$B$11+M602*Assumptions!$B$12+N602*Assumptions!$B$13+O602*Assumptions!$B$14+P602*Assumptions!$B$15+Q602*Assumptions!$B$16</f>
        <v>0</v>
      </c>
      <c r="S602" s="13" t="str">
        <f>IF(R602&gt;=Assumptions!$B$20,"High",IF(R602&gt;=Assumptions!$B$21,"Medium",IF(R602&gt;=1,"Low","Clear")))</f>
        <v>Clear</v>
      </c>
      <c r="T602" s="13" t="str">
        <f t="shared" si="49"/>
        <v/>
      </c>
    </row>
    <row r="603" spans="1:20" x14ac:dyDescent="0.35">
      <c r="A603" s="13" t="s">
        <v>2504</v>
      </c>
      <c r="B603" s="13" t="s">
        <v>155</v>
      </c>
      <c r="C603" s="13" t="s">
        <v>156</v>
      </c>
      <c r="D603" s="13" t="s">
        <v>2505</v>
      </c>
      <c r="E603" s="14">
        <v>45890</v>
      </c>
      <c r="F603" s="14">
        <v>45930</v>
      </c>
      <c r="G603" s="15">
        <v>1843.27</v>
      </c>
      <c r="H603" s="13" t="s">
        <v>2506</v>
      </c>
      <c r="I603" s="13" t="s">
        <v>2507</v>
      </c>
      <c r="J603" s="13" t="s">
        <v>91</v>
      </c>
      <c r="K603" s="13">
        <f t="shared" si="45"/>
        <v>1</v>
      </c>
      <c r="L603" s="13">
        <f t="shared" si="46"/>
        <v>0</v>
      </c>
      <c r="M603" s="13">
        <f>IF(AND(L603=0,COUNTIFS($B$2:$B$1534,B603,$G$2:$G$1534,G603,$E$2:$E$1534,"&gt;="&amp;(E603-Assumptions!$B$5),$E$2:$E$1534,"&lt;="&amp;(E603+Assumptions!$B$5))&gt;1),1,0)</f>
        <v>0</v>
      </c>
      <c r="N603" s="13">
        <f>IF(AND(G603&gt;=Assumptions!$B$4*(1-Assumptions!$B$6),G603&lt;Assumptions!$B$4),1,0)</f>
        <v>0</v>
      </c>
      <c r="O603" s="13">
        <f>IF(AND(G603&gt;=Assumptions!$B$7,MOD(G603,Assumptions!$B$7)=0),1,0)</f>
        <v>0</v>
      </c>
      <c r="P603" s="13">
        <f t="shared" si="47"/>
        <v>0</v>
      </c>
      <c r="Q603" s="13">
        <f t="shared" si="48"/>
        <v>0</v>
      </c>
      <c r="R603" s="13">
        <f>L603*Assumptions!$B$11+M603*Assumptions!$B$12+N603*Assumptions!$B$13+O603*Assumptions!$B$14+P603*Assumptions!$B$15+Q603*Assumptions!$B$16</f>
        <v>0</v>
      </c>
      <c r="S603" s="13" t="str">
        <f>IF(R603&gt;=Assumptions!$B$20,"High",IF(R603&gt;=Assumptions!$B$21,"Medium",IF(R603&gt;=1,"Low","Clear")))</f>
        <v>Clear</v>
      </c>
      <c r="T603" s="13" t="str">
        <f t="shared" si="49"/>
        <v/>
      </c>
    </row>
    <row r="604" spans="1:20" x14ac:dyDescent="0.35">
      <c r="A604" s="13" t="s">
        <v>2508</v>
      </c>
      <c r="B604" s="13" t="s">
        <v>86</v>
      </c>
      <c r="C604" s="13" t="s">
        <v>87</v>
      </c>
      <c r="D604" s="13" t="s">
        <v>2509</v>
      </c>
      <c r="E604" s="14">
        <v>45897</v>
      </c>
      <c r="F604" s="14">
        <v>45931</v>
      </c>
      <c r="G604" s="15">
        <v>193149.71</v>
      </c>
      <c r="H604" s="13" t="s">
        <v>2510</v>
      </c>
      <c r="I604" s="13" t="s">
        <v>2511</v>
      </c>
      <c r="J604" s="13" t="s">
        <v>143</v>
      </c>
      <c r="K604" s="13">
        <f t="shared" si="45"/>
        <v>1</v>
      </c>
      <c r="L604" s="13">
        <f t="shared" si="46"/>
        <v>0</v>
      </c>
      <c r="M604" s="13">
        <f>IF(AND(L604=0,COUNTIFS($B$2:$B$1534,B604,$G$2:$G$1534,G604,$E$2:$E$1534,"&gt;="&amp;(E604-Assumptions!$B$5),$E$2:$E$1534,"&lt;="&amp;(E604+Assumptions!$B$5))&gt;1),1,0)</f>
        <v>0</v>
      </c>
      <c r="N604" s="13">
        <f>IF(AND(G604&gt;=Assumptions!$B$4*(1-Assumptions!$B$6),G604&lt;Assumptions!$B$4),1,0)</f>
        <v>0</v>
      </c>
      <c r="O604" s="13">
        <f>IF(AND(G604&gt;=Assumptions!$B$7,MOD(G604,Assumptions!$B$7)=0),1,0)</f>
        <v>0</v>
      </c>
      <c r="P604" s="13">
        <f t="shared" si="47"/>
        <v>0</v>
      </c>
      <c r="Q604" s="13">
        <f t="shared" si="48"/>
        <v>0</v>
      </c>
      <c r="R604" s="13">
        <f>L604*Assumptions!$B$11+M604*Assumptions!$B$12+N604*Assumptions!$B$13+O604*Assumptions!$B$14+P604*Assumptions!$B$15+Q604*Assumptions!$B$16</f>
        <v>0</v>
      </c>
      <c r="S604" s="13" t="str">
        <f>IF(R604&gt;=Assumptions!$B$20,"High",IF(R604&gt;=Assumptions!$B$21,"Medium",IF(R604&gt;=1,"Low","Clear")))</f>
        <v>Clear</v>
      </c>
      <c r="T604" s="13" t="str">
        <f t="shared" si="49"/>
        <v/>
      </c>
    </row>
    <row r="605" spans="1:20" x14ac:dyDescent="0.35">
      <c r="A605" s="13" t="s">
        <v>2512</v>
      </c>
      <c r="B605" s="13" t="s">
        <v>113</v>
      </c>
      <c r="C605" s="13" t="s">
        <v>114</v>
      </c>
      <c r="D605" s="13" t="s">
        <v>2513</v>
      </c>
      <c r="E605" s="14">
        <v>45893</v>
      </c>
      <c r="F605" s="14">
        <v>45931</v>
      </c>
      <c r="G605" s="15">
        <v>60000</v>
      </c>
      <c r="H605" s="13" t="s">
        <v>2514</v>
      </c>
      <c r="I605" s="13" t="s">
        <v>2515</v>
      </c>
      <c r="J605" s="13" t="s">
        <v>91</v>
      </c>
      <c r="K605" s="13">
        <f t="shared" si="45"/>
        <v>6</v>
      </c>
      <c r="L605" s="13">
        <f t="shared" si="46"/>
        <v>0</v>
      </c>
      <c r="M605" s="13">
        <f>IF(AND(L605=0,COUNTIFS($B$2:$B$1534,B605,$G$2:$G$1534,G605,$E$2:$E$1534,"&gt;="&amp;(E605-Assumptions!$B$5),$E$2:$E$1534,"&lt;="&amp;(E605+Assumptions!$B$5))&gt;1),1,0)</f>
        <v>0</v>
      </c>
      <c r="N605" s="13">
        <f>IF(AND(G605&gt;=Assumptions!$B$4*(1-Assumptions!$B$6),G605&lt;Assumptions!$B$4),1,0)</f>
        <v>0</v>
      </c>
      <c r="O605" s="13">
        <f>IF(AND(G605&gt;=Assumptions!$B$7,MOD(G605,Assumptions!$B$7)=0),1,0)</f>
        <v>1</v>
      </c>
      <c r="P605" s="13">
        <f t="shared" si="47"/>
        <v>0</v>
      </c>
      <c r="Q605" s="13">
        <f t="shared" si="48"/>
        <v>0</v>
      </c>
      <c r="R605" s="13">
        <f>L605*Assumptions!$B$11+M605*Assumptions!$B$12+N605*Assumptions!$B$13+O605*Assumptions!$B$14+P605*Assumptions!$B$15+Q605*Assumptions!$B$16</f>
        <v>1</v>
      </c>
      <c r="S605" s="13" t="str">
        <f>IF(R605&gt;=Assumptions!$B$20,"High",IF(R605&gt;=Assumptions!$B$21,"Medium",IF(R605&gt;=1,"Low","Clear")))</f>
        <v>Low</v>
      </c>
      <c r="T605" s="13" t="str">
        <f t="shared" si="49"/>
        <v xml:space="preserve">Round amount; </v>
      </c>
    </row>
    <row r="606" spans="1:20" x14ac:dyDescent="0.35">
      <c r="A606" s="13" t="s">
        <v>2516</v>
      </c>
      <c r="B606" s="13" t="s">
        <v>212</v>
      </c>
      <c r="C606" s="13" t="s">
        <v>213</v>
      </c>
      <c r="D606" s="13" t="s">
        <v>2517</v>
      </c>
      <c r="E606" s="14">
        <v>45906</v>
      </c>
      <c r="F606" s="14">
        <v>45931</v>
      </c>
      <c r="G606" s="15">
        <v>713687.25</v>
      </c>
      <c r="H606" s="13" t="s">
        <v>2518</v>
      </c>
      <c r="I606" s="13" t="s">
        <v>2519</v>
      </c>
      <c r="J606" s="13" t="s">
        <v>143</v>
      </c>
      <c r="K606" s="13">
        <f t="shared" si="45"/>
        <v>7</v>
      </c>
      <c r="L606" s="13">
        <f t="shared" si="46"/>
        <v>0</v>
      </c>
      <c r="M606" s="13">
        <f>IF(AND(L606=0,COUNTIFS($B$2:$B$1534,B606,$G$2:$G$1534,G606,$E$2:$E$1534,"&gt;="&amp;(E606-Assumptions!$B$5),$E$2:$E$1534,"&lt;="&amp;(E606+Assumptions!$B$5))&gt;1),1,0)</f>
        <v>0</v>
      </c>
      <c r="N606" s="13">
        <f>IF(AND(G606&gt;=Assumptions!$B$4*(1-Assumptions!$B$6),G606&lt;Assumptions!$B$4),1,0)</f>
        <v>0</v>
      </c>
      <c r="O606" s="13">
        <f>IF(AND(G606&gt;=Assumptions!$B$7,MOD(G606,Assumptions!$B$7)=0),1,0)</f>
        <v>0</v>
      </c>
      <c r="P606" s="13">
        <f t="shared" si="47"/>
        <v>0</v>
      </c>
      <c r="Q606" s="13">
        <f t="shared" si="48"/>
        <v>0</v>
      </c>
      <c r="R606" s="13">
        <f>L606*Assumptions!$B$11+M606*Assumptions!$B$12+N606*Assumptions!$B$13+O606*Assumptions!$B$14+P606*Assumptions!$B$15+Q606*Assumptions!$B$16</f>
        <v>0</v>
      </c>
      <c r="S606" s="13" t="str">
        <f>IF(R606&gt;=Assumptions!$B$20,"High",IF(R606&gt;=Assumptions!$B$21,"Medium",IF(R606&gt;=1,"Low","Clear")))</f>
        <v>Clear</v>
      </c>
      <c r="T606" s="13" t="str">
        <f t="shared" si="49"/>
        <v/>
      </c>
    </row>
    <row r="607" spans="1:20" x14ac:dyDescent="0.35">
      <c r="A607" s="13" t="s">
        <v>2520</v>
      </c>
      <c r="B607" s="13" t="s">
        <v>161</v>
      </c>
      <c r="C607" s="13" t="s">
        <v>162</v>
      </c>
      <c r="D607" s="13" t="s">
        <v>2521</v>
      </c>
      <c r="E607" s="14">
        <v>45909</v>
      </c>
      <c r="F607" s="14">
        <v>45931</v>
      </c>
      <c r="G607" s="15">
        <v>1066.46</v>
      </c>
      <c r="H607" s="13" t="s">
        <v>2522</v>
      </c>
      <c r="I607" s="13" t="s">
        <v>2523</v>
      </c>
      <c r="J607" s="13" t="s">
        <v>111</v>
      </c>
      <c r="K607" s="13">
        <f t="shared" si="45"/>
        <v>1</v>
      </c>
      <c r="L607" s="13">
        <f t="shared" si="46"/>
        <v>0</v>
      </c>
      <c r="M607" s="13">
        <f>IF(AND(L607=0,COUNTIFS($B$2:$B$1534,B607,$G$2:$G$1534,G607,$E$2:$E$1534,"&gt;="&amp;(E607-Assumptions!$B$5),$E$2:$E$1534,"&lt;="&amp;(E607+Assumptions!$B$5))&gt;1),1,0)</f>
        <v>0</v>
      </c>
      <c r="N607" s="13">
        <f>IF(AND(G607&gt;=Assumptions!$B$4*(1-Assumptions!$B$6),G607&lt;Assumptions!$B$4),1,0)</f>
        <v>0</v>
      </c>
      <c r="O607" s="13">
        <f>IF(AND(G607&gt;=Assumptions!$B$7,MOD(G607,Assumptions!$B$7)=0),1,0)</f>
        <v>0</v>
      </c>
      <c r="P607" s="13">
        <f t="shared" si="47"/>
        <v>0</v>
      </c>
      <c r="Q607" s="13">
        <f t="shared" si="48"/>
        <v>0</v>
      </c>
      <c r="R607" s="13">
        <f>L607*Assumptions!$B$11+M607*Assumptions!$B$12+N607*Assumptions!$B$13+O607*Assumptions!$B$14+P607*Assumptions!$B$15+Q607*Assumptions!$B$16</f>
        <v>0</v>
      </c>
      <c r="S607" s="13" t="str">
        <f>IF(R607&gt;=Assumptions!$B$20,"High",IF(R607&gt;=Assumptions!$B$21,"Medium",IF(R607&gt;=1,"Low","Clear")))</f>
        <v>Clear</v>
      </c>
      <c r="T607" s="13" t="str">
        <f t="shared" si="49"/>
        <v/>
      </c>
    </row>
    <row r="608" spans="1:20" x14ac:dyDescent="0.35">
      <c r="A608" s="13" t="s">
        <v>2524</v>
      </c>
      <c r="B608" s="13" t="s">
        <v>476</v>
      </c>
      <c r="C608" s="13" t="s">
        <v>477</v>
      </c>
      <c r="D608" s="13" t="s">
        <v>2525</v>
      </c>
      <c r="E608" s="14">
        <v>45894</v>
      </c>
      <c r="F608" s="14">
        <v>45931</v>
      </c>
      <c r="G608" s="15">
        <v>1058.1099999999999</v>
      </c>
      <c r="H608" s="13" t="s">
        <v>2526</v>
      </c>
      <c r="I608" s="13" t="s">
        <v>2527</v>
      </c>
      <c r="J608" s="13" t="s">
        <v>143</v>
      </c>
      <c r="K608" s="13">
        <f t="shared" si="45"/>
        <v>1</v>
      </c>
      <c r="L608" s="13">
        <f t="shared" si="46"/>
        <v>0</v>
      </c>
      <c r="M608" s="13">
        <f>IF(AND(L608=0,COUNTIFS($B$2:$B$1534,B608,$G$2:$G$1534,G608,$E$2:$E$1534,"&gt;="&amp;(E608-Assumptions!$B$5),$E$2:$E$1534,"&lt;="&amp;(E608+Assumptions!$B$5))&gt;1),1,0)</f>
        <v>0</v>
      </c>
      <c r="N608" s="13">
        <f>IF(AND(G608&gt;=Assumptions!$B$4*(1-Assumptions!$B$6),G608&lt;Assumptions!$B$4),1,0)</f>
        <v>0</v>
      </c>
      <c r="O608" s="13">
        <f>IF(AND(G608&gt;=Assumptions!$B$7,MOD(G608,Assumptions!$B$7)=0),1,0)</f>
        <v>0</v>
      </c>
      <c r="P608" s="13">
        <f t="shared" si="47"/>
        <v>0</v>
      </c>
      <c r="Q608" s="13">
        <f t="shared" si="48"/>
        <v>0</v>
      </c>
      <c r="R608" s="13">
        <f>L608*Assumptions!$B$11+M608*Assumptions!$B$12+N608*Assumptions!$B$13+O608*Assumptions!$B$14+P608*Assumptions!$B$15+Q608*Assumptions!$B$16</f>
        <v>0</v>
      </c>
      <c r="S608" s="13" t="str">
        <f>IF(R608&gt;=Assumptions!$B$20,"High",IF(R608&gt;=Assumptions!$B$21,"Medium",IF(R608&gt;=1,"Low","Clear")))</f>
        <v>Clear</v>
      </c>
      <c r="T608" s="13" t="str">
        <f t="shared" si="49"/>
        <v/>
      </c>
    </row>
    <row r="609" spans="1:20" x14ac:dyDescent="0.35">
      <c r="A609" s="13" t="s">
        <v>2528</v>
      </c>
      <c r="B609" s="13" t="s">
        <v>438</v>
      </c>
      <c r="C609" s="13" t="s">
        <v>439</v>
      </c>
      <c r="D609" s="13" t="s">
        <v>2529</v>
      </c>
      <c r="E609" s="14">
        <v>45901</v>
      </c>
      <c r="F609" s="14">
        <v>45931</v>
      </c>
      <c r="G609" s="15">
        <v>57658.75</v>
      </c>
      <c r="H609" s="13" t="s">
        <v>2530</v>
      </c>
      <c r="I609" s="13" t="s">
        <v>2531</v>
      </c>
      <c r="J609" s="13" t="s">
        <v>143</v>
      </c>
      <c r="K609" s="13">
        <f t="shared" si="45"/>
        <v>5</v>
      </c>
      <c r="L609" s="13">
        <f t="shared" si="46"/>
        <v>0</v>
      </c>
      <c r="M609" s="13">
        <f>IF(AND(L609=0,COUNTIFS($B$2:$B$1534,B609,$G$2:$G$1534,G609,$E$2:$E$1534,"&gt;="&amp;(E609-Assumptions!$B$5),$E$2:$E$1534,"&lt;="&amp;(E609+Assumptions!$B$5))&gt;1),1,0)</f>
        <v>0</v>
      </c>
      <c r="N609" s="13">
        <f>IF(AND(G609&gt;=Assumptions!$B$4*(1-Assumptions!$B$6),G609&lt;Assumptions!$B$4),1,0)</f>
        <v>0</v>
      </c>
      <c r="O609" s="13">
        <f>IF(AND(G609&gt;=Assumptions!$B$7,MOD(G609,Assumptions!$B$7)=0),1,0)</f>
        <v>0</v>
      </c>
      <c r="P609" s="13">
        <f t="shared" si="47"/>
        <v>0</v>
      </c>
      <c r="Q609" s="13">
        <f t="shared" si="48"/>
        <v>0</v>
      </c>
      <c r="R609" s="13">
        <f>L609*Assumptions!$B$11+M609*Assumptions!$B$12+N609*Assumptions!$B$13+O609*Assumptions!$B$14+P609*Assumptions!$B$15+Q609*Assumptions!$B$16</f>
        <v>0</v>
      </c>
      <c r="S609" s="13" t="str">
        <f>IF(R609&gt;=Assumptions!$B$20,"High",IF(R609&gt;=Assumptions!$B$21,"Medium",IF(R609&gt;=1,"Low","Clear")))</f>
        <v>Clear</v>
      </c>
      <c r="T609" s="13" t="str">
        <f t="shared" si="49"/>
        <v/>
      </c>
    </row>
    <row r="610" spans="1:20" x14ac:dyDescent="0.35">
      <c r="A610" s="13" t="s">
        <v>2532</v>
      </c>
      <c r="B610" s="13" t="s">
        <v>188</v>
      </c>
      <c r="C610" s="13" t="s">
        <v>189</v>
      </c>
      <c r="D610" s="13" t="s">
        <v>2533</v>
      </c>
      <c r="E610" s="14">
        <v>45900</v>
      </c>
      <c r="F610" s="14">
        <v>45932</v>
      </c>
      <c r="G610" s="15">
        <v>1978.03</v>
      </c>
      <c r="H610" s="13" t="s">
        <v>2534</v>
      </c>
      <c r="I610" s="13" t="s">
        <v>2535</v>
      </c>
      <c r="J610" s="13" t="s">
        <v>170</v>
      </c>
      <c r="K610" s="13">
        <f t="shared" si="45"/>
        <v>1</v>
      </c>
      <c r="L610" s="13">
        <f t="shared" si="46"/>
        <v>0</v>
      </c>
      <c r="M610" s="13">
        <f>IF(AND(L610=0,COUNTIFS($B$2:$B$1534,B610,$G$2:$G$1534,G610,$E$2:$E$1534,"&gt;="&amp;(E610-Assumptions!$B$5),$E$2:$E$1534,"&lt;="&amp;(E610+Assumptions!$B$5))&gt;1),1,0)</f>
        <v>0</v>
      </c>
      <c r="N610" s="13">
        <f>IF(AND(G610&gt;=Assumptions!$B$4*(1-Assumptions!$B$6),G610&lt;Assumptions!$B$4),1,0)</f>
        <v>0</v>
      </c>
      <c r="O610" s="13">
        <f>IF(AND(G610&gt;=Assumptions!$B$7,MOD(G610,Assumptions!$B$7)=0),1,0)</f>
        <v>0</v>
      </c>
      <c r="P610" s="13">
        <f t="shared" si="47"/>
        <v>0</v>
      </c>
      <c r="Q610" s="13">
        <f t="shared" si="48"/>
        <v>0</v>
      </c>
      <c r="R610" s="13">
        <f>L610*Assumptions!$B$11+M610*Assumptions!$B$12+N610*Assumptions!$B$13+O610*Assumptions!$B$14+P610*Assumptions!$B$15+Q610*Assumptions!$B$16</f>
        <v>0</v>
      </c>
      <c r="S610" s="13" t="str">
        <f>IF(R610&gt;=Assumptions!$B$20,"High",IF(R610&gt;=Assumptions!$B$21,"Medium",IF(R610&gt;=1,"Low","Clear")))</f>
        <v>Clear</v>
      </c>
      <c r="T610" s="13" t="str">
        <f t="shared" si="49"/>
        <v/>
      </c>
    </row>
    <row r="611" spans="1:20" x14ac:dyDescent="0.35">
      <c r="A611" s="13" t="s">
        <v>2536</v>
      </c>
      <c r="B611" s="13" t="s">
        <v>86</v>
      </c>
      <c r="C611" s="13" t="s">
        <v>87</v>
      </c>
      <c r="D611" s="13" t="s">
        <v>2537</v>
      </c>
      <c r="E611" s="14">
        <v>45910</v>
      </c>
      <c r="F611" s="14">
        <v>45932</v>
      </c>
      <c r="G611" s="15">
        <v>46991.67</v>
      </c>
      <c r="H611" s="13" t="s">
        <v>2538</v>
      </c>
      <c r="I611" s="13" t="s">
        <v>2539</v>
      </c>
      <c r="J611" s="13" t="s">
        <v>143</v>
      </c>
      <c r="K611" s="13">
        <f t="shared" si="45"/>
        <v>4</v>
      </c>
      <c r="L611" s="13">
        <f t="shared" si="46"/>
        <v>0</v>
      </c>
      <c r="M611" s="13">
        <f>IF(AND(L611=0,COUNTIFS($B$2:$B$1534,B611,$G$2:$G$1534,G611,$E$2:$E$1534,"&gt;="&amp;(E611-Assumptions!$B$5),$E$2:$E$1534,"&lt;="&amp;(E611+Assumptions!$B$5))&gt;1),1,0)</f>
        <v>0</v>
      </c>
      <c r="N611" s="13">
        <f>IF(AND(G611&gt;=Assumptions!$B$4*(1-Assumptions!$B$6),G611&lt;Assumptions!$B$4),1,0)</f>
        <v>0</v>
      </c>
      <c r="O611" s="13">
        <f>IF(AND(G611&gt;=Assumptions!$B$7,MOD(G611,Assumptions!$B$7)=0),1,0)</f>
        <v>0</v>
      </c>
      <c r="P611" s="13">
        <f t="shared" si="47"/>
        <v>0</v>
      </c>
      <c r="Q611" s="13">
        <f t="shared" si="48"/>
        <v>0</v>
      </c>
      <c r="R611" s="13">
        <f>L611*Assumptions!$B$11+M611*Assumptions!$B$12+N611*Assumptions!$B$13+O611*Assumptions!$B$14+P611*Assumptions!$B$15+Q611*Assumptions!$B$16</f>
        <v>0</v>
      </c>
      <c r="S611" s="13" t="str">
        <f>IF(R611&gt;=Assumptions!$B$20,"High",IF(R611&gt;=Assumptions!$B$21,"Medium",IF(R611&gt;=1,"Low","Clear")))</f>
        <v>Clear</v>
      </c>
      <c r="T611" s="13" t="str">
        <f t="shared" si="49"/>
        <v/>
      </c>
    </row>
    <row r="612" spans="1:20" x14ac:dyDescent="0.35">
      <c r="A612" s="13" t="s">
        <v>2540</v>
      </c>
      <c r="B612" s="13" t="s">
        <v>212</v>
      </c>
      <c r="C612" s="13" t="s">
        <v>213</v>
      </c>
      <c r="D612" s="13" t="s">
        <v>2541</v>
      </c>
      <c r="E612" s="14">
        <v>45903</v>
      </c>
      <c r="F612" s="14">
        <v>45932</v>
      </c>
      <c r="G612" s="15">
        <v>28693.040000000001</v>
      </c>
      <c r="H612" s="13" t="s">
        <v>2542</v>
      </c>
      <c r="I612" s="13" t="s">
        <v>2543</v>
      </c>
      <c r="J612" s="13" t="s">
        <v>91</v>
      </c>
      <c r="K612" s="13">
        <f t="shared" si="45"/>
        <v>2</v>
      </c>
      <c r="L612" s="13">
        <f t="shared" si="46"/>
        <v>0</v>
      </c>
      <c r="M612" s="13">
        <f>IF(AND(L612=0,COUNTIFS($B$2:$B$1534,B612,$G$2:$G$1534,G612,$E$2:$E$1534,"&gt;="&amp;(E612-Assumptions!$B$5),$E$2:$E$1534,"&lt;="&amp;(E612+Assumptions!$B$5))&gt;1),1,0)</f>
        <v>0</v>
      </c>
      <c r="N612" s="13">
        <f>IF(AND(G612&gt;=Assumptions!$B$4*(1-Assumptions!$B$6),G612&lt;Assumptions!$B$4),1,0)</f>
        <v>0</v>
      </c>
      <c r="O612" s="13">
        <f>IF(AND(G612&gt;=Assumptions!$B$7,MOD(G612,Assumptions!$B$7)=0),1,0)</f>
        <v>0</v>
      </c>
      <c r="P612" s="13">
        <f t="shared" si="47"/>
        <v>0</v>
      </c>
      <c r="Q612" s="13">
        <f t="shared" si="48"/>
        <v>0</v>
      </c>
      <c r="R612" s="13">
        <f>L612*Assumptions!$B$11+M612*Assumptions!$B$12+N612*Assumptions!$B$13+O612*Assumptions!$B$14+P612*Assumptions!$B$15+Q612*Assumptions!$B$16</f>
        <v>0</v>
      </c>
      <c r="S612" s="13" t="str">
        <f>IF(R612&gt;=Assumptions!$B$20,"High",IF(R612&gt;=Assumptions!$B$21,"Medium",IF(R612&gt;=1,"Low","Clear")))</f>
        <v>Clear</v>
      </c>
      <c r="T612" s="13" t="str">
        <f t="shared" si="49"/>
        <v/>
      </c>
    </row>
    <row r="613" spans="1:20" x14ac:dyDescent="0.35">
      <c r="A613" s="13" t="s">
        <v>2544</v>
      </c>
      <c r="B613" s="13" t="s">
        <v>357</v>
      </c>
      <c r="C613" s="13" t="s">
        <v>358</v>
      </c>
      <c r="D613" s="13" t="s">
        <v>2545</v>
      </c>
      <c r="E613" s="14">
        <v>45901</v>
      </c>
      <c r="F613" s="14">
        <v>45932</v>
      </c>
      <c r="G613" s="15">
        <v>809623.78</v>
      </c>
      <c r="H613" s="13" t="s">
        <v>2546</v>
      </c>
      <c r="I613" s="13" t="s">
        <v>2547</v>
      </c>
      <c r="J613" s="13" t="s">
        <v>136</v>
      </c>
      <c r="K613" s="13">
        <f t="shared" si="45"/>
        <v>8</v>
      </c>
      <c r="L613" s="13">
        <f t="shared" si="46"/>
        <v>0</v>
      </c>
      <c r="M613" s="13">
        <f>IF(AND(L613=0,COUNTIFS($B$2:$B$1534,B613,$G$2:$G$1534,G613,$E$2:$E$1534,"&gt;="&amp;(E613-Assumptions!$B$5),$E$2:$E$1534,"&lt;="&amp;(E613+Assumptions!$B$5))&gt;1),1,0)</f>
        <v>0</v>
      </c>
      <c r="N613" s="13">
        <f>IF(AND(G613&gt;=Assumptions!$B$4*(1-Assumptions!$B$6),G613&lt;Assumptions!$B$4),1,0)</f>
        <v>0</v>
      </c>
      <c r="O613" s="13">
        <f>IF(AND(G613&gt;=Assumptions!$B$7,MOD(G613,Assumptions!$B$7)=0),1,0)</f>
        <v>0</v>
      </c>
      <c r="P613" s="13">
        <f t="shared" si="47"/>
        <v>0</v>
      </c>
      <c r="Q613" s="13">
        <f t="shared" si="48"/>
        <v>0</v>
      </c>
      <c r="R613" s="13">
        <f>L613*Assumptions!$B$11+M613*Assumptions!$B$12+N613*Assumptions!$B$13+O613*Assumptions!$B$14+P613*Assumptions!$B$15+Q613*Assumptions!$B$16</f>
        <v>0</v>
      </c>
      <c r="S613" s="13" t="str">
        <f>IF(R613&gt;=Assumptions!$B$20,"High",IF(R613&gt;=Assumptions!$B$21,"Medium",IF(R613&gt;=1,"Low","Clear")))</f>
        <v>Clear</v>
      </c>
      <c r="T613" s="13" t="str">
        <f t="shared" si="49"/>
        <v/>
      </c>
    </row>
    <row r="614" spans="1:20" x14ac:dyDescent="0.35">
      <c r="A614" s="13" t="s">
        <v>2548</v>
      </c>
      <c r="B614" s="13" t="s">
        <v>93</v>
      </c>
      <c r="C614" s="13" t="s">
        <v>94</v>
      </c>
      <c r="D614" s="13" t="s">
        <v>2549</v>
      </c>
      <c r="E614" s="14">
        <v>45901</v>
      </c>
      <c r="F614" s="14">
        <v>45933</v>
      </c>
      <c r="G614" s="15">
        <v>489082.47</v>
      </c>
      <c r="H614" s="13" t="s">
        <v>2550</v>
      </c>
      <c r="I614" s="13" t="s">
        <v>2551</v>
      </c>
      <c r="J614" s="13" t="s">
        <v>98</v>
      </c>
      <c r="K614" s="13">
        <f t="shared" si="45"/>
        <v>4</v>
      </c>
      <c r="L614" s="13">
        <f t="shared" si="46"/>
        <v>0</v>
      </c>
      <c r="M614" s="13">
        <f>IF(AND(L614=0,COUNTIFS($B$2:$B$1534,B614,$G$2:$G$1534,G614,$E$2:$E$1534,"&gt;="&amp;(E614-Assumptions!$B$5),$E$2:$E$1534,"&lt;="&amp;(E614+Assumptions!$B$5))&gt;1),1,0)</f>
        <v>0</v>
      </c>
      <c r="N614" s="13">
        <f>IF(AND(G614&gt;=Assumptions!$B$4*(1-Assumptions!$B$6),G614&lt;Assumptions!$B$4),1,0)</f>
        <v>0</v>
      </c>
      <c r="O614" s="13">
        <f>IF(AND(G614&gt;=Assumptions!$B$7,MOD(G614,Assumptions!$B$7)=0),1,0)</f>
        <v>0</v>
      </c>
      <c r="P614" s="13">
        <f t="shared" si="47"/>
        <v>0</v>
      </c>
      <c r="Q614" s="13">
        <f t="shared" si="48"/>
        <v>0</v>
      </c>
      <c r="R614" s="13">
        <f>L614*Assumptions!$B$11+M614*Assumptions!$B$12+N614*Assumptions!$B$13+O614*Assumptions!$B$14+P614*Assumptions!$B$15+Q614*Assumptions!$B$16</f>
        <v>0</v>
      </c>
      <c r="S614" s="13" t="str">
        <f>IF(R614&gt;=Assumptions!$B$20,"High",IF(R614&gt;=Assumptions!$B$21,"Medium",IF(R614&gt;=1,"Low","Clear")))</f>
        <v>Clear</v>
      </c>
      <c r="T614" s="13" t="str">
        <f t="shared" si="49"/>
        <v/>
      </c>
    </row>
    <row r="615" spans="1:20" x14ac:dyDescent="0.35">
      <c r="A615" s="13" t="s">
        <v>2552</v>
      </c>
      <c r="B615" s="13" t="s">
        <v>466</v>
      </c>
      <c r="C615" s="13" t="s">
        <v>467</v>
      </c>
      <c r="D615" s="13" t="s">
        <v>2553</v>
      </c>
      <c r="E615" s="14">
        <v>45897</v>
      </c>
      <c r="F615" s="14">
        <v>45933</v>
      </c>
      <c r="G615" s="15">
        <v>82573.289999999994</v>
      </c>
      <c r="H615" s="13" t="s">
        <v>2554</v>
      </c>
      <c r="I615" s="13" t="s">
        <v>2555</v>
      </c>
      <c r="J615" s="13" t="s">
        <v>143</v>
      </c>
      <c r="K615" s="13">
        <f t="shared" si="45"/>
        <v>8</v>
      </c>
      <c r="L615" s="13">
        <f t="shared" si="46"/>
        <v>0</v>
      </c>
      <c r="M615" s="13">
        <f>IF(AND(L615=0,COUNTIFS($B$2:$B$1534,B615,$G$2:$G$1534,G615,$E$2:$E$1534,"&gt;="&amp;(E615-Assumptions!$B$5),$E$2:$E$1534,"&lt;="&amp;(E615+Assumptions!$B$5))&gt;1),1,0)</f>
        <v>0</v>
      </c>
      <c r="N615" s="13">
        <f>IF(AND(G615&gt;=Assumptions!$B$4*(1-Assumptions!$B$6),G615&lt;Assumptions!$B$4),1,0)</f>
        <v>0</v>
      </c>
      <c r="O615" s="13">
        <f>IF(AND(G615&gt;=Assumptions!$B$7,MOD(G615,Assumptions!$B$7)=0),1,0)</f>
        <v>0</v>
      </c>
      <c r="P615" s="13">
        <f t="shared" si="47"/>
        <v>0</v>
      </c>
      <c r="Q615" s="13">
        <f t="shared" si="48"/>
        <v>0</v>
      </c>
      <c r="R615" s="13">
        <f>L615*Assumptions!$B$11+M615*Assumptions!$B$12+N615*Assumptions!$B$13+O615*Assumptions!$B$14+P615*Assumptions!$B$15+Q615*Assumptions!$B$16</f>
        <v>0</v>
      </c>
      <c r="S615" s="13" t="str">
        <f>IF(R615&gt;=Assumptions!$B$20,"High",IF(R615&gt;=Assumptions!$B$21,"Medium",IF(R615&gt;=1,"Low","Clear")))</f>
        <v>Clear</v>
      </c>
      <c r="T615" s="13" t="str">
        <f t="shared" si="49"/>
        <v/>
      </c>
    </row>
    <row r="616" spans="1:20" x14ac:dyDescent="0.35">
      <c r="A616" s="13" t="s">
        <v>2556</v>
      </c>
      <c r="B616" s="13" t="s">
        <v>466</v>
      </c>
      <c r="C616" s="13" t="s">
        <v>467</v>
      </c>
      <c r="D616" s="13" t="s">
        <v>2557</v>
      </c>
      <c r="E616" s="14">
        <v>45912</v>
      </c>
      <c r="F616" s="14">
        <v>45933</v>
      </c>
      <c r="G616" s="15">
        <v>1214.6199999999999</v>
      </c>
      <c r="H616" s="13" t="s">
        <v>2558</v>
      </c>
      <c r="I616" s="13" t="s">
        <v>2559</v>
      </c>
      <c r="J616" s="13" t="s">
        <v>170</v>
      </c>
      <c r="K616" s="13">
        <f t="shared" si="45"/>
        <v>1</v>
      </c>
      <c r="L616" s="13">
        <f t="shared" si="46"/>
        <v>0</v>
      </c>
      <c r="M616" s="13">
        <f>IF(AND(L616=0,COUNTIFS($B$2:$B$1534,B616,$G$2:$G$1534,G616,$E$2:$E$1534,"&gt;="&amp;(E616-Assumptions!$B$5),$E$2:$E$1534,"&lt;="&amp;(E616+Assumptions!$B$5))&gt;1),1,0)</f>
        <v>0</v>
      </c>
      <c r="N616" s="13">
        <f>IF(AND(G616&gt;=Assumptions!$B$4*(1-Assumptions!$B$6),G616&lt;Assumptions!$B$4),1,0)</f>
        <v>0</v>
      </c>
      <c r="O616" s="13">
        <f>IF(AND(G616&gt;=Assumptions!$B$7,MOD(G616,Assumptions!$B$7)=0),1,0)</f>
        <v>0</v>
      </c>
      <c r="P616" s="13">
        <f t="shared" si="47"/>
        <v>0</v>
      </c>
      <c r="Q616" s="13">
        <f t="shared" si="48"/>
        <v>0</v>
      </c>
      <c r="R616" s="13">
        <f>L616*Assumptions!$B$11+M616*Assumptions!$B$12+N616*Assumptions!$B$13+O616*Assumptions!$B$14+P616*Assumptions!$B$15+Q616*Assumptions!$B$16</f>
        <v>0</v>
      </c>
      <c r="S616" s="13" t="str">
        <f>IF(R616&gt;=Assumptions!$B$20,"High",IF(R616&gt;=Assumptions!$B$21,"Medium",IF(R616&gt;=1,"Low","Clear")))</f>
        <v>Clear</v>
      </c>
      <c r="T616" s="13" t="str">
        <f t="shared" si="49"/>
        <v/>
      </c>
    </row>
    <row r="617" spans="1:20" x14ac:dyDescent="0.35">
      <c r="A617" s="13" t="s">
        <v>2560</v>
      </c>
      <c r="B617" s="13" t="s">
        <v>339</v>
      </c>
      <c r="C617" s="13" t="s">
        <v>340</v>
      </c>
      <c r="D617" s="13" t="s">
        <v>2561</v>
      </c>
      <c r="E617" s="14">
        <v>45894</v>
      </c>
      <c r="F617" s="14">
        <v>45933</v>
      </c>
      <c r="G617" s="15">
        <v>1487.27</v>
      </c>
      <c r="H617" s="13" t="s">
        <v>2562</v>
      </c>
      <c r="I617" s="13" t="s">
        <v>2563</v>
      </c>
      <c r="J617" s="13" t="s">
        <v>98</v>
      </c>
      <c r="K617" s="13">
        <f t="shared" si="45"/>
        <v>1</v>
      </c>
      <c r="L617" s="13">
        <f t="shared" si="46"/>
        <v>0</v>
      </c>
      <c r="M617" s="13">
        <f>IF(AND(L617=0,COUNTIFS($B$2:$B$1534,B617,$G$2:$G$1534,G617,$E$2:$E$1534,"&gt;="&amp;(E617-Assumptions!$B$5),$E$2:$E$1534,"&lt;="&amp;(E617+Assumptions!$B$5))&gt;1),1,0)</f>
        <v>0</v>
      </c>
      <c r="N617" s="13">
        <f>IF(AND(G617&gt;=Assumptions!$B$4*(1-Assumptions!$B$6),G617&lt;Assumptions!$B$4),1,0)</f>
        <v>0</v>
      </c>
      <c r="O617" s="13">
        <f>IF(AND(G617&gt;=Assumptions!$B$7,MOD(G617,Assumptions!$B$7)=0),1,0)</f>
        <v>0</v>
      </c>
      <c r="P617" s="13">
        <f t="shared" si="47"/>
        <v>0</v>
      </c>
      <c r="Q617" s="13">
        <f t="shared" si="48"/>
        <v>0</v>
      </c>
      <c r="R617" s="13">
        <f>L617*Assumptions!$B$11+M617*Assumptions!$B$12+N617*Assumptions!$B$13+O617*Assumptions!$B$14+P617*Assumptions!$B$15+Q617*Assumptions!$B$16</f>
        <v>0</v>
      </c>
      <c r="S617" s="13" t="str">
        <f>IF(R617&gt;=Assumptions!$B$20,"High",IF(R617&gt;=Assumptions!$B$21,"Medium",IF(R617&gt;=1,"Low","Clear")))</f>
        <v>Clear</v>
      </c>
      <c r="T617" s="13" t="str">
        <f t="shared" si="49"/>
        <v/>
      </c>
    </row>
    <row r="618" spans="1:20" x14ac:dyDescent="0.35">
      <c r="A618" s="13" t="s">
        <v>2564</v>
      </c>
      <c r="B618" s="13" t="s">
        <v>106</v>
      </c>
      <c r="C618" s="13" t="s">
        <v>107</v>
      </c>
      <c r="D618" s="13" t="s">
        <v>2565</v>
      </c>
      <c r="E618" s="14">
        <v>45903</v>
      </c>
      <c r="F618" s="14">
        <v>45933</v>
      </c>
      <c r="G618" s="15">
        <v>534186.06999999995</v>
      </c>
      <c r="H618" s="13" t="s">
        <v>2566</v>
      </c>
      <c r="I618" s="13" t="s">
        <v>2567</v>
      </c>
      <c r="J618" s="13" t="s">
        <v>91</v>
      </c>
      <c r="K618" s="13">
        <f t="shared" si="45"/>
        <v>5</v>
      </c>
      <c r="L618" s="13">
        <f t="shared" si="46"/>
        <v>0</v>
      </c>
      <c r="M618" s="13">
        <f>IF(AND(L618=0,COUNTIFS($B$2:$B$1534,B618,$G$2:$G$1534,G618,$E$2:$E$1534,"&gt;="&amp;(E618-Assumptions!$B$5),$E$2:$E$1534,"&lt;="&amp;(E618+Assumptions!$B$5))&gt;1),1,0)</f>
        <v>0</v>
      </c>
      <c r="N618" s="13">
        <f>IF(AND(G618&gt;=Assumptions!$B$4*(1-Assumptions!$B$6),G618&lt;Assumptions!$B$4),1,0)</f>
        <v>0</v>
      </c>
      <c r="O618" s="13">
        <f>IF(AND(G618&gt;=Assumptions!$B$7,MOD(G618,Assumptions!$B$7)=0),1,0)</f>
        <v>0</v>
      </c>
      <c r="P618" s="13">
        <f t="shared" si="47"/>
        <v>0</v>
      </c>
      <c r="Q618" s="13">
        <f t="shared" si="48"/>
        <v>0</v>
      </c>
      <c r="R618" s="13">
        <f>L618*Assumptions!$B$11+M618*Assumptions!$B$12+N618*Assumptions!$B$13+O618*Assumptions!$B$14+P618*Assumptions!$B$15+Q618*Assumptions!$B$16</f>
        <v>0</v>
      </c>
      <c r="S618" s="13" t="str">
        <f>IF(R618&gt;=Assumptions!$B$20,"High",IF(R618&gt;=Assumptions!$B$21,"Medium",IF(R618&gt;=1,"Low","Clear")))</f>
        <v>Clear</v>
      </c>
      <c r="T618" s="13" t="str">
        <f t="shared" si="49"/>
        <v/>
      </c>
    </row>
    <row r="619" spans="1:20" x14ac:dyDescent="0.35">
      <c r="A619" s="13" t="s">
        <v>2568</v>
      </c>
      <c r="B619" s="13" t="s">
        <v>252</v>
      </c>
      <c r="C619" s="13" t="s">
        <v>253</v>
      </c>
      <c r="D619" s="13" t="s">
        <v>2569</v>
      </c>
      <c r="E619" s="14">
        <v>45903</v>
      </c>
      <c r="F619" s="14">
        <v>45934</v>
      </c>
      <c r="G619" s="15">
        <v>3061.26</v>
      </c>
      <c r="H619" s="13" t="s">
        <v>2570</v>
      </c>
      <c r="I619" s="13" t="s">
        <v>2571</v>
      </c>
      <c r="J619" s="13" t="s">
        <v>170</v>
      </c>
      <c r="K619" s="13">
        <f t="shared" si="45"/>
        <v>3</v>
      </c>
      <c r="L619" s="13">
        <f t="shared" si="46"/>
        <v>0</v>
      </c>
      <c r="M619" s="13">
        <f>IF(AND(L619=0,COUNTIFS($B$2:$B$1534,B619,$G$2:$G$1534,G619,$E$2:$E$1534,"&gt;="&amp;(E619-Assumptions!$B$5),$E$2:$E$1534,"&lt;="&amp;(E619+Assumptions!$B$5))&gt;1),1,0)</f>
        <v>0</v>
      </c>
      <c r="N619" s="13">
        <f>IF(AND(G619&gt;=Assumptions!$B$4*(1-Assumptions!$B$6),G619&lt;Assumptions!$B$4),1,0)</f>
        <v>0</v>
      </c>
      <c r="O619" s="13">
        <f>IF(AND(G619&gt;=Assumptions!$B$7,MOD(G619,Assumptions!$B$7)=0),1,0)</f>
        <v>0</v>
      </c>
      <c r="P619" s="13">
        <f t="shared" si="47"/>
        <v>0</v>
      </c>
      <c r="Q619" s="13">
        <f t="shared" si="48"/>
        <v>1</v>
      </c>
      <c r="R619" s="13">
        <f>L619*Assumptions!$B$11+M619*Assumptions!$B$12+N619*Assumptions!$B$13+O619*Assumptions!$B$14+P619*Assumptions!$B$15+Q619*Assumptions!$B$16</f>
        <v>1</v>
      </c>
      <c r="S619" s="13" t="str">
        <f>IF(R619&gt;=Assumptions!$B$20,"High",IF(R619&gt;=Assumptions!$B$21,"Medium",IF(R619&gt;=1,"Low","Clear")))</f>
        <v>Low</v>
      </c>
      <c r="T619" s="13" t="str">
        <f t="shared" si="49"/>
        <v xml:space="preserve">Weekend payment; </v>
      </c>
    </row>
    <row r="620" spans="1:20" x14ac:dyDescent="0.35">
      <c r="A620" s="13" t="s">
        <v>2572</v>
      </c>
      <c r="B620" s="13" t="s">
        <v>188</v>
      </c>
      <c r="C620" s="13" t="s">
        <v>189</v>
      </c>
      <c r="D620" s="13" t="s">
        <v>2573</v>
      </c>
      <c r="E620" s="14">
        <v>45895</v>
      </c>
      <c r="F620" s="14">
        <v>45936</v>
      </c>
      <c r="G620" s="15">
        <v>8656.59</v>
      </c>
      <c r="H620" s="13" t="s">
        <v>2574</v>
      </c>
      <c r="I620" s="13" t="s">
        <v>2575</v>
      </c>
      <c r="J620" s="13" t="s">
        <v>91</v>
      </c>
      <c r="K620" s="13">
        <f t="shared" si="45"/>
        <v>8</v>
      </c>
      <c r="L620" s="13">
        <f t="shared" si="46"/>
        <v>0</v>
      </c>
      <c r="M620" s="13">
        <f>IF(AND(L620=0,COUNTIFS($B$2:$B$1534,B620,$G$2:$G$1534,G620,$E$2:$E$1534,"&gt;="&amp;(E620-Assumptions!$B$5),$E$2:$E$1534,"&lt;="&amp;(E620+Assumptions!$B$5))&gt;1),1,0)</f>
        <v>0</v>
      </c>
      <c r="N620" s="13">
        <f>IF(AND(G620&gt;=Assumptions!$B$4*(1-Assumptions!$B$6),G620&lt;Assumptions!$B$4),1,0)</f>
        <v>0</v>
      </c>
      <c r="O620" s="13">
        <f>IF(AND(G620&gt;=Assumptions!$B$7,MOD(G620,Assumptions!$B$7)=0),1,0)</f>
        <v>0</v>
      </c>
      <c r="P620" s="13">
        <f t="shared" si="47"/>
        <v>0</v>
      </c>
      <c r="Q620" s="13">
        <f t="shared" si="48"/>
        <v>0</v>
      </c>
      <c r="R620" s="13">
        <f>L620*Assumptions!$B$11+M620*Assumptions!$B$12+N620*Assumptions!$B$13+O620*Assumptions!$B$14+P620*Assumptions!$B$15+Q620*Assumptions!$B$16</f>
        <v>0</v>
      </c>
      <c r="S620" s="13" t="str">
        <f>IF(R620&gt;=Assumptions!$B$20,"High",IF(R620&gt;=Assumptions!$B$21,"Medium",IF(R620&gt;=1,"Low","Clear")))</f>
        <v>Clear</v>
      </c>
      <c r="T620" s="13" t="str">
        <f t="shared" si="49"/>
        <v/>
      </c>
    </row>
    <row r="621" spans="1:20" x14ac:dyDescent="0.35">
      <c r="A621" s="13" t="s">
        <v>2576</v>
      </c>
      <c r="B621" s="13" t="s">
        <v>409</v>
      </c>
      <c r="C621" s="13" t="s">
        <v>410</v>
      </c>
      <c r="D621" s="13" t="s">
        <v>2577</v>
      </c>
      <c r="E621" s="14">
        <v>45902</v>
      </c>
      <c r="F621" s="14">
        <v>45936</v>
      </c>
      <c r="G621" s="15">
        <v>2782.9</v>
      </c>
      <c r="H621" s="13" t="s">
        <v>2578</v>
      </c>
      <c r="I621" s="13" t="s">
        <v>2579</v>
      </c>
      <c r="J621" s="13" t="s">
        <v>111</v>
      </c>
      <c r="K621" s="13">
        <f t="shared" si="45"/>
        <v>2</v>
      </c>
      <c r="L621" s="13">
        <f t="shared" si="46"/>
        <v>0</v>
      </c>
      <c r="M621" s="13">
        <f>IF(AND(L621=0,COUNTIFS($B$2:$B$1534,B621,$G$2:$G$1534,G621,$E$2:$E$1534,"&gt;="&amp;(E621-Assumptions!$B$5),$E$2:$E$1534,"&lt;="&amp;(E621+Assumptions!$B$5))&gt;1),1,0)</f>
        <v>0</v>
      </c>
      <c r="N621" s="13">
        <f>IF(AND(G621&gt;=Assumptions!$B$4*(1-Assumptions!$B$6),G621&lt;Assumptions!$B$4),1,0)</f>
        <v>0</v>
      </c>
      <c r="O621" s="13">
        <f>IF(AND(G621&gt;=Assumptions!$B$7,MOD(G621,Assumptions!$B$7)=0),1,0)</f>
        <v>0</v>
      </c>
      <c r="P621" s="13">
        <f t="shared" si="47"/>
        <v>0</v>
      </c>
      <c r="Q621" s="13">
        <f t="shared" si="48"/>
        <v>0</v>
      </c>
      <c r="R621" s="13">
        <f>L621*Assumptions!$B$11+M621*Assumptions!$B$12+N621*Assumptions!$B$13+O621*Assumptions!$B$14+P621*Assumptions!$B$15+Q621*Assumptions!$B$16</f>
        <v>0</v>
      </c>
      <c r="S621" s="13" t="str">
        <f>IF(R621&gt;=Assumptions!$B$20,"High",IF(R621&gt;=Assumptions!$B$21,"Medium",IF(R621&gt;=1,"Low","Clear")))</f>
        <v>Clear</v>
      </c>
      <c r="T621" s="13" t="str">
        <f t="shared" si="49"/>
        <v/>
      </c>
    </row>
    <row r="622" spans="1:20" x14ac:dyDescent="0.35">
      <c r="A622" s="13" t="s">
        <v>2580</v>
      </c>
      <c r="B622" s="13" t="s">
        <v>228</v>
      </c>
      <c r="C622" s="13" t="s">
        <v>229</v>
      </c>
      <c r="D622" s="13" t="s">
        <v>2581</v>
      </c>
      <c r="E622" s="14">
        <v>45916</v>
      </c>
      <c r="F622" s="14">
        <v>45936</v>
      </c>
      <c r="G622" s="15">
        <v>48697.32</v>
      </c>
      <c r="H622" s="13" t="s">
        <v>2582</v>
      </c>
      <c r="I622" s="13" t="s">
        <v>2583</v>
      </c>
      <c r="J622" s="13" t="s">
        <v>143</v>
      </c>
      <c r="K622" s="13">
        <f t="shared" si="45"/>
        <v>4</v>
      </c>
      <c r="L622" s="13">
        <f t="shared" si="46"/>
        <v>0</v>
      </c>
      <c r="M622" s="13">
        <f>IF(AND(L622=0,COUNTIFS($B$2:$B$1534,B622,$G$2:$G$1534,G622,$E$2:$E$1534,"&gt;="&amp;(E622-Assumptions!$B$5),$E$2:$E$1534,"&lt;="&amp;(E622+Assumptions!$B$5))&gt;1),1,0)</f>
        <v>0</v>
      </c>
      <c r="N622" s="13">
        <f>IF(AND(G622&gt;=Assumptions!$B$4*(1-Assumptions!$B$6),G622&lt;Assumptions!$B$4),1,0)</f>
        <v>1</v>
      </c>
      <c r="O622" s="13">
        <f>IF(AND(G622&gt;=Assumptions!$B$7,MOD(G622,Assumptions!$B$7)=0),1,0)</f>
        <v>0</v>
      </c>
      <c r="P622" s="13">
        <f t="shared" si="47"/>
        <v>0</v>
      </c>
      <c r="Q622" s="13">
        <f t="shared" si="48"/>
        <v>0</v>
      </c>
      <c r="R622" s="13">
        <f>L622*Assumptions!$B$11+M622*Assumptions!$B$12+N622*Assumptions!$B$13+O622*Assumptions!$B$14+P622*Assumptions!$B$15+Q622*Assumptions!$B$16</f>
        <v>3</v>
      </c>
      <c r="S622" s="13" t="str">
        <f>IF(R622&gt;=Assumptions!$B$20,"High",IF(R622&gt;=Assumptions!$B$21,"Medium",IF(R622&gt;=1,"Low","Clear")))</f>
        <v>Medium</v>
      </c>
      <c r="T622" s="13" t="str">
        <f t="shared" si="49"/>
        <v xml:space="preserve">Just below limit; </v>
      </c>
    </row>
    <row r="623" spans="1:20" x14ac:dyDescent="0.35">
      <c r="A623" s="13" t="s">
        <v>2584</v>
      </c>
      <c r="B623" s="13" t="s">
        <v>774</v>
      </c>
      <c r="C623" s="13" t="s">
        <v>775</v>
      </c>
      <c r="D623" s="13" t="s">
        <v>2585</v>
      </c>
      <c r="E623" s="14">
        <v>45903</v>
      </c>
      <c r="F623" s="14">
        <v>45936</v>
      </c>
      <c r="G623" s="15">
        <v>913827.24</v>
      </c>
      <c r="H623" s="13" t="s">
        <v>2586</v>
      </c>
      <c r="I623" s="13" t="s">
        <v>2587</v>
      </c>
      <c r="J623" s="13" t="s">
        <v>170</v>
      </c>
      <c r="K623" s="13">
        <f t="shared" si="45"/>
        <v>9</v>
      </c>
      <c r="L623" s="13">
        <f t="shared" si="46"/>
        <v>0</v>
      </c>
      <c r="M623" s="13">
        <f>IF(AND(L623=0,COUNTIFS($B$2:$B$1534,B623,$G$2:$G$1534,G623,$E$2:$E$1534,"&gt;="&amp;(E623-Assumptions!$B$5),$E$2:$E$1534,"&lt;="&amp;(E623+Assumptions!$B$5))&gt;1),1,0)</f>
        <v>0</v>
      </c>
      <c r="N623" s="13">
        <f>IF(AND(G623&gt;=Assumptions!$B$4*(1-Assumptions!$B$6),G623&lt;Assumptions!$B$4),1,0)</f>
        <v>0</v>
      </c>
      <c r="O623" s="13">
        <f>IF(AND(G623&gt;=Assumptions!$B$7,MOD(G623,Assumptions!$B$7)=0),1,0)</f>
        <v>0</v>
      </c>
      <c r="P623" s="13">
        <f t="shared" si="47"/>
        <v>0</v>
      </c>
      <c r="Q623" s="13">
        <f t="shared" si="48"/>
        <v>0</v>
      </c>
      <c r="R623" s="13">
        <f>L623*Assumptions!$B$11+M623*Assumptions!$B$12+N623*Assumptions!$B$13+O623*Assumptions!$B$14+P623*Assumptions!$B$15+Q623*Assumptions!$B$16</f>
        <v>0</v>
      </c>
      <c r="S623" s="13" t="str">
        <f>IF(R623&gt;=Assumptions!$B$20,"High",IF(R623&gt;=Assumptions!$B$21,"Medium",IF(R623&gt;=1,"Low","Clear")))</f>
        <v>Clear</v>
      </c>
      <c r="T623" s="13" t="str">
        <f t="shared" si="49"/>
        <v/>
      </c>
    </row>
    <row r="624" spans="1:20" x14ac:dyDescent="0.35">
      <c r="A624" s="13" t="s">
        <v>2588</v>
      </c>
      <c r="B624" s="13" t="s">
        <v>466</v>
      </c>
      <c r="C624" s="13" t="s">
        <v>467</v>
      </c>
      <c r="D624" s="13" t="s">
        <v>2589</v>
      </c>
      <c r="E624" s="14">
        <v>45896</v>
      </c>
      <c r="F624" s="14">
        <v>45936</v>
      </c>
      <c r="G624" s="15">
        <v>6339.12</v>
      </c>
      <c r="H624" s="13" t="s">
        <v>2590</v>
      </c>
      <c r="I624" s="13" t="s">
        <v>2591</v>
      </c>
      <c r="J624" s="13" t="s">
        <v>111</v>
      </c>
      <c r="K624" s="13">
        <f t="shared" si="45"/>
        <v>6</v>
      </c>
      <c r="L624" s="13">
        <f t="shared" si="46"/>
        <v>0</v>
      </c>
      <c r="M624" s="13">
        <f>IF(AND(L624=0,COUNTIFS($B$2:$B$1534,B624,$G$2:$G$1534,G624,$E$2:$E$1534,"&gt;="&amp;(E624-Assumptions!$B$5),$E$2:$E$1534,"&lt;="&amp;(E624+Assumptions!$B$5))&gt;1),1,0)</f>
        <v>0</v>
      </c>
      <c r="N624" s="13">
        <f>IF(AND(G624&gt;=Assumptions!$B$4*(1-Assumptions!$B$6),G624&lt;Assumptions!$B$4),1,0)</f>
        <v>0</v>
      </c>
      <c r="O624" s="13">
        <f>IF(AND(G624&gt;=Assumptions!$B$7,MOD(G624,Assumptions!$B$7)=0),1,0)</f>
        <v>0</v>
      </c>
      <c r="P624" s="13">
        <f t="shared" si="47"/>
        <v>0</v>
      </c>
      <c r="Q624" s="13">
        <f t="shared" si="48"/>
        <v>0</v>
      </c>
      <c r="R624" s="13">
        <f>L624*Assumptions!$B$11+M624*Assumptions!$B$12+N624*Assumptions!$B$13+O624*Assumptions!$B$14+P624*Assumptions!$B$15+Q624*Assumptions!$B$16</f>
        <v>0</v>
      </c>
      <c r="S624" s="13" t="str">
        <f>IF(R624&gt;=Assumptions!$B$20,"High",IF(R624&gt;=Assumptions!$B$21,"Medium",IF(R624&gt;=1,"Low","Clear")))</f>
        <v>Clear</v>
      </c>
      <c r="T624" s="13" t="str">
        <f t="shared" si="49"/>
        <v/>
      </c>
    </row>
    <row r="625" spans="1:20" x14ac:dyDescent="0.35">
      <c r="A625" s="13" t="s">
        <v>2592</v>
      </c>
      <c r="B625" s="13" t="s">
        <v>119</v>
      </c>
      <c r="C625" s="13" t="s">
        <v>120</v>
      </c>
      <c r="D625" s="13" t="s">
        <v>2593</v>
      </c>
      <c r="E625" s="14">
        <v>45911</v>
      </c>
      <c r="F625" s="14">
        <v>45936</v>
      </c>
      <c r="G625" s="15">
        <v>81014.039999999994</v>
      </c>
      <c r="H625" s="13" t="s">
        <v>2594</v>
      </c>
      <c r="I625" s="13" t="s">
        <v>2595</v>
      </c>
      <c r="J625" s="13" t="s">
        <v>136</v>
      </c>
      <c r="K625" s="13">
        <f t="shared" si="45"/>
        <v>8</v>
      </c>
      <c r="L625" s="13">
        <f t="shared" si="46"/>
        <v>0</v>
      </c>
      <c r="M625" s="13">
        <f>IF(AND(L625=0,COUNTIFS($B$2:$B$1534,B625,$G$2:$G$1534,G625,$E$2:$E$1534,"&gt;="&amp;(E625-Assumptions!$B$5),$E$2:$E$1534,"&lt;="&amp;(E625+Assumptions!$B$5))&gt;1),1,0)</f>
        <v>0</v>
      </c>
      <c r="N625" s="13">
        <f>IF(AND(G625&gt;=Assumptions!$B$4*(1-Assumptions!$B$6),G625&lt;Assumptions!$B$4),1,0)</f>
        <v>0</v>
      </c>
      <c r="O625" s="13">
        <f>IF(AND(G625&gt;=Assumptions!$B$7,MOD(G625,Assumptions!$B$7)=0),1,0)</f>
        <v>0</v>
      </c>
      <c r="P625" s="13">
        <f t="shared" si="47"/>
        <v>0</v>
      </c>
      <c r="Q625" s="13">
        <f t="shared" si="48"/>
        <v>0</v>
      </c>
      <c r="R625" s="13">
        <f>L625*Assumptions!$B$11+M625*Assumptions!$B$12+N625*Assumptions!$B$13+O625*Assumptions!$B$14+P625*Assumptions!$B$15+Q625*Assumptions!$B$16</f>
        <v>0</v>
      </c>
      <c r="S625" s="13" t="str">
        <f>IF(R625&gt;=Assumptions!$B$20,"High",IF(R625&gt;=Assumptions!$B$21,"Medium",IF(R625&gt;=1,"Low","Clear")))</f>
        <v>Clear</v>
      </c>
      <c r="T625" s="13" t="str">
        <f t="shared" si="49"/>
        <v/>
      </c>
    </row>
    <row r="626" spans="1:20" x14ac:dyDescent="0.35">
      <c r="A626" s="13" t="s">
        <v>2596</v>
      </c>
      <c r="B626" s="13" t="s">
        <v>212</v>
      </c>
      <c r="C626" s="13" t="s">
        <v>213</v>
      </c>
      <c r="D626" s="13" t="s">
        <v>2597</v>
      </c>
      <c r="E626" s="14">
        <v>45910</v>
      </c>
      <c r="F626" s="14">
        <v>45936</v>
      </c>
      <c r="G626" s="15">
        <v>14471.54</v>
      </c>
      <c r="H626" s="13" t="s">
        <v>2598</v>
      </c>
      <c r="I626" s="13" t="s">
        <v>2599</v>
      </c>
      <c r="J626" s="13" t="s">
        <v>170</v>
      </c>
      <c r="K626" s="13">
        <f t="shared" si="45"/>
        <v>1</v>
      </c>
      <c r="L626" s="13">
        <f t="shared" si="46"/>
        <v>0</v>
      </c>
      <c r="M626" s="13">
        <f>IF(AND(L626=0,COUNTIFS($B$2:$B$1534,B626,$G$2:$G$1534,G626,$E$2:$E$1534,"&gt;="&amp;(E626-Assumptions!$B$5),$E$2:$E$1534,"&lt;="&amp;(E626+Assumptions!$B$5))&gt;1),1,0)</f>
        <v>0</v>
      </c>
      <c r="N626" s="13">
        <f>IF(AND(G626&gt;=Assumptions!$B$4*(1-Assumptions!$B$6),G626&lt;Assumptions!$B$4),1,0)</f>
        <v>0</v>
      </c>
      <c r="O626" s="13">
        <f>IF(AND(G626&gt;=Assumptions!$B$7,MOD(G626,Assumptions!$B$7)=0),1,0)</f>
        <v>0</v>
      </c>
      <c r="P626" s="13">
        <f t="shared" si="47"/>
        <v>0</v>
      </c>
      <c r="Q626" s="13">
        <f t="shared" si="48"/>
        <v>0</v>
      </c>
      <c r="R626" s="13">
        <f>L626*Assumptions!$B$11+M626*Assumptions!$B$12+N626*Assumptions!$B$13+O626*Assumptions!$B$14+P626*Assumptions!$B$15+Q626*Assumptions!$B$16</f>
        <v>0</v>
      </c>
      <c r="S626" s="13" t="str">
        <f>IF(R626&gt;=Assumptions!$B$20,"High",IF(R626&gt;=Assumptions!$B$21,"Medium",IF(R626&gt;=1,"Low","Clear")))</f>
        <v>Clear</v>
      </c>
      <c r="T626" s="13" t="str">
        <f t="shared" si="49"/>
        <v/>
      </c>
    </row>
    <row r="627" spans="1:20" x14ac:dyDescent="0.35">
      <c r="A627" s="13" t="s">
        <v>2600</v>
      </c>
      <c r="B627" s="13" t="s">
        <v>323</v>
      </c>
      <c r="C627" s="13" t="s">
        <v>324</v>
      </c>
      <c r="D627" s="13" t="s">
        <v>2601</v>
      </c>
      <c r="E627" s="14">
        <v>45901</v>
      </c>
      <c r="F627" s="14">
        <v>45936</v>
      </c>
      <c r="G627" s="15">
        <v>222843.45</v>
      </c>
      <c r="H627" s="13" t="s">
        <v>2602</v>
      </c>
      <c r="I627" s="13" t="s">
        <v>2603</v>
      </c>
      <c r="J627" s="13" t="s">
        <v>143</v>
      </c>
      <c r="K627" s="13">
        <f t="shared" si="45"/>
        <v>2</v>
      </c>
      <c r="L627" s="13">
        <f t="shared" si="46"/>
        <v>0</v>
      </c>
      <c r="M627" s="13">
        <f>IF(AND(L627=0,COUNTIFS($B$2:$B$1534,B627,$G$2:$G$1534,G627,$E$2:$E$1534,"&gt;="&amp;(E627-Assumptions!$B$5),$E$2:$E$1534,"&lt;="&amp;(E627+Assumptions!$B$5))&gt;1),1,0)</f>
        <v>0</v>
      </c>
      <c r="N627" s="13">
        <f>IF(AND(G627&gt;=Assumptions!$B$4*(1-Assumptions!$B$6),G627&lt;Assumptions!$B$4),1,0)</f>
        <v>0</v>
      </c>
      <c r="O627" s="13">
        <f>IF(AND(G627&gt;=Assumptions!$B$7,MOD(G627,Assumptions!$B$7)=0),1,0)</f>
        <v>0</v>
      </c>
      <c r="P627" s="13">
        <f t="shared" si="47"/>
        <v>0</v>
      </c>
      <c r="Q627" s="13">
        <f t="shared" si="48"/>
        <v>0</v>
      </c>
      <c r="R627" s="13">
        <f>L627*Assumptions!$B$11+M627*Assumptions!$B$12+N627*Assumptions!$B$13+O627*Assumptions!$B$14+P627*Assumptions!$B$15+Q627*Assumptions!$B$16</f>
        <v>0</v>
      </c>
      <c r="S627" s="13" t="str">
        <f>IF(R627&gt;=Assumptions!$B$20,"High",IF(R627&gt;=Assumptions!$B$21,"Medium",IF(R627&gt;=1,"Low","Clear")))</f>
        <v>Clear</v>
      </c>
      <c r="T627" s="13" t="str">
        <f t="shared" si="49"/>
        <v/>
      </c>
    </row>
    <row r="628" spans="1:20" x14ac:dyDescent="0.35">
      <c r="A628" s="13" t="s">
        <v>2604</v>
      </c>
      <c r="B628" s="13" t="s">
        <v>176</v>
      </c>
      <c r="C628" s="13" t="s">
        <v>177</v>
      </c>
      <c r="D628" s="13" t="s">
        <v>2605</v>
      </c>
      <c r="E628" s="14">
        <v>45916</v>
      </c>
      <c r="F628" s="14">
        <v>45937</v>
      </c>
      <c r="G628" s="15">
        <v>93007.56</v>
      </c>
      <c r="H628" s="13" t="s">
        <v>2606</v>
      </c>
      <c r="I628" s="13" t="s">
        <v>2607</v>
      </c>
      <c r="J628" s="13" t="s">
        <v>136</v>
      </c>
      <c r="K628" s="13">
        <f t="shared" si="45"/>
        <v>9</v>
      </c>
      <c r="L628" s="13">
        <f t="shared" si="46"/>
        <v>0</v>
      </c>
      <c r="M628" s="13">
        <f>IF(AND(L628=0,COUNTIFS($B$2:$B$1534,B628,$G$2:$G$1534,G628,$E$2:$E$1534,"&gt;="&amp;(E628-Assumptions!$B$5),$E$2:$E$1534,"&lt;="&amp;(E628+Assumptions!$B$5))&gt;1),1,0)</f>
        <v>0</v>
      </c>
      <c r="N628" s="13">
        <f>IF(AND(G628&gt;=Assumptions!$B$4*(1-Assumptions!$B$6),G628&lt;Assumptions!$B$4),1,0)</f>
        <v>0</v>
      </c>
      <c r="O628" s="13">
        <f>IF(AND(G628&gt;=Assumptions!$B$7,MOD(G628,Assumptions!$B$7)=0),1,0)</f>
        <v>0</v>
      </c>
      <c r="P628" s="13">
        <f t="shared" si="47"/>
        <v>0</v>
      </c>
      <c r="Q628" s="13">
        <f t="shared" si="48"/>
        <v>0</v>
      </c>
      <c r="R628" s="13">
        <f>L628*Assumptions!$B$11+M628*Assumptions!$B$12+N628*Assumptions!$B$13+O628*Assumptions!$B$14+P628*Assumptions!$B$15+Q628*Assumptions!$B$16</f>
        <v>0</v>
      </c>
      <c r="S628" s="13" t="str">
        <f>IF(R628&gt;=Assumptions!$B$20,"High",IF(R628&gt;=Assumptions!$B$21,"Medium",IF(R628&gt;=1,"Low","Clear")))</f>
        <v>Clear</v>
      </c>
      <c r="T628" s="13" t="str">
        <f t="shared" si="49"/>
        <v/>
      </c>
    </row>
    <row r="629" spans="1:20" x14ac:dyDescent="0.35">
      <c r="A629" s="13" t="s">
        <v>2608</v>
      </c>
      <c r="B629" s="13" t="s">
        <v>182</v>
      </c>
      <c r="C629" s="13" t="s">
        <v>183</v>
      </c>
      <c r="D629" s="13" t="s">
        <v>2609</v>
      </c>
      <c r="E629" s="14">
        <v>45897</v>
      </c>
      <c r="F629" s="14">
        <v>45937</v>
      </c>
      <c r="G629" s="15">
        <v>14440.08</v>
      </c>
      <c r="H629" s="13" t="s">
        <v>2610</v>
      </c>
      <c r="I629" s="13" t="s">
        <v>2611</v>
      </c>
      <c r="J629" s="13" t="s">
        <v>136</v>
      </c>
      <c r="K629" s="13">
        <f t="shared" si="45"/>
        <v>1</v>
      </c>
      <c r="L629" s="13">
        <f t="shared" si="46"/>
        <v>0</v>
      </c>
      <c r="M629" s="13">
        <f>IF(AND(L629=0,COUNTIFS($B$2:$B$1534,B629,$G$2:$G$1534,G629,$E$2:$E$1534,"&gt;="&amp;(E629-Assumptions!$B$5),$E$2:$E$1534,"&lt;="&amp;(E629+Assumptions!$B$5))&gt;1),1,0)</f>
        <v>0</v>
      </c>
      <c r="N629" s="13">
        <f>IF(AND(G629&gt;=Assumptions!$B$4*(1-Assumptions!$B$6),G629&lt;Assumptions!$B$4),1,0)</f>
        <v>0</v>
      </c>
      <c r="O629" s="13">
        <f>IF(AND(G629&gt;=Assumptions!$B$7,MOD(G629,Assumptions!$B$7)=0),1,0)</f>
        <v>0</v>
      </c>
      <c r="P629" s="13">
        <f t="shared" si="47"/>
        <v>0</v>
      </c>
      <c r="Q629" s="13">
        <f t="shared" si="48"/>
        <v>0</v>
      </c>
      <c r="R629" s="13">
        <f>L629*Assumptions!$B$11+M629*Assumptions!$B$12+N629*Assumptions!$B$13+O629*Assumptions!$B$14+P629*Assumptions!$B$15+Q629*Assumptions!$B$16</f>
        <v>0</v>
      </c>
      <c r="S629" s="13" t="str">
        <f>IF(R629&gt;=Assumptions!$B$20,"High",IF(R629&gt;=Assumptions!$B$21,"Medium",IF(R629&gt;=1,"Low","Clear")))</f>
        <v>Clear</v>
      </c>
      <c r="T629" s="13" t="str">
        <f t="shared" si="49"/>
        <v/>
      </c>
    </row>
    <row r="630" spans="1:20" x14ac:dyDescent="0.35">
      <c r="A630" s="13" t="s">
        <v>2612</v>
      </c>
      <c r="B630" s="13" t="s">
        <v>113</v>
      </c>
      <c r="C630" s="13" t="s">
        <v>114</v>
      </c>
      <c r="D630" s="13" t="s">
        <v>2613</v>
      </c>
      <c r="E630" s="14">
        <v>45915</v>
      </c>
      <c r="F630" s="14">
        <v>45937</v>
      </c>
      <c r="G630" s="15">
        <v>45632.49</v>
      </c>
      <c r="H630" s="13" t="s">
        <v>2614</v>
      </c>
      <c r="I630" s="13" t="s">
        <v>2615</v>
      </c>
      <c r="J630" s="13" t="s">
        <v>143</v>
      </c>
      <c r="K630" s="13">
        <f t="shared" si="45"/>
        <v>4</v>
      </c>
      <c r="L630" s="13">
        <f t="shared" si="46"/>
        <v>0</v>
      </c>
      <c r="M630" s="13">
        <f>IF(AND(L630=0,COUNTIFS($B$2:$B$1534,B630,$G$2:$G$1534,G630,$E$2:$E$1534,"&gt;="&amp;(E630-Assumptions!$B$5),$E$2:$E$1534,"&lt;="&amp;(E630+Assumptions!$B$5))&gt;1),1,0)</f>
        <v>0</v>
      </c>
      <c r="N630" s="13">
        <f>IF(AND(G630&gt;=Assumptions!$B$4*(1-Assumptions!$B$6),G630&lt;Assumptions!$B$4),1,0)</f>
        <v>0</v>
      </c>
      <c r="O630" s="13">
        <f>IF(AND(G630&gt;=Assumptions!$B$7,MOD(G630,Assumptions!$B$7)=0),1,0)</f>
        <v>0</v>
      </c>
      <c r="P630" s="13">
        <f t="shared" si="47"/>
        <v>0</v>
      </c>
      <c r="Q630" s="13">
        <f t="shared" si="48"/>
        <v>0</v>
      </c>
      <c r="R630" s="13">
        <f>L630*Assumptions!$B$11+M630*Assumptions!$B$12+N630*Assumptions!$B$13+O630*Assumptions!$B$14+P630*Assumptions!$B$15+Q630*Assumptions!$B$16</f>
        <v>0</v>
      </c>
      <c r="S630" s="13" t="str">
        <f>IF(R630&gt;=Assumptions!$B$20,"High",IF(R630&gt;=Assumptions!$B$21,"Medium",IF(R630&gt;=1,"Low","Clear")))</f>
        <v>Clear</v>
      </c>
      <c r="T630" s="13" t="str">
        <f t="shared" si="49"/>
        <v/>
      </c>
    </row>
    <row r="631" spans="1:20" x14ac:dyDescent="0.35">
      <c r="A631" s="13" t="s">
        <v>2616</v>
      </c>
      <c r="B631" s="13" t="s">
        <v>119</v>
      </c>
      <c r="C631" s="13" t="s">
        <v>120</v>
      </c>
      <c r="D631" s="13" t="s">
        <v>2617</v>
      </c>
      <c r="E631" s="14">
        <v>45907</v>
      </c>
      <c r="F631" s="14">
        <v>45937</v>
      </c>
      <c r="G631" s="15">
        <v>283351.77</v>
      </c>
      <c r="H631" s="13" t="s">
        <v>2618</v>
      </c>
      <c r="I631" s="13" t="s">
        <v>2619</v>
      </c>
      <c r="J631" s="13" t="s">
        <v>91</v>
      </c>
      <c r="K631" s="13">
        <f t="shared" si="45"/>
        <v>2</v>
      </c>
      <c r="L631" s="13">
        <f t="shared" si="46"/>
        <v>0</v>
      </c>
      <c r="M631" s="13">
        <f>IF(AND(L631=0,COUNTIFS($B$2:$B$1534,B631,$G$2:$G$1534,G631,$E$2:$E$1534,"&gt;="&amp;(E631-Assumptions!$B$5),$E$2:$E$1534,"&lt;="&amp;(E631+Assumptions!$B$5))&gt;1),1,0)</f>
        <v>0</v>
      </c>
      <c r="N631" s="13">
        <f>IF(AND(G631&gt;=Assumptions!$B$4*(1-Assumptions!$B$6),G631&lt;Assumptions!$B$4),1,0)</f>
        <v>0</v>
      </c>
      <c r="O631" s="13">
        <f>IF(AND(G631&gt;=Assumptions!$B$7,MOD(G631,Assumptions!$B$7)=0),1,0)</f>
        <v>0</v>
      </c>
      <c r="P631" s="13">
        <f t="shared" si="47"/>
        <v>0</v>
      </c>
      <c r="Q631" s="13">
        <f t="shared" si="48"/>
        <v>0</v>
      </c>
      <c r="R631" s="13">
        <f>L631*Assumptions!$B$11+M631*Assumptions!$B$12+N631*Assumptions!$B$13+O631*Assumptions!$B$14+P631*Assumptions!$B$15+Q631*Assumptions!$B$16</f>
        <v>0</v>
      </c>
      <c r="S631" s="13" t="str">
        <f>IF(R631&gt;=Assumptions!$B$20,"High",IF(R631&gt;=Assumptions!$B$21,"Medium",IF(R631&gt;=1,"Low","Clear")))</f>
        <v>Clear</v>
      </c>
      <c r="T631" s="13" t="str">
        <f t="shared" si="49"/>
        <v/>
      </c>
    </row>
    <row r="632" spans="1:20" x14ac:dyDescent="0.35">
      <c r="A632" s="13" t="s">
        <v>2620</v>
      </c>
      <c r="B632" s="13" t="s">
        <v>317</v>
      </c>
      <c r="C632" s="13" t="s">
        <v>318</v>
      </c>
      <c r="D632" s="13" t="s">
        <v>2621</v>
      </c>
      <c r="E632" s="14">
        <v>45914</v>
      </c>
      <c r="F632" s="14">
        <v>45937</v>
      </c>
      <c r="G632" s="15">
        <v>846369.12</v>
      </c>
      <c r="H632" s="13" t="s">
        <v>2622</v>
      </c>
      <c r="I632" s="13" t="s">
        <v>2623</v>
      </c>
      <c r="J632" s="13" t="s">
        <v>143</v>
      </c>
      <c r="K632" s="13">
        <f t="shared" si="45"/>
        <v>8</v>
      </c>
      <c r="L632" s="13">
        <f t="shared" si="46"/>
        <v>0</v>
      </c>
      <c r="M632" s="13">
        <f>IF(AND(L632=0,COUNTIFS($B$2:$B$1534,B632,$G$2:$G$1534,G632,$E$2:$E$1534,"&gt;="&amp;(E632-Assumptions!$B$5),$E$2:$E$1534,"&lt;="&amp;(E632+Assumptions!$B$5))&gt;1),1,0)</f>
        <v>0</v>
      </c>
      <c r="N632" s="13">
        <f>IF(AND(G632&gt;=Assumptions!$B$4*(1-Assumptions!$B$6),G632&lt;Assumptions!$B$4),1,0)</f>
        <v>0</v>
      </c>
      <c r="O632" s="13">
        <f>IF(AND(G632&gt;=Assumptions!$B$7,MOD(G632,Assumptions!$B$7)=0),1,0)</f>
        <v>0</v>
      </c>
      <c r="P632" s="13">
        <f t="shared" si="47"/>
        <v>0</v>
      </c>
      <c r="Q632" s="13">
        <f t="shared" si="48"/>
        <v>0</v>
      </c>
      <c r="R632" s="13">
        <f>L632*Assumptions!$B$11+M632*Assumptions!$B$12+N632*Assumptions!$B$13+O632*Assumptions!$B$14+P632*Assumptions!$B$15+Q632*Assumptions!$B$16</f>
        <v>0</v>
      </c>
      <c r="S632" s="13" t="str">
        <f>IF(R632&gt;=Assumptions!$B$20,"High",IF(R632&gt;=Assumptions!$B$21,"Medium",IF(R632&gt;=1,"Low","Clear")))</f>
        <v>Clear</v>
      </c>
      <c r="T632" s="13" t="str">
        <f t="shared" si="49"/>
        <v/>
      </c>
    </row>
    <row r="633" spans="1:20" x14ac:dyDescent="0.35">
      <c r="A633" s="13" t="s">
        <v>2624</v>
      </c>
      <c r="B633" s="13" t="s">
        <v>329</v>
      </c>
      <c r="C633" s="13" t="s">
        <v>330</v>
      </c>
      <c r="D633" s="13" t="s">
        <v>2625</v>
      </c>
      <c r="E633" s="14">
        <v>45898</v>
      </c>
      <c r="F633" s="14">
        <v>45937</v>
      </c>
      <c r="G633" s="15">
        <v>571608.21</v>
      </c>
      <c r="H633" s="13" t="s">
        <v>2626</v>
      </c>
      <c r="I633" s="13"/>
      <c r="J633" s="13" t="s">
        <v>143</v>
      </c>
      <c r="K633" s="13">
        <f t="shared" si="45"/>
        <v>5</v>
      </c>
      <c r="L633" s="13">
        <f t="shared" si="46"/>
        <v>0</v>
      </c>
      <c r="M633" s="13">
        <f>IF(AND(L633=0,COUNTIFS($B$2:$B$1534,B633,$G$2:$G$1534,G633,$E$2:$E$1534,"&gt;="&amp;(E633-Assumptions!$B$5),$E$2:$E$1534,"&lt;="&amp;(E633+Assumptions!$B$5))&gt;1),1,0)</f>
        <v>0</v>
      </c>
      <c r="N633" s="13">
        <f>IF(AND(G633&gt;=Assumptions!$B$4*(1-Assumptions!$B$6),G633&lt;Assumptions!$B$4),1,0)</f>
        <v>0</v>
      </c>
      <c r="O633" s="13">
        <f>IF(AND(G633&gt;=Assumptions!$B$7,MOD(G633,Assumptions!$B$7)=0),1,0)</f>
        <v>0</v>
      </c>
      <c r="P633" s="13">
        <f t="shared" si="47"/>
        <v>1</v>
      </c>
      <c r="Q633" s="13">
        <f t="shared" si="48"/>
        <v>0</v>
      </c>
      <c r="R633" s="13">
        <f>L633*Assumptions!$B$11+M633*Assumptions!$B$12+N633*Assumptions!$B$13+O633*Assumptions!$B$14+P633*Assumptions!$B$15+Q633*Assumptions!$B$16</f>
        <v>4</v>
      </c>
      <c r="S633" s="13" t="str">
        <f>IF(R633&gt;=Assumptions!$B$20,"High",IF(R633&gt;=Assumptions!$B$21,"Medium",IF(R633&gt;=1,"Low","Clear")))</f>
        <v>Medium</v>
      </c>
      <c r="T633" s="13" t="str">
        <f t="shared" si="49"/>
        <v xml:space="preserve">No PO/GRN; </v>
      </c>
    </row>
    <row r="634" spans="1:20" x14ac:dyDescent="0.35">
      <c r="A634" s="13" t="s">
        <v>2627</v>
      </c>
      <c r="B634" s="13" t="s">
        <v>176</v>
      </c>
      <c r="C634" s="13" t="s">
        <v>177</v>
      </c>
      <c r="D634" s="13" t="s">
        <v>2628</v>
      </c>
      <c r="E634" s="14">
        <v>45900</v>
      </c>
      <c r="F634" s="14">
        <v>45938</v>
      </c>
      <c r="G634" s="15">
        <v>64320.42</v>
      </c>
      <c r="H634" s="13" t="s">
        <v>2629</v>
      </c>
      <c r="I634" s="13" t="s">
        <v>2630</v>
      </c>
      <c r="J634" s="13" t="s">
        <v>98</v>
      </c>
      <c r="K634" s="13">
        <f t="shared" si="45"/>
        <v>6</v>
      </c>
      <c r="L634" s="13">
        <f t="shared" si="46"/>
        <v>0</v>
      </c>
      <c r="M634" s="13">
        <f>IF(AND(L634=0,COUNTIFS($B$2:$B$1534,B634,$G$2:$G$1534,G634,$E$2:$E$1534,"&gt;="&amp;(E634-Assumptions!$B$5),$E$2:$E$1534,"&lt;="&amp;(E634+Assumptions!$B$5))&gt;1),1,0)</f>
        <v>0</v>
      </c>
      <c r="N634" s="13">
        <f>IF(AND(G634&gt;=Assumptions!$B$4*(1-Assumptions!$B$6),G634&lt;Assumptions!$B$4),1,0)</f>
        <v>0</v>
      </c>
      <c r="O634" s="13">
        <f>IF(AND(G634&gt;=Assumptions!$B$7,MOD(G634,Assumptions!$B$7)=0),1,0)</f>
        <v>0</v>
      </c>
      <c r="P634" s="13">
        <f t="shared" si="47"/>
        <v>0</v>
      </c>
      <c r="Q634" s="13">
        <f t="shared" si="48"/>
        <v>0</v>
      </c>
      <c r="R634" s="13">
        <f>L634*Assumptions!$B$11+M634*Assumptions!$B$12+N634*Assumptions!$B$13+O634*Assumptions!$B$14+P634*Assumptions!$B$15+Q634*Assumptions!$B$16</f>
        <v>0</v>
      </c>
      <c r="S634" s="13" t="str">
        <f>IF(R634&gt;=Assumptions!$B$20,"High",IF(R634&gt;=Assumptions!$B$21,"Medium",IF(R634&gt;=1,"Low","Clear")))</f>
        <v>Clear</v>
      </c>
      <c r="T634" s="13" t="str">
        <f t="shared" si="49"/>
        <v/>
      </c>
    </row>
    <row r="635" spans="1:20" x14ac:dyDescent="0.35">
      <c r="A635" s="13" t="s">
        <v>2631</v>
      </c>
      <c r="B635" s="13" t="s">
        <v>155</v>
      </c>
      <c r="C635" s="13" t="s">
        <v>156</v>
      </c>
      <c r="D635" s="13" t="s">
        <v>2632</v>
      </c>
      <c r="E635" s="14">
        <v>45900</v>
      </c>
      <c r="F635" s="14">
        <v>45938</v>
      </c>
      <c r="G635" s="15">
        <v>162396.28</v>
      </c>
      <c r="H635" s="13" t="s">
        <v>2633</v>
      </c>
      <c r="I635" s="13"/>
      <c r="J635" s="13" t="s">
        <v>143</v>
      </c>
      <c r="K635" s="13">
        <f t="shared" si="45"/>
        <v>1</v>
      </c>
      <c r="L635" s="13">
        <f t="shared" si="46"/>
        <v>0</v>
      </c>
      <c r="M635" s="13">
        <f>IF(AND(L635=0,COUNTIFS($B$2:$B$1534,B635,$G$2:$G$1534,G635,$E$2:$E$1534,"&gt;="&amp;(E635-Assumptions!$B$5),$E$2:$E$1534,"&lt;="&amp;(E635+Assumptions!$B$5))&gt;1),1,0)</f>
        <v>0</v>
      </c>
      <c r="N635" s="13">
        <f>IF(AND(G635&gt;=Assumptions!$B$4*(1-Assumptions!$B$6),G635&lt;Assumptions!$B$4),1,0)</f>
        <v>0</v>
      </c>
      <c r="O635" s="13">
        <f>IF(AND(G635&gt;=Assumptions!$B$7,MOD(G635,Assumptions!$B$7)=0),1,0)</f>
        <v>0</v>
      </c>
      <c r="P635" s="13">
        <f t="shared" si="47"/>
        <v>1</v>
      </c>
      <c r="Q635" s="13">
        <f t="shared" si="48"/>
        <v>0</v>
      </c>
      <c r="R635" s="13">
        <f>L635*Assumptions!$B$11+M635*Assumptions!$B$12+N635*Assumptions!$B$13+O635*Assumptions!$B$14+P635*Assumptions!$B$15+Q635*Assumptions!$B$16</f>
        <v>4</v>
      </c>
      <c r="S635" s="13" t="str">
        <f>IF(R635&gt;=Assumptions!$B$20,"High",IF(R635&gt;=Assumptions!$B$21,"Medium",IF(R635&gt;=1,"Low","Clear")))</f>
        <v>Medium</v>
      </c>
      <c r="T635" s="13" t="str">
        <f t="shared" si="49"/>
        <v xml:space="preserve">No PO/GRN; </v>
      </c>
    </row>
    <row r="636" spans="1:20" x14ac:dyDescent="0.35">
      <c r="A636" s="13" t="s">
        <v>2634</v>
      </c>
      <c r="B636" s="13" t="s">
        <v>556</v>
      </c>
      <c r="C636" s="13" t="s">
        <v>557</v>
      </c>
      <c r="D636" s="13" t="s">
        <v>2635</v>
      </c>
      <c r="E636" s="14">
        <v>45905</v>
      </c>
      <c r="F636" s="14">
        <v>45938</v>
      </c>
      <c r="G636" s="15">
        <v>180878.42</v>
      </c>
      <c r="H636" s="13" t="s">
        <v>2636</v>
      </c>
      <c r="I636" s="13" t="s">
        <v>2637</v>
      </c>
      <c r="J636" s="13" t="s">
        <v>111</v>
      </c>
      <c r="K636" s="13">
        <f t="shared" si="45"/>
        <v>1</v>
      </c>
      <c r="L636" s="13">
        <f t="shared" si="46"/>
        <v>0</v>
      </c>
      <c r="M636" s="13">
        <f>IF(AND(L636=0,COUNTIFS($B$2:$B$1534,B636,$G$2:$G$1534,G636,$E$2:$E$1534,"&gt;="&amp;(E636-Assumptions!$B$5),$E$2:$E$1534,"&lt;="&amp;(E636+Assumptions!$B$5))&gt;1),1,0)</f>
        <v>0</v>
      </c>
      <c r="N636" s="13">
        <f>IF(AND(G636&gt;=Assumptions!$B$4*(1-Assumptions!$B$6),G636&lt;Assumptions!$B$4),1,0)</f>
        <v>0</v>
      </c>
      <c r="O636" s="13">
        <f>IF(AND(G636&gt;=Assumptions!$B$7,MOD(G636,Assumptions!$B$7)=0),1,0)</f>
        <v>0</v>
      </c>
      <c r="P636" s="13">
        <f t="shared" si="47"/>
        <v>0</v>
      </c>
      <c r="Q636" s="13">
        <f t="shared" si="48"/>
        <v>0</v>
      </c>
      <c r="R636" s="13">
        <f>L636*Assumptions!$B$11+M636*Assumptions!$B$12+N636*Assumptions!$B$13+O636*Assumptions!$B$14+P636*Assumptions!$B$15+Q636*Assumptions!$B$16</f>
        <v>0</v>
      </c>
      <c r="S636" s="13" t="str">
        <f>IF(R636&gt;=Assumptions!$B$20,"High",IF(R636&gt;=Assumptions!$B$21,"Medium",IF(R636&gt;=1,"Low","Clear")))</f>
        <v>Clear</v>
      </c>
      <c r="T636" s="13" t="str">
        <f t="shared" si="49"/>
        <v/>
      </c>
    </row>
    <row r="637" spans="1:20" x14ac:dyDescent="0.35">
      <c r="A637" s="13" t="s">
        <v>2638</v>
      </c>
      <c r="B637" s="13" t="s">
        <v>125</v>
      </c>
      <c r="C637" s="13" t="s">
        <v>126</v>
      </c>
      <c r="D637" s="13" t="s">
        <v>2639</v>
      </c>
      <c r="E637" s="14">
        <v>45910</v>
      </c>
      <c r="F637" s="14">
        <v>45938</v>
      </c>
      <c r="G637" s="15">
        <v>150000</v>
      </c>
      <c r="H637" s="13" t="s">
        <v>2640</v>
      </c>
      <c r="I637" s="13" t="s">
        <v>2641</v>
      </c>
      <c r="J637" s="13" t="s">
        <v>143</v>
      </c>
      <c r="K637" s="13">
        <f t="shared" si="45"/>
        <v>1</v>
      </c>
      <c r="L637" s="13">
        <f t="shared" si="46"/>
        <v>0</v>
      </c>
      <c r="M637" s="13">
        <f>IF(AND(L637=0,COUNTIFS($B$2:$B$1534,B637,$G$2:$G$1534,G637,$E$2:$E$1534,"&gt;="&amp;(E637-Assumptions!$B$5),$E$2:$E$1534,"&lt;="&amp;(E637+Assumptions!$B$5))&gt;1),1,0)</f>
        <v>0</v>
      </c>
      <c r="N637" s="13">
        <f>IF(AND(G637&gt;=Assumptions!$B$4*(1-Assumptions!$B$6),G637&lt;Assumptions!$B$4),1,0)</f>
        <v>0</v>
      </c>
      <c r="O637" s="13">
        <f>IF(AND(G637&gt;=Assumptions!$B$7,MOD(G637,Assumptions!$B$7)=0),1,0)</f>
        <v>1</v>
      </c>
      <c r="P637" s="13">
        <f t="shared" si="47"/>
        <v>0</v>
      </c>
      <c r="Q637" s="13">
        <f t="shared" si="48"/>
        <v>0</v>
      </c>
      <c r="R637" s="13">
        <f>L637*Assumptions!$B$11+M637*Assumptions!$B$12+N637*Assumptions!$B$13+O637*Assumptions!$B$14+P637*Assumptions!$B$15+Q637*Assumptions!$B$16</f>
        <v>1</v>
      </c>
      <c r="S637" s="13" t="str">
        <f>IF(R637&gt;=Assumptions!$B$20,"High",IF(R637&gt;=Assumptions!$B$21,"Medium",IF(R637&gt;=1,"Low","Clear")))</f>
        <v>Low</v>
      </c>
      <c r="T637" s="13" t="str">
        <f t="shared" si="49"/>
        <v xml:space="preserve">Round amount; </v>
      </c>
    </row>
    <row r="638" spans="1:20" x14ac:dyDescent="0.35">
      <c r="A638" s="13" t="s">
        <v>2642</v>
      </c>
      <c r="B638" s="13" t="s">
        <v>176</v>
      </c>
      <c r="C638" s="13" t="s">
        <v>177</v>
      </c>
      <c r="D638" s="13" t="s">
        <v>2643</v>
      </c>
      <c r="E638" s="14">
        <v>45919</v>
      </c>
      <c r="F638" s="14">
        <v>45939</v>
      </c>
      <c r="G638" s="15">
        <v>189141.77</v>
      </c>
      <c r="H638" s="13" t="s">
        <v>2644</v>
      </c>
      <c r="I638" s="13" t="s">
        <v>2645</v>
      </c>
      <c r="J638" s="13" t="s">
        <v>111</v>
      </c>
      <c r="K638" s="13">
        <f t="shared" si="45"/>
        <v>1</v>
      </c>
      <c r="L638" s="13">
        <f t="shared" si="46"/>
        <v>0</v>
      </c>
      <c r="M638" s="13">
        <f>IF(AND(L638=0,COUNTIFS($B$2:$B$1534,B638,$G$2:$G$1534,G638,$E$2:$E$1534,"&gt;="&amp;(E638-Assumptions!$B$5),$E$2:$E$1534,"&lt;="&amp;(E638+Assumptions!$B$5))&gt;1),1,0)</f>
        <v>0</v>
      </c>
      <c r="N638" s="13">
        <f>IF(AND(G638&gt;=Assumptions!$B$4*(1-Assumptions!$B$6),G638&lt;Assumptions!$B$4),1,0)</f>
        <v>0</v>
      </c>
      <c r="O638" s="13">
        <f>IF(AND(G638&gt;=Assumptions!$B$7,MOD(G638,Assumptions!$B$7)=0),1,0)</f>
        <v>0</v>
      </c>
      <c r="P638" s="13">
        <f t="shared" si="47"/>
        <v>0</v>
      </c>
      <c r="Q638" s="13">
        <f t="shared" si="48"/>
        <v>0</v>
      </c>
      <c r="R638" s="13">
        <f>L638*Assumptions!$B$11+M638*Assumptions!$B$12+N638*Assumptions!$B$13+O638*Assumptions!$B$14+P638*Assumptions!$B$15+Q638*Assumptions!$B$16</f>
        <v>0</v>
      </c>
      <c r="S638" s="13" t="str">
        <f>IF(R638&gt;=Assumptions!$B$20,"High",IF(R638&gt;=Assumptions!$B$21,"Medium",IF(R638&gt;=1,"Low","Clear")))</f>
        <v>Clear</v>
      </c>
      <c r="T638" s="13" t="str">
        <f t="shared" si="49"/>
        <v/>
      </c>
    </row>
    <row r="639" spans="1:20" x14ac:dyDescent="0.35">
      <c r="A639" s="13" t="s">
        <v>2646</v>
      </c>
      <c r="B639" s="13" t="s">
        <v>182</v>
      </c>
      <c r="C639" s="13" t="s">
        <v>183</v>
      </c>
      <c r="D639" s="13" t="s">
        <v>2647</v>
      </c>
      <c r="E639" s="14">
        <v>45911</v>
      </c>
      <c r="F639" s="14">
        <v>45939</v>
      </c>
      <c r="G639" s="15">
        <v>716120.98</v>
      </c>
      <c r="H639" s="13" t="s">
        <v>2648</v>
      </c>
      <c r="I639" s="13" t="s">
        <v>2649</v>
      </c>
      <c r="J639" s="13" t="s">
        <v>143</v>
      </c>
      <c r="K639" s="13">
        <f t="shared" si="45"/>
        <v>7</v>
      </c>
      <c r="L639" s="13">
        <f t="shared" si="46"/>
        <v>0</v>
      </c>
      <c r="M639" s="13">
        <f>IF(AND(L639=0,COUNTIFS($B$2:$B$1534,B639,$G$2:$G$1534,G639,$E$2:$E$1534,"&gt;="&amp;(E639-Assumptions!$B$5),$E$2:$E$1534,"&lt;="&amp;(E639+Assumptions!$B$5))&gt;1),1,0)</f>
        <v>0</v>
      </c>
      <c r="N639" s="13">
        <f>IF(AND(G639&gt;=Assumptions!$B$4*(1-Assumptions!$B$6),G639&lt;Assumptions!$B$4),1,0)</f>
        <v>0</v>
      </c>
      <c r="O639" s="13">
        <f>IF(AND(G639&gt;=Assumptions!$B$7,MOD(G639,Assumptions!$B$7)=0),1,0)</f>
        <v>0</v>
      </c>
      <c r="P639" s="13">
        <f t="shared" si="47"/>
        <v>0</v>
      </c>
      <c r="Q639" s="13">
        <f t="shared" si="48"/>
        <v>0</v>
      </c>
      <c r="R639" s="13">
        <f>L639*Assumptions!$B$11+M639*Assumptions!$B$12+N639*Assumptions!$B$13+O639*Assumptions!$B$14+P639*Assumptions!$B$15+Q639*Assumptions!$B$16</f>
        <v>0</v>
      </c>
      <c r="S639" s="13" t="str">
        <f>IF(R639&gt;=Assumptions!$B$20,"High",IF(R639&gt;=Assumptions!$B$21,"Medium",IF(R639&gt;=1,"Low","Clear")))</f>
        <v>Clear</v>
      </c>
      <c r="T639" s="13" t="str">
        <f t="shared" si="49"/>
        <v/>
      </c>
    </row>
    <row r="640" spans="1:20" x14ac:dyDescent="0.35">
      <c r="A640" s="13" t="s">
        <v>2650</v>
      </c>
      <c r="B640" s="13" t="s">
        <v>391</v>
      </c>
      <c r="C640" s="13" t="s">
        <v>392</v>
      </c>
      <c r="D640" s="13" t="s">
        <v>2651</v>
      </c>
      <c r="E640" s="14">
        <v>45906</v>
      </c>
      <c r="F640" s="14">
        <v>45939</v>
      </c>
      <c r="G640" s="15">
        <v>154837.14000000001</v>
      </c>
      <c r="H640" s="13" t="s">
        <v>2652</v>
      </c>
      <c r="I640" s="13" t="s">
        <v>2653</v>
      </c>
      <c r="J640" s="13" t="s">
        <v>143</v>
      </c>
      <c r="K640" s="13">
        <f t="shared" si="45"/>
        <v>1</v>
      </c>
      <c r="L640" s="13">
        <f t="shared" si="46"/>
        <v>0</v>
      </c>
      <c r="M640" s="13">
        <f>IF(AND(L640=0,COUNTIFS($B$2:$B$1534,B640,$G$2:$G$1534,G640,$E$2:$E$1534,"&gt;="&amp;(E640-Assumptions!$B$5),$E$2:$E$1534,"&lt;="&amp;(E640+Assumptions!$B$5))&gt;1),1,0)</f>
        <v>0</v>
      </c>
      <c r="N640" s="13">
        <f>IF(AND(G640&gt;=Assumptions!$B$4*(1-Assumptions!$B$6),G640&lt;Assumptions!$B$4),1,0)</f>
        <v>0</v>
      </c>
      <c r="O640" s="13">
        <f>IF(AND(G640&gt;=Assumptions!$B$7,MOD(G640,Assumptions!$B$7)=0),1,0)</f>
        <v>0</v>
      </c>
      <c r="P640" s="13">
        <f t="shared" si="47"/>
        <v>0</v>
      </c>
      <c r="Q640" s="13">
        <f t="shared" si="48"/>
        <v>0</v>
      </c>
      <c r="R640" s="13">
        <f>L640*Assumptions!$B$11+M640*Assumptions!$B$12+N640*Assumptions!$B$13+O640*Assumptions!$B$14+P640*Assumptions!$B$15+Q640*Assumptions!$B$16</f>
        <v>0</v>
      </c>
      <c r="S640" s="13" t="str">
        <f>IF(R640&gt;=Assumptions!$B$20,"High",IF(R640&gt;=Assumptions!$B$21,"Medium",IF(R640&gt;=1,"Low","Clear")))</f>
        <v>Clear</v>
      </c>
      <c r="T640" s="13" t="str">
        <f t="shared" si="49"/>
        <v/>
      </c>
    </row>
    <row r="641" spans="1:20" x14ac:dyDescent="0.35">
      <c r="A641" s="13" t="s">
        <v>2654</v>
      </c>
      <c r="B641" s="13" t="s">
        <v>218</v>
      </c>
      <c r="C641" s="13" t="s">
        <v>219</v>
      </c>
      <c r="D641" s="13" t="s">
        <v>2655</v>
      </c>
      <c r="E641" s="14">
        <v>45918</v>
      </c>
      <c r="F641" s="14">
        <v>45939</v>
      </c>
      <c r="G641" s="15">
        <v>5952.72</v>
      </c>
      <c r="H641" s="13" t="s">
        <v>2656</v>
      </c>
      <c r="I641" s="13" t="s">
        <v>2657</v>
      </c>
      <c r="J641" s="13" t="s">
        <v>98</v>
      </c>
      <c r="K641" s="13">
        <f t="shared" si="45"/>
        <v>5</v>
      </c>
      <c r="L641" s="13">
        <f t="shared" si="46"/>
        <v>0</v>
      </c>
      <c r="M641" s="13">
        <f>IF(AND(L641=0,COUNTIFS($B$2:$B$1534,B641,$G$2:$G$1534,G641,$E$2:$E$1534,"&gt;="&amp;(E641-Assumptions!$B$5),$E$2:$E$1534,"&lt;="&amp;(E641+Assumptions!$B$5))&gt;1),1,0)</f>
        <v>0</v>
      </c>
      <c r="N641" s="13">
        <f>IF(AND(G641&gt;=Assumptions!$B$4*(1-Assumptions!$B$6),G641&lt;Assumptions!$B$4),1,0)</f>
        <v>0</v>
      </c>
      <c r="O641" s="13">
        <f>IF(AND(G641&gt;=Assumptions!$B$7,MOD(G641,Assumptions!$B$7)=0),1,0)</f>
        <v>0</v>
      </c>
      <c r="P641" s="13">
        <f t="shared" si="47"/>
        <v>0</v>
      </c>
      <c r="Q641" s="13">
        <f t="shared" si="48"/>
        <v>0</v>
      </c>
      <c r="R641" s="13">
        <f>L641*Assumptions!$B$11+M641*Assumptions!$B$12+N641*Assumptions!$B$13+O641*Assumptions!$B$14+P641*Assumptions!$B$15+Q641*Assumptions!$B$16</f>
        <v>0</v>
      </c>
      <c r="S641" s="13" t="str">
        <f>IF(R641&gt;=Assumptions!$B$20,"High",IF(R641&gt;=Assumptions!$B$21,"Medium",IF(R641&gt;=1,"Low","Clear")))</f>
        <v>Clear</v>
      </c>
      <c r="T641" s="13" t="str">
        <f t="shared" si="49"/>
        <v/>
      </c>
    </row>
    <row r="642" spans="1:20" x14ac:dyDescent="0.35">
      <c r="A642" s="13" t="s">
        <v>2658</v>
      </c>
      <c r="B642" s="13" t="s">
        <v>317</v>
      </c>
      <c r="C642" s="13" t="s">
        <v>318</v>
      </c>
      <c r="D642" s="13" t="s">
        <v>2659</v>
      </c>
      <c r="E642" s="14">
        <v>45899</v>
      </c>
      <c r="F642" s="14">
        <v>45939</v>
      </c>
      <c r="G642" s="15">
        <v>1457.83</v>
      </c>
      <c r="H642" s="13" t="s">
        <v>2660</v>
      </c>
      <c r="I642" s="13" t="s">
        <v>2661</v>
      </c>
      <c r="J642" s="13" t="s">
        <v>98</v>
      </c>
      <c r="K642" s="13">
        <f t="shared" ref="K642:K705" si="50">VALUE(LEFT(TEXT(G642,"0"),1))</f>
        <v>1</v>
      </c>
      <c r="L642" s="13">
        <f t="shared" ref="L642:L705" si="51">IF(COUNTIFS($B$2:$B$1534,B642,$D$2:$D$1534,D642)&gt;1,1,0)</f>
        <v>0</v>
      </c>
      <c r="M642" s="13">
        <f>IF(AND(L642=0,COUNTIFS($B$2:$B$1534,B642,$G$2:$G$1534,G642,$E$2:$E$1534,"&gt;="&amp;(E642-Assumptions!$B$5),$E$2:$E$1534,"&lt;="&amp;(E642+Assumptions!$B$5))&gt;1),1,0)</f>
        <v>0</v>
      </c>
      <c r="N642" s="13">
        <f>IF(AND(G642&gt;=Assumptions!$B$4*(1-Assumptions!$B$6),G642&lt;Assumptions!$B$4),1,0)</f>
        <v>0</v>
      </c>
      <c r="O642" s="13">
        <f>IF(AND(G642&gt;=Assumptions!$B$7,MOD(G642,Assumptions!$B$7)=0),1,0)</f>
        <v>0</v>
      </c>
      <c r="P642" s="13">
        <f t="shared" ref="P642:P705" si="52">IF(OR(H642="",I642=""),1,0)</f>
        <v>0</v>
      </c>
      <c r="Q642" s="13">
        <f t="shared" ref="Q642:Q705" si="53">IF(WEEKDAY(F642,2)&gt;5,1,0)</f>
        <v>0</v>
      </c>
      <c r="R642" s="13">
        <f>L642*Assumptions!$B$11+M642*Assumptions!$B$12+N642*Assumptions!$B$13+O642*Assumptions!$B$14+P642*Assumptions!$B$15+Q642*Assumptions!$B$16</f>
        <v>0</v>
      </c>
      <c r="S642" s="13" t="str">
        <f>IF(R642&gt;=Assumptions!$B$20,"High",IF(R642&gt;=Assumptions!$B$21,"Medium",IF(R642&gt;=1,"Low","Clear")))</f>
        <v>Clear</v>
      </c>
      <c r="T642" s="13" t="str">
        <f t="shared" ref="T642:T705" si="54">IF(R642=0,"",IF(L642=1,"Duplicate invoice; ","")&amp;IF(M642=1,"Near-duplicate; ","")&amp;IF(N642=1,"Just below limit; ","")&amp;IF(O642=1,"Round amount; ","")&amp;IF(P642=1,"No PO/GRN; ","")&amp;IF(Q642=1,"Weekend payment; ",""))</f>
        <v/>
      </c>
    </row>
    <row r="643" spans="1:20" x14ac:dyDescent="0.35">
      <c r="A643" s="13" t="s">
        <v>2662</v>
      </c>
      <c r="B643" s="13" t="s">
        <v>100</v>
      </c>
      <c r="C643" s="13" t="s">
        <v>101</v>
      </c>
      <c r="D643" s="13" t="s">
        <v>2663</v>
      </c>
      <c r="E643" s="14">
        <v>45914</v>
      </c>
      <c r="F643" s="14">
        <v>45939</v>
      </c>
      <c r="G643" s="15">
        <v>29016.82</v>
      </c>
      <c r="H643" s="13" t="s">
        <v>2664</v>
      </c>
      <c r="I643" s="13" t="s">
        <v>2665</v>
      </c>
      <c r="J643" s="13" t="s">
        <v>170</v>
      </c>
      <c r="K643" s="13">
        <f t="shared" si="50"/>
        <v>2</v>
      </c>
      <c r="L643" s="13">
        <f t="shared" si="51"/>
        <v>0</v>
      </c>
      <c r="M643" s="13">
        <f>IF(AND(L643=0,COUNTIFS($B$2:$B$1534,B643,$G$2:$G$1534,G643,$E$2:$E$1534,"&gt;="&amp;(E643-Assumptions!$B$5),$E$2:$E$1534,"&lt;="&amp;(E643+Assumptions!$B$5))&gt;1),1,0)</f>
        <v>0</v>
      </c>
      <c r="N643" s="13">
        <f>IF(AND(G643&gt;=Assumptions!$B$4*(1-Assumptions!$B$6),G643&lt;Assumptions!$B$4),1,0)</f>
        <v>0</v>
      </c>
      <c r="O643" s="13">
        <f>IF(AND(G643&gt;=Assumptions!$B$7,MOD(G643,Assumptions!$B$7)=0),1,0)</f>
        <v>0</v>
      </c>
      <c r="P643" s="13">
        <f t="shared" si="52"/>
        <v>0</v>
      </c>
      <c r="Q643" s="13">
        <f t="shared" si="53"/>
        <v>0</v>
      </c>
      <c r="R643" s="13">
        <f>L643*Assumptions!$B$11+M643*Assumptions!$B$12+N643*Assumptions!$B$13+O643*Assumptions!$B$14+P643*Assumptions!$B$15+Q643*Assumptions!$B$16</f>
        <v>0</v>
      </c>
      <c r="S643" s="13" t="str">
        <f>IF(R643&gt;=Assumptions!$B$20,"High",IF(R643&gt;=Assumptions!$B$21,"Medium",IF(R643&gt;=1,"Low","Clear")))</f>
        <v>Clear</v>
      </c>
      <c r="T643" s="13" t="str">
        <f t="shared" si="54"/>
        <v/>
      </c>
    </row>
    <row r="644" spans="1:20" x14ac:dyDescent="0.35">
      <c r="A644" s="13" t="s">
        <v>2666</v>
      </c>
      <c r="B644" s="13" t="s">
        <v>188</v>
      </c>
      <c r="C644" s="13" t="s">
        <v>189</v>
      </c>
      <c r="D644" s="13" t="s">
        <v>2667</v>
      </c>
      <c r="E644" s="14">
        <v>45904</v>
      </c>
      <c r="F644" s="14">
        <v>45940</v>
      </c>
      <c r="G644" s="15">
        <v>1329.07</v>
      </c>
      <c r="H644" s="13" t="s">
        <v>2668</v>
      </c>
      <c r="I644" s="13" t="s">
        <v>2669</v>
      </c>
      <c r="J644" s="13" t="s">
        <v>143</v>
      </c>
      <c r="K644" s="13">
        <f t="shared" si="50"/>
        <v>1</v>
      </c>
      <c r="L644" s="13">
        <f t="shared" si="51"/>
        <v>0</v>
      </c>
      <c r="M644" s="13">
        <f>IF(AND(L644=0,COUNTIFS($B$2:$B$1534,B644,$G$2:$G$1534,G644,$E$2:$E$1534,"&gt;="&amp;(E644-Assumptions!$B$5),$E$2:$E$1534,"&lt;="&amp;(E644+Assumptions!$B$5))&gt;1),1,0)</f>
        <v>0</v>
      </c>
      <c r="N644" s="13">
        <f>IF(AND(G644&gt;=Assumptions!$B$4*(1-Assumptions!$B$6),G644&lt;Assumptions!$B$4),1,0)</f>
        <v>0</v>
      </c>
      <c r="O644" s="13">
        <f>IF(AND(G644&gt;=Assumptions!$B$7,MOD(G644,Assumptions!$B$7)=0),1,0)</f>
        <v>0</v>
      </c>
      <c r="P644" s="13">
        <f t="shared" si="52"/>
        <v>0</v>
      </c>
      <c r="Q644" s="13">
        <f t="shared" si="53"/>
        <v>0</v>
      </c>
      <c r="R644" s="13">
        <f>L644*Assumptions!$B$11+M644*Assumptions!$B$12+N644*Assumptions!$B$13+O644*Assumptions!$B$14+P644*Assumptions!$B$15+Q644*Assumptions!$B$16</f>
        <v>0</v>
      </c>
      <c r="S644" s="13" t="str">
        <f>IF(R644&gt;=Assumptions!$B$20,"High",IF(R644&gt;=Assumptions!$B$21,"Medium",IF(R644&gt;=1,"Low","Clear")))</f>
        <v>Clear</v>
      </c>
      <c r="T644" s="13" t="str">
        <f t="shared" si="54"/>
        <v/>
      </c>
    </row>
    <row r="645" spans="1:20" x14ac:dyDescent="0.35">
      <c r="A645" s="13" t="s">
        <v>2670</v>
      </c>
      <c r="B645" s="13" t="s">
        <v>252</v>
      </c>
      <c r="C645" s="13" t="s">
        <v>253</v>
      </c>
      <c r="D645" s="13" t="s">
        <v>2671</v>
      </c>
      <c r="E645" s="14">
        <v>45900</v>
      </c>
      <c r="F645" s="14">
        <v>45940</v>
      </c>
      <c r="G645" s="15">
        <v>13164.11</v>
      </c>
      <c r="H645" s="13" t="s">
        <v>2672</v>
      </c>
      <c r="I645" s="13" t="s">
        <v>2673</v>
      </c>
      <c r="J645" s="13" t="s">
        <v>91</v>
      </c>
      <c r="K645" s="13">
        <f t="shared" si="50"/>
        <v>1</v>
      </c>
      <c r="L645" s="13">
        <f t="shared" si="51"/>
        <v>0</v>
      </c>
      <c r="M645" s="13">
        <f>IF(AND(L645=0,COUNTIFS($B$2:$B$1534,B645,$G$2:$G$1534,G645,$E$2:$E$1534,"&gt;="&amp;(E645-Assumptions!$B$5),$E$2:$E$1534,"&lt;="&amp;(E645+Assumptions!$B$5))&gt;1),1,0)</f>
        <v>0</v>
      </c>
      <c r="N645" s="13">
        <f>IF(AND(G645&gt;=Assumptions!$B$4*(1-Assumptions!$B$6),G645&lt;Assumptions!$B$4),1,0)</f>
        <v>0</v>
      </c>
      <c r="O645" s="13">
        <f>IF(AND(G645&gt;=Assumptions!$B$7,MOD(G645,Assumptions!$B$7)=0),1,0)</f>
        <v>0</v>
      </c>
      <c r="P645" s="13">
        <f t="shared" si="52"/>
        <v>0</v>
      </c>
      <c r="Q645" s="13">
        <f t="shared" si="53"/>
        <v>0</v>
      </c>
      <c r="R645" s="13">
        <f>L645*Assumptions!$B$11+M645*Assumptions!$B$12+N645*Assumptions!$B$13+O645*Assumptions!$B$14+P645*Assumptions!$B$15+Q645*Assumptions!$B$16</f>
        <v>0</v>
      </c>
      <c r="S645" s="13" t="str">
        <f>IF(R645&gt;=Assumptions!$B$20,"High",IF(R645&gt;=Assumptions!$B$21,"Medium",IF(R645&gt;=1,"Low","Clear")))</f>
        <v>Clear</v>
      </c>
      <c r="T645" s="13" t="str">
        <f t="shared" si="54"/>
        <v/>
      </c>
    </row>
    <row r="646" spans="1:20" x14ac:dyDescent="0.35">
      <c r="A646" s="13" t="s">
        <v>2674</v>
      </c>
      <c r="B646" s="13" t="s">
        <v>113</v>
      </c>
      <c r="C646" s="13" t="s">
        <v>114</v>
      </c>
      <c r="D646" s="13" t="s">
        <v>2675</v>
      </c>
      <c r="E646" s="14">
        <v>45906</v>
      </c>
      <c r="F646" s="14">
        <v>45940</v>
      </c>
      <c r="G646" s="15">
        <v>7350.92</v>
      </c>
      <c r="H646" s="13" t="s">
        <v>2676</v>
      </c>
      <c r="I646" s="13" t="s">
        <v>2677</v>
      </c>
      <c r="J646" s="13" t="s">
        <v>143</v>
      </c>
      <c r="K646" s="13">
        <f t="shared" si="50"/>
        <v>7</v>
      </c>
      <c r="L646" s="13">
        <f t="shared" si="51"/>
        <v>0</v>
      </c>
      <c r="M646" s="13">
        <f>IF(AND(L646=0,COUNTIFS($B$2:$B$1534,B646,$G$2:$G$1534,G646,$E$2:$E$1534,"&gt;="&amp;(E646-Assumptions!$B$5),$E$2:$E$1534,"&lt;="&amp;(E646+Assumptions!$B$5))&gt;1),1,0)</f>
        <v>0</v>
      </c>
      <c r="N646" s="13">
        <f>IF(AND(G646&gt;=Assumptions!$B$4*(1-Assumptions!$B$6),G646&lt;Assumptions!$B$4),1,0)</f>
        <v>0</v>
      </c>
      <c r="O646" s="13">
        <f>IF(AND(G646&gt;=Assumptions!$B$7,MOD(G646,Assumptions!$B$7)=0),1,0)</f>
        <v>0</v>
      </c>
      <c r="P646" s="13">
        <f t="shared" si="52"/>
        <v>0</v>
      </c>
      <c r="Q646" s="13">
        <f t="shared" si="53"/>
        <v>0</v>
      </c>
      <c r="R646" s="13">
        <f>L646*Assumptions!$B$11+M646*Assumptions!$B$12+N646*Assumptions!$B$13+O646*Assumptions!$B$14+P646*Assumptions!$B$15+Q646*Assumptions!$B$16</f>
        <v>0</v>
      </c>
      <c r="S646" s="13" t="str">
        <f>IF(R646&gt;=Assumptions!$B$20,"High",IF(R646&gt;=Assumptions!$B$21,"Medium",IF(R646&gt;=1,"Low","Clear")))</f>
        <v>Clear</v>
      </c>
      <c r="T646" s="13" t="str">
        <f t="shared" si="54"/>
        <v/>
      </c>
    </row>
    <row r="647" spans="1:20" x14ac:dyDescent="0.35">
      <c r="A647" s="13" t="s">
        <v>2678</v>
      </c>
      <c r="B647" s="13" t="s">
        <v>307</v>
      </c>
      <c r="C647" s="13" t="s">
        <v>308</v>
      </c>
      <c r="D647" s="13" t="s">
        <v>2679</v>
      </c>
      <c r="E647" s="14">
        <v>45902</v>
      </c>
      <c r="F647" s="14">
        <v>45940</v>
      </c>
      <c r="G647" s="15">
        <v>147450.95000000001</v>
      </c>
      <c r="H647" s="13" t="s">
        <v>2680</v>
      </c>
      <c r="I647" s="13" t="s">
        <v>2681</v>
      </c>
      <c r="J647" s="13" t="s">
        <v>136</v>
      </c>
      <c r="K647" s="13">
        <f t="shared" si="50"/>
        <v>1</v>
      </c>
      <c r="L647" s="13">
        <f t="shared" si="51"/>
        <v>0</v>
      </c>
      <c r="M647" s="13">
        <f>IF(AND(L647=0,COUNTIFS($B$2:$B$1534,B647,$G$2:$G$1534,G647,$E$2:$E$1534,"&gt;="&amp;(E647-Assumptions!$B$5),$E$2:$E$1534,"&lt;="&amp;(E647+Assumptions!$B$5))&gt;1),1,0)</f>
        <v>0</v>
      </c>
      <c r="N647" s="13">
        <f>IF(AND(G647&gt;=Assumptions!$B$4*(1-Assumptions!$B$6),G647&lt;Assumptions!$B$4),1,0)</f>
        <v>0</v>
      </c>
      <c r="O647" s="13">
        <f>IF(AND(G647&gt;=Assumptions!$B$7,MOD(G647,Assumptions!$B$7)=0),1,0)</f>
        <v>0</v>
      </c>
      <c r="P647" s="13">
        <f t="shared" si="52"/>
        <v>0</v>
      </c>
      <c r="Q647" s="13">
        <f t="shared" si="53"/>
        <v>0</v>
      </c>
      <c r="R647" s="13">
        <f>L647*Assumptions!$B$11+M647*Assumptions!$B$12+N647*Assumptions!$B$13+O647*Assumptions!$B$14+P647*Assumptions!$B$15+Q647*Assumptions!$B$16</f>
        <v>0</v>
      </c>
      <c r="S647" s="13" t="str">
        <f>IF(R647&gt;=Assumptions!$B$20,"High",IF(R647&gt;=Assumptions!$B$21,"Medium",IF(R647&gt;=1,"Low","Clear")))</f>
        <v>Clear</v>
      </c>
      <c r="T647" s="13" t="str">
        <f t="shared" si="54"/>
        <v/>
      </c>
    </row>
    <row r="648" spans="1:20" x14ac:dyDescent="0.35">
      <c r="A648" s="13" t="s">
        <v>2682</v>
      </c>
      <c r="B648" s="13" t="s">
        <v>218</v>
      </c>
      <c r="C648" s="13" t="s">
        <v>219</v>
      </c>
      <c r="D648" s="13" t="s">
        <v>2683</v>
      </c>
      <c r="E648" s="14">
        <v>45908</v>
      </c>
      <c r="F648" s="14">
        <v>45940</v>
      </c>
      <c r="G648" s="15">
        <v>68314.77</v>
      </c>
      <c r="H648" s="13" t="s">
        <v>2684</v>
      </c>
      <c r="I648" s="13" t="s">
        <v>2685</v>
      </c>
      <c r="J648" s="13" t="s">
        <v>91</v>
      </c>
      <c r="K648" s="13">
        <f t="shared" si="50"/>
        <v>6</v>
      </c>
      <c r="L648" s="13">
        <f t="shared" si="51"/>
        <v>0</v>
      </c>
      <c r="M648" s="13">
        <f>IF(AND(L648=0,COUNTIFS($B$2:$B$1534,B648,$G$2:$G$1534,G648,$E$2:$E$1534,"&gt;="&amp;(E648-Assumptions!$B$5),$E$2:$E$1534,"&lt;="&amp;(E648+Assumptions!$B$5))&gt;1),1,0)</f>
        <v>0</v>
      </c>
      <c r="N648" s="13">
        <f>IF(AND(G648&gt;=Assumptions!$B$4*(1-Assumptions!$B$6),G648&lt;Assumptions!$B$4),1,0)</f>
        <v>0</v>
      </c>
      <c r="O648" s="13">
        <f>IF(AND(G648&gt;=Assumptions!$B$7,MOD(G648,Assumptions!$B$7)=0),1,0)</f>
        <v>0</v>
      </c>
      <c r="P648" s="13">
        <f t="shared" si="52"/>
        <v>0</v>
      </c>
      <c r="Q648" s="13">
        <f t="shared" si="53"/>
        <v>0</v>
      </c>
      <c r="R648" s="13">
        <f>L648*Assumptions!$B$11+M648*Assumptions!$B$12+N648*Assumptions!$B$13+O648*Assumptions!$B$14+P648*Assumptions!$B$15+Q648*Assumptions!$B$16</f>
        <v>0</v>
      </c>
      <c r="S648" s="13" t="str">
        <f>IF(R648&gt;=Assumptions!$B$20,"High",IF(R648&gt;=Assumptions!$B$21,"Medium",IF(R648&gt;=1,"Low","Clear")))</f>
        <v>Clear</v>
      </c>
      <c r="T648" s="13" t="str">
        <f t="shared" si="54"/>
        <v/>
      </c>
    </row>
    <row r="649" spans="1:20" x14ac:dyDescent="0.35">
      <c r="A649" s="13" t="s">
        <v>2686</v>
      </c>
      <c r="B649" s="13" t="s">
        <v>391</v>
      </c>
      <c r="C649" s="13" t="s">
        <v>392</v>
      </c>
      <c r="D649" s="13" t="s">
        <v>2687</v>
      </c>
      <c r="E649" s="14">
        <v>45916</v>
      </c>
      <c r="F649" s="14">
        <v>45941</v>
      </c>
      <c r="G649" s="15">
        <v>47194.31</v>
      </c>
      <c r="H649" s="13" t="s">
        <v>2688</v>
      </c>
      <c r="I649" s="13" t="s">
        <v>2689</v>
      </c>
      <c r="J649" s="13" t="s">
        <v>170</v>
      </c>
      <c r="K649" s="13">
        <f t="shared" si="50"/>
        <v>4</v>
      </c>
      <c r="L649" s="13">
        <f t="shared" si="51"/>
        <v>0</v>
      </c>
      <c r="M649" s="13">
        <f>IF(AND(L649=0,COUNTIFS($B$2:$B$1534,B649,$G$2:$G$1534,G649,$E$2:$E$1534,"&gt;="&amp;(E649-Assumptions!$B$5),$E$2:$E$1534,"&lt;="&amp;(E649+Assumptions!$B$5))&gt;1),1,0)</f>
        <v>0</v>
      </c>
      <c r="N649" s="13">
        <f>IF(AND(G649&gt;=Assumptions!$B$4*(1-Assumptions!$B$6),G649&lt;Assumptions!$B$4),1,0)</f>
        <v>0</v>
      </c>
      <c r="O649" s="13">
        <f>IF(AND(G649&gt;=Assumptions!$B$7,MOD(G649,Assumptions!$B$7)=0),1,0)</f>
        <v>0</v>
      </c>
      <c r="P649" s="13">
        <f t="shared" si="52"/>
        <v>0</v>
      </c>
      <c r="Q649" s="13">
        <f t="shared" si="53"/>
        <v>1</v>
      </c>
      <c r="R649" s="13">
        <f>L649*Assumptions!$B$11+M649*Assumptions!$B$12+N649*Assumptions!$B$13+O649*Assumptions!$B$14+P649*Assumptions!$B$15+Q649*Assumptions!$B$16</f>
        <v>1</v>
      </c>
      <c r="S649" s="13" t="str">
        <f>IF(R649&gt;=Assumptions!$B$20,"High",IF(R649&gt;=Assumptions!$B$21,"Medium",IF(R649&gt;=1,"Low","Clear")))</f>
        <v>Low</v>
      </c>
      <c r="T649" s="13" t="str">
        <f t="shared" si="54"/>
        <v xml:space="preserve">Weekend payment; </v>
      </c>
    </row>
    <row r="650" spans="1:20" x14ac:dyDescent="0.35">
      <c r="A650" s="13" t="s">
        <v>2690</v>
      </c>
      <c r="B650" s="13" t="s">
        <v>176</v>
      </c>
      <c r="C650" s="13" t="s">
        <v>177</v>
      </c>
      <c r="D650" s="13" t="s">
        <v>2691</v>
      </c>
      <c r="E650" s="14">
        <v>45918</v>
      </c>
      <c r="F650" s="14">
        <v>45943</v>
      </c>
      <c r="G650" s="15">
        <v>81534.259999999995</v>
      </c>
      <c r="H650" s="13" t="s">
        <v>2692</v>
      </c>
      <c r="I650" s="13"/>
      <c r="J650" s="13" t="s">
        <v>136</v>
      </c>
      <c r="K650" s="13">
        <f t="shared" si="50"/>
        <v>8</v>
      </c>
      <c r="L650" s="13">
        <f t="shared" si="51"/>
        <v>0</v>
      </c>
      <c r="M650" s="13">
        <f>IF(AND(L650=0,COUNTIFS($B$2:$B$1534,B650,$G$2:$G$1534,G650,$E$2:$E$1534,"&gt;="&amp;(E650-Assumptions!$B$5),$E$2:$E$1534,"&lt;="&amp;(E650+Assumptions!$B$5))&gt;1),1,0)</f>
        <v>0</v>
      </c>
      <c r="N650" s="13">
        <f>IF(AND(G650&gt;=Assumptions!$B$4*(1-Assumptions!$B$6),G650&lt;Assumptions!$B$4),1,0)</f>
        <v>0</v>
      </c>
      <c r="O650" s="13">
        <f>IF(AND(G650&gt;=Assumptions!$B$7,MOD(G650,Assumptions!$B$7)=0),1,0)</f>
        <v>0</v>
      </c>
      <c r="P650" s="13">
        <f t="shared" si="52"/>
        <v>1</v>
      </c>
      <c r="Q650" s="13">
        <f t="shared" si="53"/>
        <v>0</v>
      </c>
      <c r="R650" s="13">
        <f>L650*Assumptions!$B$11+M650*Assumptions!$B$12+N650*Assumptions!$B$13+O650*Assumptions!$B$14+P650*Assumptions!$B$15+Q650*Assumptions!$B$16</f>
        <v>4</v>
      </c>
      <c r="S650" s="13" t="str">
        <f>IF(R650&gt;=Assumptions!$B$20,"High",IF(R650&gt;=Assumptions!$B$21,"Medium",IF(R650&gt;=1,"Low","Clear")))</f>
        <v>Medium</v>
      </c>
      <c r="T650" s="13" t="str">
        <f t="shared" si="54"/>
        <v xml:space="preserve">No PO/GRN; </v>
      </c>
    </row>
    <row r="651" spans="1:20" x14ac:dyDescent="0.35">
      <c r="A651" s="13" t="s">
        <v>2693</v>
      </c>
      <c r="B651" s="13" t="s">
        <v>670</v>
      </c>
      <c r="C651" s="13" t="s">
        <v>671</v>
      </c>
      <c r="D651" s="13" t="s">
        <v>2694</v>
      </c>
      <c r="E651" s="14">
        <v>45914</v>
      </c>
      <c r="F651" s="14">
        <v>45943</v>
      </c>
      <c r="G651" s="15">
        <v>1968.76</v>
      </c>
      <c r="H651" s="13" t="s">
        <v>2695</v>
      </c>
      <c r="I651" s="13" t="s">
        <v>2696</v>
      </c>
      <c r="J651" s="13" t="s">
        <v>143</v>
      </c>
      <c r="K651" s="13">
        <f t="shared" si="50"/>
        <v>1</v>
      </c>
      <c r="L651" s="13">
        <f t="shared" si="51"/>
        <v>0</v>
      </c>
      <c r="M651" s="13">
        <f>IF(AND(L651=0,COUNTIFS($B$2:$B$1534,B651,$G$2:$G$1534,G651,$E$2:$E$1534,"&gt;="&amp;(E651-Assumptions!$B$5),$E$2:$E$1534,"&lt;="&amp;(E651+Assumptions!$B$5))&gt;1),1,0)</f>
        <v>0</v>
      </c>
      <c r="N651" s="13">
        <f>IF(AND(G651&gt;=Assumptions!$B$4*(1-Assumptions!$B$6),G651&lt;Assumptions!$B$4),1,0)</f>
        <v>0</v>
      </c>
      <c r="O651" s="13">
        <f>IF(AND(G651&gt;=Assumptions!$B$7,MOD(G651,Assumptions!$B$7)=0),1,0)</f>
        <v>0</v>
      </c>
      <c r="P651" s="13">
        <f t="shared" si="52"/>
        <v>0</v>
      </c>
      <c r="Q651" s="13">
        <f t="shared" si="53"/>
        <v>0</v>
      </c>
      <c r="R651" s="13">
        <f>L651*Assumptions!$B$11+M651*Assumptions!$B$12+N651*Assumptions!$B$13+O651*Assumptions!$B$14+P651*Assumptions!$B$15+Q651*Assumptions!$B$16</f>
        <v>0</v>
      </c>
      <c r="S651" s="13" t="str">
        <f>IF(R651&gt;=Assumptions!$B$20,"High",IF(R651&gt;=Assumptions!$B$21,"Medium",IF(R651&gt;=1,"Low","Clear")))</f>
        <v>Clear</v>
      </c>
      <c r="T651" s="13" t="str">
        <f t="shared" si="54"/>
        <v/>
      </c>
    </row>
    <row r="652" spans="1:20" x14ac:dyDescent="0.35">
      <c r="A652" s="13" t="s">
        <v>2697</v>
      </c>
      <c r="B652" s="13" t="s">
        <v>498</v>
      </c>
      <c r="C652" s="13" t="s">
        <v>499</v>
      </c>
      <c r="D652" s="13" t="s">
        <v>2698</v>
      </c>
      <c r="E652" s="14">
        <v>45918</v>
      </c>
      <c r="F652" s="14">
        <v>45943</v>
      </c>
      <c r="G652" s="15">
        <v>80549.039999999994</v>
      </c>
      <c r="H652" s="13" t="s">
        <v>2699</v>
      </c>
      <c r="I652" s="13" t="s">
        <v>2700</v>
      </c>
      <c r="J652" s="13" t="s">
        <v>136</v>
      </c>
      <c r="K652" s="13">
        <f t="shared" si="50"/>
        <v>8</v>
      </c>
      <c r="L652" s="13">
        <f t="shared" si="51"/>
        <v>0</v>
      </c>
      <c r="M652" s="13">
        <f>IF(AND(L652=0,COUNTIFS($B$2:$B$1534,B652,$G$2:$G$1534,G652,$E$2:$E$1534,"&gt;="&amp;(E652-Assumptions!$B$5),$E$2:$E$1534,"&lt;="&amp;(E652+Assumptions!$B$5))&gt;1),1,0)</f>
        <v>0</v>
      </c>
      <c r="N652" s="13">
        <f>IF(AND(G652&gt;=Assumptions!$B$4*(1-Assumptions!$B$6),G652&lt;Assumptions!$B$4),1,0)</f>
        <v>0</v>
      </c>
      <c r="O652" s="13">
        <f>IF(AND(G652&gt;=Assumptions!$B$7,MOD(G652,Assumptions!$B$7)=0),1,0)</f>
        <v>0</v>
      </c>
      <c r="P652" s="13">
        <f t="shared" si="52"/>
        <v>0</v>
      </c>
      <c r="Q652" s="13">
        <f t="shared" si="53"/>
        <v>0</v>
      </c>
      <c r="R652" s="13">
        <f>L652*Assumptions!$B$11+M652*Assumptions!$B$12+N652*Assumptions!$B$13+O652*Assumptions!$B$14+P652*Assumptions!$B$15+Q652*Assumptions!$B$16</f>
        <v>0</v>
      </c>
      <c r="S652" s="13" t="str">
        <f>IF(R652&gt;=Assumptions!$B$20,"High",IF(R652&gt;=Assumptions!$B$21,"Medium",IF(R652&gt;=1,"Low","Clear")))</f>
        <v>Clear</v>
      </c>
      <c r="T652" s="13" t="str">
        <f t="shared" si="54"/>
        <v/>
      </c>
    </row>
    <row r="653" spans="1:20" x14ac:dyDescent="0.35">
      <c r="A653" s="13" t="s">
        <v>2701</v>
      </c>
      <c r="B653" s="13" t="s">
        <v>279</v>
      </c>
      <c r="C653" s="13" t="s">
        <v>280</v>
      </c>
      <c r="D653" s="13" t="s">
        <v>2702</v>
      </c>
      <c r="E653" s="14">
        <v>45909</v>
      </c>
      <c r="F653" s="14">
        <v>45943</v>
      </c>
      <c r="G653" s="15">
        <v>735084.15</v>
      </c>
      <c r="H653" s="13" t="s">
        <v>2703</v>
      </c>
      <c r="I653" s="13" t="s">
        <v>2704</v>
      </c>
      <c r="J653" s="13" t="s">
        <v>111</v>
      </c>
      <c r="K653" s="13">
        <f t="shared" si="50"/>
        <v>7</v>
      </c>
      <c r="L653" s="13">
        <f t="shared" si="51"/>
        <v>0</v>
      </c>
      <c r="M653" s="13">
        <f>IF(AND(L653=0,COUNTIFS($B$2:$B$1534,B653,$G$2:$G$1534,G653,$E$2:$E$1534,"&gt;="&amp;(E653-Assumptions!$B$5),$E$2:$E$1534,"&lt;="&amp;(E653+Assumptions!$B$5))&gt;1),1,0)</f>
        <v>0</v>
      </c>
      <c r="N653" s="13">
        <f>IF(AND(G653&gt;=Assumptions!$B$4*(1-Assumptions!$B$6),G653&lt;Assumptions!$B$4),1,0)</f>
        <v>0</v>
      </c>
      <c r="O653" s="13">
        <f>IF(AND(G653&gt;=Assumptions!$B$7,MOD(G653,Assumptions!$B$7)=0),1,0)</f>
        <v>0</v>
      </c>
      <c r="P653" s="13">
        <f t="shared" si="52"/>
        <v>0</v>
      </c>
      <c r="Q653" s="13">
        <f t="shared" si="53"/>
        <v>0</v>
      </c>
      <c r="R653" s="13">
        <f>L653*Assumptions!$B$11+M653*Assumptions!$B$12+N653*Assumptions!$B$13+O653*Assumptions!$B$14+P653*Assumptions!$B$15+Q653*Assumptions!$B$16</f>
        <v>0</v>
      </c>
      <c r="S653" s="13" t="str">
        <f>IF(R653&gt;=Assumptions!$B$20,"High",IF(R653&gt;=Assumptions!$B$21,"Medium",IF(R653&gt;=1,"Low","Clear")))</f>
        <v>Clear</v>
      </c>
      <c r="T653" s="13" t="str">
        <f t="shared" si="54"/>
        <v/>
      </c>
    </row>
    <row r="654" spans="1:20" x14ac:dyDescent="0.35">
      <c r="A654" s="13" t="s">
        <v>2705</v>
      </c>
      <c r="B654" s="13" t="s">
        <v>774</v>
      </c>
      <c r="C654" s="13" t="s">
        <v>775</v>
      </c>
      <c r="D654" s="13" t="s">
        <v>2706</v>
      </c>
      <c r="E654" s="14">
        <v>45904</v>
      </c>
      <c r="F654" s="14">
        <v>45943</v>
      </c>
      <c r="G654" s="15">
        <v>12795.62</v>
      </c>
      <c r="H654" s="13" t="s">
        <v>2707</v>
      </c>
      <c r="I654" s="13" t="s">
        <v>2708</v>
      </c>
      <c r="J654" s="13" t="s">
        <v>170</v>
      </c>
      <c r="K654" s="13">
        <f t="shared" si="50"/>
        <v>1</v>
      </c>
      <c r="L654" s="13">
        <f t="shared" si="51"/>
        <v>0</v>
      </c>
      <c r="M654" s="13">
        <f>IF(AND(L654=0,COUNTIFS($B$2:$B$1534,B654,$G$2:$G$1534,G654,$E$2:$E$1534,"&gt;="&amp;(E654-Assumptions!$B$5),$E$2:$E$1534,"&lt;="&amp;(E654+Assumptions!$B$5))&gt;1),1,0)</f>
        <v>0</v>
      </c>
      <c r="N654" s="13">
        <f>IF(AND(G654&gt;=Assumptions!$B$4*(1-Assumptions!$B$6),G654&lt;Assumptions!$B$4),1,0)</f>
        <v>0</v>
      </c>
      <c r="O654" s="13">
        <f>IF(AND(G654&gt;=Assumptions!$B$7,MOD(G654,Assumptions!$B$7)=0),1,0)</f>
        <v>0</v>
      </c>
      <c r="P654" s="13">
        <f t="shared" si="52"/>
        <v>0</v>
      </c>
      <c r="Q654" s="13">
        <f t="shared" si="53"/>
        <v>0</v>
      </c>
      <c r="R654" s="13">
        <f>L654*Assumptions!$B$11+M654*Assumptions!$B$12+N654*Assumptions!$B$13+O654*Assumptions!$B$14+P654*Assumptions!$B$15+Q654*Assumptions!$B$16</f>
        <v>0</v>
      </c>
      <c r="S654" s="13" t="str">
        <f>IF(R654&gt;=Assumptions!$B$20,"High",IF(R654&gt;=Assumptions!$B$21,"Medium",IF(R654&gt;=1,"Low","Clear")))</f>
        <v>Clear</v>
      </c>
      <c r="T654" s="13" t="str">
        <f t="shared" si="54"/>
        <v/>
      </c>
    </row>
    <row r="655" spans="1:20" x14ac:dyDescent="0.35">
      <c r="A655" s="13" t="s">
        <v>2709</v>
      </c>
      <c r="B655" s="13" t="s">
        <v>206</v>
      </c>
      <c r="C655" s="13" t="s">
        <v>207</v>
      </c>
      <c r="D655" s="13" t="s">
        <v>2710</v>
      </c>
      <c r="E655" s="14">
        <v>45911</v>
      </c>
      <c r="F655" s="14">
        <v>45943</v>
      </c>
      <c r="G655" s="15">
        <v>843572.44</v>
      </c>
      <c r="H655" s="13" t="s">
        <v>2711</v>
      </c>
      <c r="I655" s="13" t="s">
        <v>2712</v>
      </c>
      <c r="J655" s="13" t="s">
        <v>91</v>
      </c>
      <c r="K655" s="13">
        <f t="shared" si="50"/>
        <v>8</v>
      </c>
      <c r="L655" s="13">
        <f t="shared" si="51"/>
        <v>0</v>
      </c>
      <c r="M655" s="13">
        <f>IF(AND(L655=0,COUNTIFS($B$2:$B$1534,B655,$G$2:$G$1534,G655,$E$2:$E$1534,"&gt;="&amp;(E655-Assumptions!$B$5),$E$2:$E$1534,"&lt;="&amp;(E655+Assumptions!$B$5))&gt;1),1,0)</f>
        <v>0</v>
      </c>
      <c r="N655" s="13">
        <f>IF(AND(G655&gt;=Assumptions!$B$4*(1-Assumptions!$B$6),G655&lt;Assumptions!$B$4),1,0)</f>
        <v>0</v>
      </c>
      <c r="O655" s="13">
        <f>IF(AND(G655&gt;=Assumptions!$B$7,MOD(G655,Assumptions!$B$7)=0),1,0)</f>
        <v>0</v>
      </c>
      <c r="P655" s="13">
        <f t="shared" si="52"/>
        <v>0</v>
      </c>
      <c r="Q655" s="13">
        <f t="shared" si="53"/>
        <v>0</v>
      </c>
      <c r="R655" s="13">
        <f>L655*Assumptions!$B$11+M655*Assumptions!$B$12+N655*Assumptions!$B$13+O655*Assumptions!$B$14+P655*Assumptions!$B$15+Q655*Assumptions!$B$16</f>
        <v>0</v>
      </c>
      <c r="S655" s="13" t="str">
        <f>IF(R655&gt;=Assumptions!$B$20,"High",IF(R655&gt;=Assumptions!$B$21,"Medium",IF(R655&gt;=1,"Low","Clear")))</f>
        <v>Clear</v>
      </c>
      <c r="T655" s="13" t="str">
        <f t="shared" si="54"/>
        <v/>
      </c>
    </row>
    <row r="656" spans="1:20" x14ac:dyDescent="0.35">
      <c r="A656" s="13" t="s">
        <v>2713</v>
      </c>
      <c r="B656" s="13" t="s">
        <v>212</v>
      </c>
      <c r="C656" s="13" t="s">
        <v>213</v>
      </c>
      <c r="D656" s="13" t="s">
        <v>2714</v>
      </c>
      <c r="E656" s="14">
        <v>45919</v>
      </c>
      <c r="F656" s="14">
        <v>45943</v>
      </c>
      <c r="G656" s="15">
        <v>2338.5700000000002</v>
      </c>
      <c r="H656" s="13" t="s">
        <v>2715</v>
      </c>
      <c r="I656" s="13" t="s">
        <v>2716</v>
      </c>
      <c r="J656" s="13" t="s">
        <v>98</v>
      </c>
      <c r="K656" s="13">
        <f t="shared" si="50"/>
        <v>2</v>
      </c>
      <c r="L656" s="13">
        <f t="shared" si="51"/>
        <v>0</v>
      </c>
      <c r="M656" s="13">
        <f>IF(AND(L656=0,COUNTIFS($B$2:$B$1534,B656,$G$2:$G$1534,G656,$E$2:$E$1534,"&gt;="&amp;(E656-Assumptions!$B$5),$E$2:$E$1534,"&lt;="&amp;(E656+Assumptions!$B$5))&gt;1),1,0)</f>
        <v>0</v>
      </c>
      <c r="N656" s="13">
        <f>IF(AND(G656&gt;=Assumptions!$B$4*(1-Assumptions!$B$6),G656&lt;Assumptions!$B$4),1,0)</f>
        <v>0</v>
      </c>
      <c r="O656" s="13">
        <f>IF(AND(G656&gt;=Assumptions!$B$7,MOD(G656,Assumptions!$B$7)=0),1,0)</f>
        <v>0</v>
      </c>
      <c r="P656" s="13">
        <f t="shared" si="52"/>
        <v>0</v>
      </c>
      <c r="Q656" s="13">
        <f t="shared" si="53"/>
        <v>0</v>
      </c>
      <c r="R656" s="13">
        <f>L656*Assumptions!$B$11+M656*Assumptions!$B$12+N656*Assumptions!$B$13+O656*Assumptions!$B$14+P656*Assumptions!$B$15+Q656*Assumptions!$B$16</f>
        <v>0</v>
      </c>
      <c r="S656" s="13" t="str">
        <f>IF(R656&gt;=Assumptions!$B$20,"High",IF(R656&gt;=Assumptions!$B$21,"Medium",IF(R656&gt;=1,"Low","Clear")))</f>
        <v>Clear</v>
      </c>
      <c r="T656" s="13" t="str">
        <f t="shared" si="54"/>
        <v/>
      </c>
    </row>
    <row r="657" spans="1:20" x14ac:dyDescent="0.35">
      <c r="A657" s="13" t="s">
        <v>2717</v>
      </c>
      <c r="B657" s="13" t="s">
        <v>218</v>
      </c>
      <c r="C657" s="13" t="s">
        <v>219</v>
      </c>
      <c r="D657" s="13" t="s">
        <v>2718</v>
      </c>
      <c r="E657" s="14">
        <v>45910</v>
      </c>
      <c r="F657" s="14">
        <v>45943</v>
      </c>
      <c r="G657" s="15">
        <v>2087.63</v>
      </c>
      <c r="H657" s="13" t="s">
        <v>2719</v>
      </c>
      <c r="I657" s="13" t="s">
        <v>2720</v>
      </c>
      <c r="J657" s="13" t="s">
        <v>98</v>
      </c>
      <c r="K657" s="13">
        <f t="shared" si="50"/>
        <v>2</v>
      </c>
      <c r="L657" s="13">
        <f t="shared" si="51"/>
        <v>0</v>
      </c>
      <c r="M657" s="13">
        <f>IF(AND(L657=0,COUNTIFS($B$2:$B$1534,B657,$G$2:$G$1534,G657,$E$2:$E$1534,"&gt;="&amp;(E657-Assumptions!$B$5),$E$2:$E$1534,"&lt;="&amp;(E657+Assumptions!$B$5))&gt;1),1,0)</f>
        <v>0</v>
      </c>
      <c r="N657" s="13">
        <f>IF(AND(G657&gt;=Assumptions!$B$4*(1-Assumptions!$B$6),G657&lt;Assumptions!$B$4),1,0)</f>
        <v>0</v>
      </c>
      <c r="O657" s="13">
        <f>IF(AND(G657&gt;=Assumptions!$B$7,MOD(G657,Assumptions!$B$7)=0),1,0)</f>
        <v>0</v>
      </c>
      <c r="P657" s="13">
        <f t="shared" si="52"/>
        <v>0</v>
      </c>
      <c r="Q657" s="13">
        <f t="shared" si="53"/>
        <v>0</v>
      </c>
      <c r="R657" s="13">
        <f>L657*Assumptions!$B$11+M657*Assumptions!$B$12+N657*Assumptions!$B$13+O657*Assumptions!$B$14+P657*Assumptions!$B$15+Q657*Assumptions!$B$16</f>
        <v>0</v>
      </c>
      <c r="S657" s="13" t="str">
        <f>IF(R657&gt;=Assumptions!$B$20,"High",IF(R657&gt;=Assumptions!$B$21,"Medium",IF(R657&gt;=1,"Low","Clear")))</f>
        <v>Clear</v>
      </c>
      <c r="T657" s="13" t="str">
        <f t="shared" si="54"/>
        <v/>
      </c>
    </row>
    <row r="658" spans="1:20" x14ac:dyDescent="0.35">
      <c r="A658" s="13" t="s">
        <v>2721</v>
      </c>
      <c r="B658" s="13" t="s">
        <v>100</v>
      </c>
      <c r="C658" s="13" t="s">
        <v>101</v>
      </c>
      <c r="D658" s="13" t="s">
        <v>2722</v>
      </c>
      <c r="E658" s="14">
        <v>45903</v>
      </c>
      <c r="F658" s="14">
        <v>45943</v>
      </c>
      <c r="G658" s="15">
        <v>275041</v>
      </c>
      <c r="H658" s="13" t="s">
        <v>2723</v>
      </c>
      <c r="I658" s="13" t="s">
        <v>2724</v>
      </c>
      <c r="J658" s="13" t="s">
        <v>136</v>
      </c>
      <c r="K658" s="13">
        <f t="shared" si="50"/>
        <v>2</v>
      </c>
      <c r="L658" s="13">
        <f t="shared" si="51"/>
        <v>0</v>
      </c>
      <c r="M658" s="13">
        <f>IF(AND(L658=0,COUNTIFS($B$2:$B$1534,B658,$G$2:$G$1534,G658,$E$2:$E$1534,"&gt;="&amp;(E658-Assumptions!$B$5),$E$2:$E$1534,"&lt;="&amp;(E658+Assumptions!$B$5))&gt;1),1,0)</f>
        <v>0</v>
      </c>
      <c r="N658" s="13">
        <f>IF(AND(G658&gt;=Assumptions!$B$4*(1-Assumptions!$B$6),G658&lt;Assumptions!$B$4),1,0)</f>
        <v>0</v>
      </c>
      <c r="O658" s="13">
        <f>IF(AND(G658&gt;=Assumptions!$B$7,MOD(G658,Assumptions!$B$7)=0),1,0)</f>
        <v>0</v>
      </c>
      <c r="P658" s="13">
        <f t="shared" si="52"/>
        <v>0</v>
      </c>
      <c r="Q658" s="13">
        <f t="shared" si="53"/>
        <v>0</v>
      </c>
      <c r="R658" s="13">
        <f>L658*Assumptions!$B$11+M658*Assumptions!$B$12+N658*Assumptions!$B$13+O658*Assumptions!$B$14+P658*Assumptions!$B$15+Q658*Assumptions!$B$16</f>
        <v>0</v>
      </c>
      <c r="S658" s="13" t="str">
        <f>IF(R658&gt;=Assumptions!$B$20,"High",IF(R658&gt;=Assumptions!$B$21,"Medium",IF(R658&gt;=1,"Low","Clear")))</f>
        <v>Clear</v>
      </c>
      <c r="T658" s="13" t="str">
        <f t="shared" si="54"/>
        <v/>
      </c>
    </row>
    <row r="659" spans="1:20" x14ac:dyDescent="0.35">
      <c r="A659" s="13" t="s">
        <v>2725</v>
      </c>
      <c r="B659" s="13" t="s">
        <v>339</v>
      </c>
      <c r="C659" s="13" t="s">
        <v>340</v>
      </c>
      <c r="D659" s="13" t="s">
        <v>2726</v>
      </c>
      <c r="E659" s="14">
        <v>45908</v>
      </c>
      <c r="F659" s="14">
        <v>45943</v>
      </c>
      <c r="G659" s="15">
        <v>476447.91</v>
      </c>
      <c r="H659" s="13" t="s">
        <v>2727</v>
      </c>
      <c r="I659" s="13" t="s">
        <v>2728</v>
      </c>
      <c r="J659" s="13" t="s">
        <v>143</v>
      </c>
      <c r="K659" s="13">
        <f t="shared" si="50"/>
        <v>4</v>
      </c>
      <c r="L659" s="13">
        <f t="shared" si="51"/>
        <v>0</v>
      </c>
      <c r="M659" s="13">
        <f>IF(AND(L659=0,COUNTIFS($B$2:$B$1534,B659,$G$2:$G$1534,G659,$E$2:$E$1534,"&gt;="&amp;(E659-Assumptions!$B$5),$E$2:$E$1534,"&lt;="&amp;(E659+Assumptions!$B$5))&gt;1),1,0)</f>
        <v>0</v>
      </c>
      <c r="N659" s="13">
        <f>IF(AND(G659&gt;=Assumptions!$B$4*(1-Assumptions!$B$6),G659&lt;Assumptions!$B$4),1,0)</f>
        <v>0</v>
      </c>
      <c r="O659" s="13">
        <f>IF(AND(G659&gt;=Assumptions!$B$7,MOD(G659,Assumptions!$B$7)=0),1,0)</f>
        <v>0</v>
      </c>
      <c r="P659" s="13">
        <f t="shared" si="52"/>
        <v>0</v>
      </c>
      <c r="Q659" s="13">
        <f t="shared" si="53"/>
        <v>0</v>
      </c>
      <c r="R659" s="13">
        <f>L659*Assumptions!$B$11+M659*Assumptions!$B$12+N659*Assumptions!$B$13+O659*Assumptions!$B$14+P659*Assumptions!$B$15+Q659*Assumptions!$B$16</f>
        <v>0</v>
      </c>
      <c r="S659" s="13" t="str">
        <f>IF(R659&gt;=Assumptions!$B$20,"High",IF(R659&gt;=Assumptions!$B$21,"Medium",IF(R659&gt;=1,"Low","Clear")))</f>
        <v>Clear</v>
      </c>
      <c r="T659" s="13" t="str">
        <f t="shared" si="54"/>
        <v/>
      </c>
    </row>
    <row r="660" spans="1:20" x14ac:dyDescent="0.35">
      <c r="A660" s="13" t="s">
        <v>2729</v>
      </c>
      <c r="B660" s="13" t="s">
        <v>188</v>
      </c>
      <c r="C660" s="13" t="s">
        <v>189</v>
      </c>
      <c r="D660" s="13" t="s">
        <v>2730</v>
      </c>
      <c r="E660" s="14">
        <v>45910</v>
      </c>
      <c r="F660" s="14">
        <v>45944</v>
      </c>
      <c r="G660" s="15">
        <v>45641.85</v>
      </c>
      <c r="H660" s="13" t="s">
        <v>2731</v>
      </c>
      <c r="I660" s="13" t="s">
        <v>2732</v>
      </c>
      <c r="J660" s="13" t="s">
        <v>111</v>
      </c>
      <c r="K660" s="13">
        <f t="shared" si="50"/>
        <v>4</v>
      </c>
      <c r="L660" s="13">
        <f t="shared" si="51"/>
        <v>0</v>
      </c>
      <c r="M660" s="13">
        <f>IF(AND(L660=0,COUNTIFS($B$2:$B$1534,B660,$G$2:$G$1534,G660,$E$2:$E$1534,"&gt;="&amp;(E660-Assumptions!$B$5),$E$2:$E$1534,"&lt;="&amp;(E660+Assumptions!$B$5))&gt;1),1,0)</f>
        <v>0</v>
      </c>
      <c r="N660" s="13">
        <f>IF(AND(G660&gt;=Assumptions!$B$4*(1-Assumptions!$B$6),G660&lt;Assumptions!$B$4),1,0)</f>
        <v>0</v>
      </c>
      <c r="O660" s="13">
        <f>IF(AND(G660&gt;=Assumptions!$B$7,MOD(G660,Assumptions!$B$7)=0),1,0)</f>
        <v>0</v>
      </c>
      <c r="P660" s="13">
        <f t="shared" si="52"/>
        <v>0</v>
      </c>
      <c r="Q660" s="13">
        <f t="shared" si="53"/>
        <v>0</v>
      </c>
      <c r="R660" s="13">
        <f>L660*Assumptions!$B$11+M660*Assumptions!$B$12+N660*Assumptions!$B$13+O660*Assumptions!$B$14+P660*Assumptions!$B$15+Q660*Assumptions!$B$16</f>
        <v>0</v>
      </c>
      <c r="S660" s="13" t="str">
        <f>IF(R660&gt;=Assumptions!$B$20,"High",IF(R660&gt;=Assumptions!$B$21,"Medium",IF(R660&gt;=1,"Low","Clear")))</f>
        <v>Clear</v>
      </c>
      <c r="T660" s="13" t="str">
        <f t="shared" si="54"/>
        <v/>
      </c>
    </row>
    <row r="661" spans="1:20" x14ac:dyDescent="0.35">
      <c r="A661" s="13" t="s">
        <v>2733</v>
      </c>
      <c r="B661" s="13" t="s">
        <v>228</v>
      </c>
      <c r="C661" s="13" t="s">
        <v>229</v>
      </c>
      <c r="D661" s="13" t="s">
        <v>2734</v>
      </c>
      <c r="E661" s="14">
        <v>45909</v>
      </c>
      <c r="F661" s="14">
        <v>45944</v>
      </c>
      <c r="G661" s="15">
        <v>398399</v>
      </c>
      <c r="H661" s="13" t="s">
        <v>2735</v>
      </c>
      <c r="I661" s="13" t="s">
        <v>2736</v>
      </c>
      <c r="J661" s="13" t="s">
        <v>143</v>
      </c>
      <c r="K661" s="13">
        <f t="shared" si="50"/>
        <v>3</v>
      </c>
      <c r="L661" s="13">
        <f t="shared" si="51"/>
        <v>0</v>
      </c>
      <c r="M661" s="13">
        <f>IF(AND(L661=0,COUNTIFS($B$2:$B$1534,B661,$G$2:$G$1534,G661,$E$2:$E$1534,"&gt;="&amp;(E661-Assumptions!$B$5),$E$2:$E$1534,"&lt;="&amp;(E661+Assumptions!$B$5))&gt;1),1,0)</f>
        <v>0</v>
      </c>
      <c r="N661" s="13">
        <f>IF(AND(G661&gt;=Assumptions!$B$4*(1-Assumptions!$B$6),G661&lt;Assumptions!$B$4),1,0)</f>
        <v>0</v>
      </c>
      <c r="O661" s="13">
        <f>IF(AND(G661&gt;=Assumptions!$B$7,MOD(G661,Assumptions!$B$7)=0),1,0)</f>
        <v>0</v>
      </c>
      <c r="P661" s="13">
        <f t="shared" si="52"/>
        <v>0</v>
      </c>
      <c r="Q661" s="13">
        <f t="shared" si="53"/>
        <v>0</v>
      </c>
      <c r="R661" s="13">
        <f>L661*Assumptions!$B$11+M661*Assumptions!$B$12+N661*Assumptions!$B$13+O661*Assumptions!$B$14+P661*Assumptions!$B$15+Q661*Assumptions!$B$16</f>
        <v>0</v>
      </c>
      <c r="S661" s="13" t="str">
        <f>IF(R661&gt;=Assumptions!$B$20,"High",IF(R661&gt;=Assumptions!$B$21,"Medium",IF(R661&gt;=1,"Low","Clear")))</f>
        <v>Clear</v>
      </c>
      <c r="T661" s="13" t="str">
        <f t="shared" si="54"/>
        <v/>
      </c>
    </row>
    <row r="662" spans="1:20" x14ac:dyDescent="0.35">
      <c r="A662" s="13" t="s">
        <v>2737</v>
      </c>
      <c r="B662" s="13" t="s">
        <v>86</v>
      </c>
      <c r="C662" s="13" t="s">
        <v>87</v>
      </c>
      <c r="D662" s="13" t="s">
        <v>2738</v>
      </c>
      <c r="E662" s="14">
        <v>45907</v>
      </c>
      <c r="F662" s="14">
        <v>45944</v>
      </c>
      <c r="G662" s="15">
        <v>1099.07</v>
      </c>
      <c r="H662" s="13" t="s">
        <v>2739</v>
      </c>
      <c r="I662" s="13" t="s">
        <v>2740</v>
      </c>
      <c r="J662" s="13" t="s">
        <v>143</v>
      </c>
      <c r="K662" s="13">
        <f t="shared" si="50"/>
        <v>1</v>
      </c>
      <c r="L662" s="13">
        <f t="shared" si="51"/>
        <v>0</v>
      </c>
      <c r="M662" s="13">
        <f>IF(AND(L662=0,COUNTIFS($B$2:$B$1534,B662,$G$2:$G$1534,G662,$E$2:$E$1534,"&gt;="&amp;(E662-Assumptions!$B$5),$E$2:$E$1534,"&lt;="&amp;(E662+Assumptions!$B$5))&gt;1),1,0)</f>
        <v>0</v>
      </c>
      <c r="N662" s="13">
        <f>IF(AND(G662&gt;=Assumptions!$B$4*(1-Assumptions!$B$6),G662&lt;Assumptions!$B$4),1,0)</f>
        <v>0</v>
      </c>
      <c r="O662" s="13">
        <f>IF(AND(G662&gt;=Assumptions!$B$7,MOD(G662,Assumptions!$B$7)=0),1,0)</f>
        <v>0</v>
      </c>
      <c r="P662" s="13">
        <f t="shared" si="52"/>
        <v>0</v>
      </c>
      <c r="Q662" s="13">
        <f t="shared" si="53"/>
        <v>0</v>
      </c>
      <c r="R662" s="13">
        <f>L662*Assumptions!$B$11+M662*Assumptions!$B$12+N662*Assumptions!$B$13+O662*Assumptions!$B$14+P662*Assumptions!$B$15+Q662*Assumptions!$B$16</f>
        <v>0</v>
      </c>
      <c r="S662" s="13" t="str">
        <f>IF(R662&gt;=Assumptions!$B$20,"High",IF(R662&gt;=Assumptions!$B$21,"Medium",IF(R662&gt;=1,"Low","Clear")))</f>
        <v>Clear</v>
      </c>
      <c r="T662" s="13" t="str">
        <f t="shared" si="54"/>
        <v/>
      </c>
    </row>
    <row r="663" spans="1:20" x14ac:dyDescent="0.35">
      <c r="A663" s="13" t="s">
        <v>2741</v>
      </c>
      <c r="B663" s="13" t="s">
        <v>93</v>
      </c>
      <c r="C663" s="13" t="s">
        <v>94</v>
      </c>
      <c r="D663" s="13" t="s">
        <v>2742</v>
      </c>
      <c r="E663" s="14">
        <v>45921</v>
      </c>
      <c r="F663" s="14">
        <v>45944</v>
      </c>
      <c r="G663" s="15">
        <v>186830.61</v>
      </c>
      <c r="H663" s="13" t="s">
        <v>2743</v>
      </c>
      <c r="I663" s="13" t="s">
        <v>2744</v>
      </c>
      <c r="J663" s="13" t="s">
        <v>136</v>
      </c>
      <c r="K663" s="13">
        <f t="shared" si="50"/>
        <v>1</v>
      </c>
      <c r="L663" s="13">
        <f t="shared" si="51"/>
        <v>0</v>
      </c>
      <c r="M663" s="13">
        <f>IF(AND(L663=0,COUNTIFS($B$2:$B$1534,B663,$G$2:$G$1534,G663,$E$2:$E$1534,"&gt;="&amp;(E663-Assumptions!$B$5),$E$2:$E$1534,"&lt;="&amp;(E663+Assumptions!$B$5))&gt;1),1,0)</f>
        <v>0</v>
      </c>
      <c r="N663" s="13">
        <f>IF(AND(G663&gt;=Assumptions!$B$4*(1-Assumptions!$B$6),G663&lt;Assumptions!$B$4),1,0)</f>
        <v>0</v>
      </c>
      <c r="O663" s="13">
        <f>IF(AND(G663&gt;=Assumptions!$B$7,MOD(G663,Assumptions!$B$7)=0),1,0)</f>
        <v>0</v>
      </c>
      <c r="P663" s="13">
        <f t="shared" si="52"/>
        <v>0</v>
      </c>
      <c r="Q663" s="13">
        <f t="shared" si="53"/>
        <v>0</v>
      </c>
      <c r="R663" s="13">
        <f>L663*Assumptions!$B$11+M663*Assumptions!$B$12+N663*Assumptions!$B$13+O663*Assumptions!$B$14+P663*Assumptions!$B$15+Q663*Assumptions!$B$16</f>
        <v>0</v>
      </c>
      <c r="S663" s="13" t="str">
        <f>IF(R663&gt;=Assumptions!$B$20,"High",IF(R663&gt;=Assumptions!$B$21,"Medium",IF(R663&gt;=1,"Low","Clear")))</f>
        <v>Clear</v>
      </c>
      <c r="T663" s="13" t="str">
        <f t="shared" si="54"/>
        <v/>
      </c>
    </row>
    <row r="664" spans="1:20" x14ac:dyDescent="0.35">
      <c r="A664" s="13" t="s">
        <v>2745</v>
      </c>
      <c r="B664" s="13" t="s">
        <v>234</v>
      </c>
      <c r="C664" s="13" t="s">
        <v>235</v>
      </c>
      <c r="D664" s="13" t="s">
        <v>2746</v>
      </c>
      <c r="E664" s="14">
        <v>45924</v>
      </c>
      <c r="F664" s="14">
        <v>45944</v>
      </c>
      <c r="G664" s="15">
        <v>17190.27</v>
      </c>
      <c r="H664" s="13" t="s">
        <v>2747</v>
      </c>
      <c r="I664" s="13" t="s">
        <v>2748</v>
      </c>
      <c r="J664" s="13" t="s">
        <v>91</v>
      </c>
      <c r="K664" s="13">
        <f t="shared" si="50"/>
        <v>1</v>
      </c>
      <c r="L664" s="13">
        <f t="shared" si="51"/>
        <v>0</v>
      </c>
      <c r="M664" s="13">
        <f>IF(AND(L664=0,COUNTIFS($B$2:$B$1534,B664,$G$2:$G$1534,G664,$E$2:$E$1534,"&gt;="&amp;(E664-Assumptions!$B$5),$E$2:$E$1534,"&lt;="&amp;(E664+Assumptions!$B$5))&gt;1),1,0)</f>
        <v>0</v>
      </c>
      <c r="N664" s="13">
        <f>IF(AND(G664&gt;=Assumptions!$B$4*(1-Assumptions!$B$6),G664&lt;Assumptions!$B$4),1,0)</f>
        <v>0</v>
      </c>
      <c r="O664" s="13">
        <f>IF(AND(G664&gt;=Assumptions!$B$7,MOD(G664,Assumptions!$B$7)=0),1,0)</f>
        <v>0</v>
      </c>
      <c r="P664" s="13">
        <f t="shared" si="52"/>
        <v>0</v>
      </c>
      <c r="Q664" s="13">
        <f t="shared" si="53"/>
        <v>0</v>
      </c>
      <c r="R664" s="13">
        <f>L664*Assumptions!$B$11+M664*Assumptions!$B$12+N664*Assumptions!$B$13+O664*Assumptions!$B$14+P664*Assumptions!$B$15+Q664*Assumptions!$B$16</f>
        <v>0</v>
      </c>
      <c r="S664" s="13" t="str">
        <f>IF(R664&gt;=Assumptions!$B$20,"High",IF(R664&gt;=Assumptions!$B$21,"Medium",IF(R664&gt;=1,"Low","Clear")))</f>
        <v>Clear</v>
      </c>
      <c r="T664" s="13" t="str">
        <f t="shared" si="54"/>
        <v/>
      </c>
    </row>
    <row r="665" spans="1:20" x14ac:dyDescent="0.35">
      <c r="A665" s="13" t="s">
        <v>2749</v>
      </c>
      <c r="B665" s="13" t="s">
        <v>317</v>
      </c>
      <c r="C665" s="13" t="s">
        <v>318</v>
      </c>
      <c r="D665" s="13" t="s">
        <v>2750</v>
      </c>
      <c r="E665" s="14">
        <v>45917</v>
      </c>
      <c r="F665" s="14">
        <v>45944</v>
      </c>
      <c r="G665" s="15">
        <v>1405.64</v>
      </c>
      <c r="H665" s="13" t="s">
        <v>2751</v>
      </c>
      <c r="I665" s="13" t="s">
        <v>2752</v>
      </c>
      <c r="J665" s="13" t="s">
        <v>170</v>
      </c>
      <c r="K665" s="13">
        <f t="shared" si="50"/>
        <v>1</v>
      </c>
      <c r="L665" s="13">
        <f t="shared" si="51"/>
        <v>1</v>
      </c>
      <c r="M665" s="13">
        <f>IF(AND(L665=0,COUNTIFS($B$2:$B$1534,B665,$G$2:$G$1534,G665,$E$2:$E$1534,"&gt;="&amp;(E665-Assumptions!$B$5),$E$2:$E$1534,"&lt;="&amp;(E665+Assumptions!$B$5))&gt;1),1,0)</f>
        <v>0</v>
      </c>
      <c r="N665" s="13">
        <f>IF(AND(G665&gt;=Assumptions!$B$4*(1-Assumptions!$B$6),G665&lt;Assumptions!$B$4),1,0)</f>
        <v>0</v>
      </c>
      <c r="O665" s="13">
        <f>IF(AND(G665&gt;=Assumptions!$B$7,MOD(G665,Assumptions!$B$7)=0),1,0)</f>
        <v>0</v>
      </c>
      <c r="P665" s="13">
        <f t="shared" si="52"/>
        <v>0</v>
      </c>
      <c r="Q665" s="13">
        <f t="shared" si="53"/>
        <v>0</v>
      </c>
      <c r="R665" s="13">
        <f>L665*Assumptions!$B$11+M665*Assumptions!$B$12+N665*Assumptions!$B$13+O665*Assumptions!$B$14+P665*Assumptions!$B$15+Q665*Assumptions!$B$16</f>
        <v>5</v>
      </c>
      <c r="S665" s="13" t="str">
        <f>IF(R665&gt;=Assumptions!$B$20,"High",IF(R665&gt;=Assumptions!$B$21,"Medium",IF(R665&gt;=1,"Low","Clear")))</f>
        <v>High</v>
      </c>
      <c r="T665" s="13" t="str">
        <f t="shared" si="54"/>
        <v xml:space="preserve">Duplicate invoice; </v>
      </c>
    </row>
    <row r="666" spans="1:20" x14ac:dyDescent="0.35">
      <c r="A666" s="13" t="s">
        <v>2753</v>
      </c>
      <c r="B666" s="13" t="s">
        <v>476</v>
      </c>
      <c r="C666" s="13" t="s">
        <v>477</v>
      </c>
      <c r="D666" s="13" t="s">
        <v>2754</v>
      </c>
      <c r="E666" s="14">
        <v>45917</v>
      </c>
      <c r="F666" s="14">
        <v>45944</v>
      </c>
      <c r="G666" s="15">
        <v>1019.09</v>
      </c>
      <c r="H666" s="13" t="s">
        <v>2755</v>
      </c>
      <c r="I666" s="13" t="s">
        <v>2756</v>
      </c>
      <c r="J666" s="13" t="s">
        <v>111</v>
      </c>
      <c r="K666" s="13">
        <f t="shared" si="50"/>
        <v>1</v>
      </c>
      <c r="L666" s="13">
        <f t="shared" si="51"/>
        <v>0</v>
      </c>
      <c r="M666" s="13">
        <f>IF(AND(L666=0,COUNTIFS($B$2:$B$1534,B666,$G$2:$G$1534,G666,$E$2:$E$1534,"&gt;="&amp;(E666-Assumptions!$B$5),$E$2:$E$1534,"&lt;="&amp;(E666+Assumptions!$B$5))&gt;1),1,0)</f>
        <v>0</v>
      </c>
      <c r="N666" s="13">
        <f>IF(AND(G666&gt;=Assumptions!$B$4*(1-Assumptions!$B$6),G666&lt;Assumptions!$B$4),1,0)</f>
        <v>0</v>
      </c>
      <c r="O666" s="13">
        <f>IF(AND(G666&gt;=Assumptions!$B$7,MOD(G666,Assumptions!$B$7)=0),1,0)</f>
        <v>0</v>
      </c>
      <c r="P666" s="13">
        <f t="shared" si="52"/>
        <v>0</v>
      </c>
      <c r="Q666" s="13">
        <f t="shared" si="53"/>
        <v>0</v>
      </c>
      <c r="R666" s="13">
        <f>L666*Assumptions!$B$11+M666*Assumptions!$B$12+N666*Assumptions!$B$13+O666*Assumptions!$B$14+P666*Assumptions!$B$15+Q666*Assumptions!$B$16</f>
        <v>0</v>
      </c>
      <c r="S666" s="13" t="str">
        <f>IF(R666&gt;=Assumptions!$B$20,"High",IF(R666&gt;=Assumptions!$B$21,"Medium",IF(R666&gt;=1,"Low","Clear")))</f>
        <v>Clear</v>
      </c>
      <c r="T666" s="13" t="str">
        <f t="shared" si="54"/>
        <v/>
      </c>
    </row>
    <row r="667" spans="1:20" x14ac:dyDescent="0.35">
      <c r="A667" s="13" t="s">
        <v>2757</v>
      </c>
      <c r="B667" s="13" t="s">
        <v>556</v>
      </c>
      <c r="C667" s="13" t="s">
        <v>557</v>
      </c>
      <c r="D667" s="13" t="s">
        <v>2758</v>
      </c>
      <c r="E667" s="14">
        <v>45915</v>
      </c>
      <c r="F667" s="14">
        <v>45944</v>
      </c>
      <c r="G667" s="15">
        <v>3944.49</v>
      </c>
      <c r="H667" s="13" t="s">
        <v>2759</v>
      </c>
      <c r="I667" s="13" t="s">
        <v>2760</v>
      </c>
      <c r="J667" s="13" t="s">
        <v>143</v>
      </c>
      <c r="K667" s="13">
        <f t="shared" si="50"/>
        <v>3</v>
      </c>
      <c r="L667" s="13">
        <f t="shared" si="51"/>
        <v>0</v>
      </c>
      <c r="M667" s="13">
        <f>IF(AND(L667=0,COUNTIFS($B$2:$B$1534,B667,$G$2:$G$1534,G667,$E$2:$E$1534,"&gt;="&amp;(E667-Assumptions!$B$5),$E$2:$E$1534,"&lt;="&amp;(E667+Assumptions!$B$5))&gt;1),1,0)</f>
        <v>0</v>
      </c>
      <c r="N667" s="13">
        <f>IF(AND(G667&gt;=Assumptions!$B$4*(1-Assumptions!$B$6),G667&lt;Assumptions!$B$4),1,0)</f>
        <v>0</v>
      </c>
      <c r="O667" s="13">
        <f>IF(AND(G667&gt;=Assumptions!$B$7,MOD(G667,Assumptions!$B$7)=0),1,0)</f>
        <v>0</v>
      </c>
      <c r="P667" s="13">
        <f t="shared" si="52"/>
        <v>0</v>
      </c>
      <c r="Q667" s="13">
        <f t="shared" si="53"/>
        <v>0</v>
      </c>
      <c r="R667" s="13">
        <f>L667*Assumptions!$B$11+M667*Assumptions!$B$12+N667*Assumptions!$B$13+O667*Assumptions!$B$14+P667*Assumptions!$B$15+Q667*Assumptions!$B$16</f>
        <v>0</v>
      </c>
      <c r="S667" s="13" t="str">
        <f>IF(R667&gt;=Assumptions!$B$20,"High",IF(R667&gt;=Assumptions!$B$21,"Medium",IF(R667&gt;=1,"Low","Clear")))</f>
        <v>Clear</v>
      </c>
      <c r="T667" s="13" t="str">
        <f t="shared" si="54"/>
        <v/>
      </c>
    </row>
    <row r="668" spans="1:20" x14ac:dyDescent="0.35">
      <c r="A668" s="13" t="s">
        <v>2761</v>
      </c>
      <c r="B668" s="13" t="s">
        <v>100</v>
      </c>
      <c r="C668" s="13" t="s">
        <v>101</v>
      </c>
      <c r="D668" s="13" t="s">
        <v>2762</v>
      </c>
      <c r="E668" s="14">
        <v>45910</v>
      </c>
      <c r="F668" s="14">
        <v>45945</v>
      </c>
      <c r="G668" s="15">
        <v>11127.81</v>
      </c>
      <c r="H668" s="13" t="s">
        <v>2763</v>
      </c>
      <c r="I668" s="13" t="s">
        <v>2764</v>
      </c>
      <c r="J668" s="13" t="s">
        <v>170</v>
      </c>
      <c r="K668" s="13">
        <f t="shared" si="50"/>
        <v>1</v>
      </c>
      <c r="L668" s="13">
        <f t="shared" si="51"/>
        <v>0</v>
      </c>
      <c r="M668" s="13">
        <f>IF(AND(L668=0,COUNTIFS($B$2:$B$1534,B668,$G$2:$G$1534,G668,$E$2:$E$1534,"&gt;="&amp;(E668-Assumptions!$B$5),$E$2:$E$1534,"&lt;="&amp;(E668+Assumptions!$B$5))&gt;1),1,0)</f>
        <v>0</v>
      </c>
      <c r="N668" s="13">
        <f>IF(AND(G668&gt;=Assumptions!$B$4*(1-Assumptions!$B$6),G668&lt;Assumptions!$B$4),1,0)</f>
        <v>0</v>
      </c>
      <c r="O668" s="13">
        <f>IF(AND(G668&gt;=Assumptions!$B$7,MOD(G668,Assumptions!$B$7)=0),1,0)</f>
        <v>0</v>
      </c>
      <c r="P668" s="13">
        <f t="shared" si="52"/>
        <v>0</v>
      </c>
      <c r="Q668" s="13">
        <f t="shared" si="53"/>
        <v>0</v>
      </c>
      <c r="R668" s="13">
        <f>L668*Assumptions!$B$11+M668*Assumptions!$B$12+N668*Assumptions!$B$13+O668*Assumptions!$B$14+P668*Assumptions!$B$15+Q668*Assumptions!$B$16</f>
        <v>0</v>
      </c>
      <c r="S668" s="13" t="str">
        <f>IF(R668&gt;=Assumptions!$B$20,"High",IF(R668&gt;=Assumptions!$B$21,"Medium",IF(R668&gt;=1,"Low","Clear")))</f>
        <v>Clear</v>
      </c>
      <c r="T668" s="13" t="str">
        <f t="shared" si="54"/>
        <v/>
      </c>
    </row>
    <row r="669" spans="1:20" x14ac:dyDescent="0.35">
      <c r="A669" s="13" t="s">
        <v>2765</v>
      </c>
      <c r="B669" s="13" t="s">
        <v>106</v>
      </c>
      <c r="C669" s="13" t="s">
        <v>107</v>
      </c>
      <c r="D669" s="13" t="s">
        <v>2766</v>
      </c>
      <c r="E669" s="14">
        <v>45908</v>
      </c>
      <c r="F669" s="14">
        <v>45945</v>
      </c>
      <c r="G669" s="15">
        <v>79022.33</v>
      </c>
      <c r="H669" s="13" t="s">
        <v>2767</v>
      </c>
      <c r="I669" s="13" t="s">
        <v>2768</v>
      </c>
      <c r="J669" s="13" t="s">
        <v>91</v>
      </c>
      <c r="K669" s="13">
        <f t="shared" si="50"/>
        <v>7</v>
      </c>
      <c r="L669" s="13">
        <f t="shared" si="51"/>
        <v>0</v>
      </c>
      <c r="M669" s="13">
        <f>IF(AND(L669=0,COUNTIFS($B$2:$B$1534,B669,$G$2:$G$1534,G669,$E$2:$E$1534,"&gt;="&amp;(E669-Assumptions!$B$5),$E$2:$E$1534,"&lt;="&amp;(E669+Assumptions!$B$5))&gt;1),1,0)</f>
        <v>0</v>
      </c>
      <c r="N669" s="13">
        <f>IF(AND(G669&gt;=Assumptions!$B$4*(1-Assumptions!$B$6),G669&lt;Assumptions!$B$4),1,0)</f>
        <v>0</v>
      </c>
      <c r="O669" s="13">
        <f>IF(AND(G669&gt;=Assumptions!$B$7,MOD(G669,Assumptions!$B$7)=0),1,0)</f>
        <v>0</v>
      </c>
      <c r="P669" s="13">
        <f t="shared" si="52"/>
        <v>0</v>
      </c>
      <c r="Q669" s="13">
        <f t="shared" si="53"/>
        <v>0</v>
      </c>
      <c r="R669" s="13">
        <f>L669*Assumptions!$B$11+M669*Assumptions!$B$12+N669*Assumptions!$B$13+O669*Assumptions!$B$14+P669*Assumptions!$B$15+Q669*Assumptions!$B$16</f>
        <v>0</v>
      </c>
      <c r="S669" s="13" t="str">
        <f>IF(R669&gt;=Assumptions!$B$20,"High",IF(R669&gt;=Assumptions!$B$21,"Medium",IF(R669&gt;=1,"Low","Clear")))</f>
        <v>Clear</v>
      </c>
      <c r="T669" s="13" t="str">
        <f t="shared" si="54"/>
        <v/>
      </c>
    </row>
    <row r="670" spans="1:20" x14ac:dyDescent="0.35">
      <c r="A670" s="13" t="s">
        <v>2769</v>
      </c>
      <c r="B670" s="13" t="s">
        <v>176</v>
      </c>
      <c r="C670" s="13" t="s">
        <v>177</v>
      </c>
      <c r="D670" s="13" t="s">
        <v>2770</v>
      </c>
      <c r="E670" s="14">
        <v>45923</v>
      </c>
      <c r="F670" s="14">
        <v>45946</v>
      </c>
      <c r="G670" s="15">
        <v>8229.1299999999992</v>
      </c>
      <c r="H670" s="13" t="s">
        <v>2771</v>
      </c>
      <c r="I670" s="13" t="s">
        <v>2772</v>
      </c>
      <c r="J670" s="13" t="s">
        <v>170</v>
      </c>
      <c r="K670" s="13">
        <f t="shared" si="50"/>
        <v>8</v>
      </c>
      <c r="L670" s="13">
        <f t="shared" si="51"/>
        <v>0</v>
      </c>
      <c r="M670" s="13">
        <f>IF(AND(L670=0,COUNTIFS($B$2:$B$1534,B670,$G$2:$G$1534,G670,$E$2:$E$1534,"&gt;="&amp;(E670-Assumptions!$B$5),$E$2:$E$1534,"&lt;="&amp;(E670+Assumptions!$B$5))&gt;1),1,0)</f>
        <v>0</v>
      </c>
      <c r="N670" s="13">
        <f>IF(AND(G670&gt;=Assumptions!$B$4*(1-Assumptions!$B$6),G670&lt;Assumptions!$B$4),1,0)</f>
        <v>0</v>
      </c>
      <c r="O670" s="13">
        <f>IF(AND(G670&gt;=Assumptions!$B$7,MOD(G670,Assumptions!$B$7)=0),1,0)</f>
        <v>0</v>
      </c>
      <c r="P670" s="13">
        <f t="shared" si="52"/>
        <v>0</v>
      </c>
      <c r="Q670" s="13">
        <f t="shared" si="53"/>
        <v>0</v>
      </c>
      <c r="R670" s="13">
        <f>L670*Assumptions!$B$11+M670*Assumptions!$B$12+N670*Assumptions!$B$13+O670*Assumptions!$B$14+P670*Assumptions!$B$15+Q670*Assumptions!$B$16</f>
        <v>0</v>
      </c>
      <c r="S670" s="13" t="str">
        <f>IF(R670&gt;=Assumptions!$B$20,"High",IF(R670&gt;=Assumptions!$B$21,"Medium",IF(R670&gt;=1,"Low","Clear")))</f>
        <v>Clear</v>
      </c>
      <c r="T670" s="13" t="str">
        <f t="shared" si="54"/>
        <v/>
      </c>
    </row>
    <row r="671" spans="1:20" x14ac:dyDescent="0.35">
      <c r="A671" s="13" t="s">
        <v>2773</v>
      </c>
      <c r="B671" s="13" t="s">
        <v>228</v>
      </c>
      <c r="C671" s="13" t="s">
        <v>229</v>
      </c>
      <c r="D671" s="13" t="s">
        <v>2774</v>
      </c>
      <c r="E671" s="14">
        <v>45906</v>
      </c>
      <c r="F671" s="14">
        <v>45946</v>
      </c>
      <c r="G671" s="15">
        <v>49580.23</v>
      </c>
      <c r="H671" s="13" t="s">
        <v>2775</v>
      </c>
      <c r="I671" s="13" t="s">
        <v>2776</v>
      </c>
      <c r="J671" s="13" t="s">
        <v>98</v>
      </c>
      <c r="K671" s="13">
        <f t="shared" si="50"/>
        <v>4</v>
      </c>
      <c r="L671" s="13">
        <f t="shared" si="51"/>
        <v>0</v>
      </c>
      <c r="M671" s="13">
        <f>IF(AND(L671=0,COUNTIFS($B$2:$B$1534,B671,$G$2:$G$1534,G671,$E$2:$E$1534,"&gt;="&amp;(E671-Assumptions!$B$5),$E$2:$E$1534,"&lt;="&amp;(E671+Assumptions!$B$5))&gt;1),1,0)</f>
        <v>0</v>
      </c>
      <c r="N671" s="13">
        <f>IF(AND(G671&gt;=Assumptions!$B$4*(1-Assumptions!$B$6),G671&lt;Assumptions!$B$4),1,0)</f>
        <v>1</v>
      </c>
      <c r="O671" s="13">
        <f>IF(AND(G671&gt;=Assumptions!$B$7,MOD(G671,Assumptions!$B$7)=0),1,0)</f>
        <v>0</v>
      </c>
      <c r="P671" s="13">
        <f t="shared" si="52"/>
        <v>0</v>
      </c>
      <c r="Q671" s="13">
        <f t="shared" si="53"/>
        <v>0</v>
      </c>
      <c r="R671" s="13">
        <f>L671*Assumptions!$B$11+M671*Assumptions!$B$12+N671*Assumptions!$B$13+O671*Assumptions!$B$14+P671*Assumptions!$B$15+Q671*Assumptions!$B$16</f>
        <v>3</v>
      </c>
      <c r="S671" s="13" t="str">
        <f>IF(R671&gt;=Assumptions!$B$20,"High",IF(R671&gt;=Assumptions!$B$21,"Medium",IF(R671&gt;=1,"Low","Clear")))</f>
        <v>Medium</v>
      </c>
      <c r="T671" s="13" t="str">
        <f t="shared" si="54"/>
        <v xml:space="preserve">Just below limit; </v>
      </c>
    </row>
    <row r="672" spans="1:20" x14ac:dyDescent="0.35">
      <c r="A672" s="13" t="s">
        <v>2777</v>
      </c>
      <c r="B672" s="13" t="s">
        <v>113</v>
      </c>
      <c r="C672" s="13" t="s">
        <v>114</v>
      </c>
      <c r="D672" s="13" t="s">
        <v>2778</v>
      </c>
      <c r="E672" s="14">
        <v>45908</v>
      </c>
      <c r="F672" s="14">
        <v>45946</v>
      </c>
      <c r="G672" s="15">
        <v>148690.79</v>
      </c>
      <c r="H672" s="13" t="s">
        <v>2779</v>
      </c>
      <c r="I672" s="13" t="s">
        <v>2780</v>
      </c>
      <c r="J672" s="13" t="s">
        <v>98</v>
      </c>
      <c r="K672" s="13">
        <f t="shared" si="50"/>
        <v>1</v>
      </c>
      <c r="L672" s="13">
        <f t="shared" si="51"/>
        <v>0</v>
      </c>
      <c r="M672" s="13">
        <f>IF(AND(L672=0,COUNTIFS($B$2:$B$1534,B672,$G$2:$G$1534,G672,$E$2:$E$1534,"&gt;="&amp;(E672-Assumptions!$B$5),$E$2:$E$1534,"&lt;="&amp;(E672+Assumptions!$B$5))&gt;1),1,0)</f>
        <v>0</v>
      </c>
      <c r="N672" s="13">
        <f>IF(AND(G672&gt;=Assumptions!$B$4*(1-Assumptions!$B$6),G672&lt;Assumptions!$B$4),1,0)</f>
        <v>0</v>
      </c>
      <c r="O672" s="13">
        <f>IF(AND(G672&gt;=Assumptions!$B$7,MOD(G672,Assumptions!$B$7)=0),1,0)</f>
        <v>0</v>
      </c>
      <c r="P672" s="13">
        <f t="shared" si="52"/>
        <v>0</v>
      </c>
      <c r="Q672" s="13">
        <f t="shared" si="53"/>
        <v>0</v>
      </c>
      <c r="R672" s="13">
        <f>L672*Assumptions!$B$11+M672*Assumptions!$B$12+N672*Assumptions!$B$13+O672*Assumptions!$B$14+P672*Assumptions!$B$15+Q672*Assumptions!$B$16</f>
        <v>0</v>
      </c>
      <c r="S672" s="13" t="str">
        <f>IF(R672&gt;=Assumptions!$B$20,"High",IF(R672&gt;=Assumptions!$B$21,"Medium",IF(R672&gt;=1,"Low","Clear")))</f>
        <v>Clear</v>
      </c>
      <c r="T672" s="13" t="str">
        <f t="shared" si="54"/>
        <v/>
      </c>
    </row>
    <row r="673" spans="1:20" x14ac:dyDescent="0.35">
      <c r="A673" s="13" t="s">
        <v>2781</v>
      </c>
      <c r="B673" s="13" t="s">
        <v>670</v>
      </c>
      <c r="C673" s="13" t="s">
        <v>671</v>
      </c>
      <c r="D673" s="13" t="s">
        <v>2782</v>
      </c>
      <c r="E673" s="14">
        <v>45921</v>
      </c>
      <c r="F673" s="14">
        <v>45947</v>
      </c>
      <c r="G673" s="15">
        <v>8226.5400000000009</v>
      </c>
      <c r="H673" s="13" t="s">
        <v>2783</v>
      </c>
      <c r="I673" s="13" t="s">
        <v>2784</v>
      </c>
      <c r="J673" s="13" t="s">
        <v>170</v>
      </c>
      <c r="K673" s="13">
        <f t="shared" si="50"/>
        <v>8</v>
      </c>
      <c r="L673" s="13">
        <f t="shared" si="51"/>
        <v>0</v>
      </c>
      <c r="M673" s="13">
        <f>IF(AND(L673=0,COUNTIFS($B$2:$B$1534,B673,$G$2:$G$1534,G673,$E$2:$E$1534,"&gt;="&amp;(E673-Assumptions!$B$5),$E$2:$E$1534,"&lt;="&amp;(E673+Assumptions!$B$5))&gt;1),1,0)</f>
        <v>0</v>
      </c>
      <c r="N673" s="13">
        <f>IF(AND(G673&gt;=Assumptions!$B$4*(1-Assumptions!$B$6),G673&lt;Assumptions!$B$4),1,0)</f>
        <v>0</v>
      </c>
      <c r="O673" s="13">
        <f>IF(AND(G673&gt;=Assumptions!$B$7,MOD(G673,Assumptions!$B$7)=0),1,0)</f>
        <v>0</v>
      </c>
      <c r="P673" s="13">
        <f t="shared" si="52"/>
        <v>0</v>
      </c>
      <c r="Q673" s="13">
        <f t="shared" si="53"/>
        <v>0</v>
      </c>
      <c r="R673" s="13">
        <f>L673*Assumptions!$B$11+M673*Assumptions!$B$12+N673*Assumptions!$B$13+O673*Assumptions!$B$14+P673*Assumptions!$B$15+Q673*Assumptions!$B$16</f>
        <v>0</v>
      </c>
      <c r="S673" s="13" t="str">
        <f>IF(R673&gt;=Assumptions!$B$20,"High",IF(R673&gt;=Assumptions!$B$21,"Medium",IF(R673&gt;=1,"Low","Clear")))</f>
        <v>Clear</v>
      </c>
      <c r="T673" s="13" t="str">
        <f t="shared" si="54"/>
        <v/>
      </c>
    </row>
    <row r="674" spans="1:20" x14ac:dyDescent="0.35">
      <c r="A674" s="13" t="s">
        <v>2785</v>
      </c>
      <c r="B674" s="13" t="s">
        <v>93</v>
      </c>
      <c r="C674" s="13" t="s">
        <v>94</v>
      </c>
      <c r="D674" s="13" t="s">
        <v>2786</v>
      </c>
      <c r="E674" s="14">
        <v>45917</v>
      </c>
      <c r="F674" s="14">
        <v>45947</v>
      </c>
      <c r="G674" s="15">
        <v>584573.73</v>
      </c>
      <c r="H674" s="13" t="s">
        <v>2787</v>
      </c>
      <c r="I674" s="13" t="s">
        <v>2788</v>
      </c>
      <c r="J674" s="13" t="s">
        <v>111</v>
      </c>
      <c r="K674" s="13">
        <f t="shared" si="50"/>
        <v>5</v>
      </c>
      <c r="L674" s="13">
        <f t="shared" si="51"/>
        <v>0</v>
      </c>
      <c r="M674" s="13">
        <f>IF(AND(L674=0,COUNTIFS($B$2:$B$1534,B674,$G$2:$G$1534,G674,$E$2:$E$1534,"&gt;="&amp;(E674-Assumptions!$B$5),$E$2:$E$1534,"&lt;="&amp;(E674+Assumptions!$B$5))&gt;1),1,0)</f>
        <v>0</v>
      </c>
      <c r="N674" s="13">
        <f>IF(AND(G674&gt;=Assumptions!$B$4*(1-Assumptions!$B$6),G674&lt;Assumptions!$B$4),1,0)</f>
        <v>0</v>
      </c>
      <c r="O674" s="13">
        <f>IF(AND(G674&gt;=Assumptions!$B$7,MOD(G674,Assumptions!$B$7)=0),1,0)</f>
        <v>0</v>
      </c>
      <c r="P674" s="13">
        <f t="shared" si="52"/>
        <v>0</v>
      </c>
      <c r="Q674" s="13">
        <f t="shared" si="53"/>
        <v>0</v>
      </c>
      <c r="R674" s="13">
        <f>L674*Assumptions!$B$11+M674*Assumptions!$B$12+N674*Assumptions!$B$13+O674*Assumptions!$B$14+P674*Assumptions!$B$15+Q674*Assumptions!$B$16</f>
        <v>0</v>
      </c>
      <c r="S674" s="13" t="str">
        <f>IF(R674&gt;=Assumptions!$B$20,"High",IF(R674&gt;=Assumptions!$B$21,"Medium",IF(R674&gt;=1,"Low","Clear")))</f>
        <v>Clear</v>
      </c>
      <c r="T674" s="13" t="str">
        <f t="shared" si="54"/>
        <v/>
      </c>
    </row>
    <row r="675" spans="1:20" x14ac:dyDescent="0.35">
      <c r="A675" s="13" t="s">
        <v>2789</v>
      </c>
      <c r="B675" s="13" t="s">
        <v>680</v>
      </c>
      <c r="C675" s="13" t="s">
        <v>681</v>
      </c>
      <c r="D675" s="13" t="s">
        <v>2790</v>
      </c>
      <c r="E675" s="14">
        <v>45925</v>
      </c>
      <c r="F675" s="14">
        <v>45947</v>
      </c>
      <c r="G675" s="15">
        <v>90076.28</v>
      </c>
      <c r="H675" s="13" t="s">
        <v>2791</v>
      </c>
      <c r="I675" s="13" t="s">
        <v>2792</v>
      </c>
      <c r="J675" s="13" t="s">
        <v>170</v>
      </c>
      <c r="K675" s="13">
        <f t="shared" si="50"/>
        <v>9</v>
      </c>
      <c r="L675" s="13">
        <f t="shared" si="51"/>
        <v>0</v>
      </c>
      <c r="M675" s="13">
        <f>IF(AND(L675=0,COUNTIFS($B$2:$B$1534,B675,$G$2:$G$1534,G675,$E$2:$E$1534,"&gt;="&amp;(E675-Assumptions!$B$5),$E$2:$E$1534,"&lt;="&amp;(E675+Assumptions!$B$5))&gt;1),1,0)</f>
        <v>0</v>
      </c>
      <c r="N675" s="13">
        <f>IF(AND(G675&gt;=Assumptions!$B$4*(1-Assumptions!$B$6),G675&lt;Assumptions!$B$4),1,0)</f>
        <v>0</v>
      </c>
      <c r="O675" s="13">
        <f>IF(AND(G675&gt;=Assumptions!$B$7,MOD(G675,Assumptions!$B$7)=0),1,0)</f>
        <v>0</v>
      </c>
      <c r="P675" s="13">
        <f t="shared" si="52"/>
        <v>0</v>
      </c>
      <c r="Q675" s="13">
        <f t="shared" si="53"/>
        <v>0</v>
      </c>
      <c r="R675" s="13">
        <f>L675*Assumptions!$B$11+M675*Assumptions!$B$12+N675*Assumptions!$B$13+O675*Assumptions!$B$14+P675*Assumptions!$B$15+Q675*Assumptions!$B$16</f>
        <v>0</v>
      </c>
      <c r="S675" s="13" t="str">
        <f>IF(R675&gt;=Assumptions!$B$20,"High",IF(R675&gt;=Assumptions!$B$21,"Medium",IF(R675&gt;=1,"Low","Clear")))</f>
        <v>Clear</v>
      </c>
      <c r="T675" s="13" t="str">
        <f t="shared" si="54"/>
        <v/>
      </c>
    </row>
    <row r="676" spans="1:20" x14ac:dyDescent="0.35">
      <c r="A676" s="13" t="s">
        <v>2793</v>
      </c>
      <c r="B676" s="13" t="s">
        <v>131</v>
      </c>
      <c r="C676" s="13" t="s">
        <v>132</v>
      </c>
      <c r="D676" s="13" t="s">
        <v>2794</v>
      </c>
      <c r="E676" s="14">
        <v>45919</v>
      </c>
      <c r="F676" s="14">
        <v>45947</v>
      </c>
      <c r="G676" s="15">
        <v>6327.96</v>
      </c>
      <c r="H676" s="13" t="s">
        <v>2795</v>
      </c>
      <c r="I676" s="13" t="s">
        <v>2796</v>
      </c>
      <c r="J676" s="13" t="s">
        <v>136</v>
      </c>
      <c r="K676" s="13">
        <f t="shared" si="50"/>
        <v>6</v>
      </c>
      <c r="L676" s="13">
        <f t="shared" si="51"/>
        <v>0</v>
      </c>
      <c r="M676" s="13">
        <f>IF(AND(L676=0,COUNTIFS($B$2:$B$1534,B676,$G$2:$G$1534,G676,$E$2:$E$1534,"&gt;="&amp;(E676-Assumptions!$B$5),$E$2:$E$1534,"&lt;="&amp;(E676+Assumptions!$B$5))&gt;1),1,0)</f>
        <v>1</v>
      </c>
      <c r="N676" s="13">
        <f>IF(AND(G676&gt;=Assumptions!$B$4*(1-Assumptions!$B$6),G676&lt;Assumptions!$B$4),1,0)</f>
        <v>0</v>
      </c>
      <c r="O676" s="13">
        <f>IF(AND(G676&gt;=Assumptions!$B$7,MOD(G676,Assumptions!$B$7)=0),1,0)</f>
        <v>0</v>
      </c>
      <c r="P676" s="13">
        <f t="shared" si="52"/>
        <v>0</v>
      </c>
      <c r="Q676" s="13">
        <f t="shared" si="53"/>
        <v>0</v>
      </c>
      <c r="R676" s="13">
        <f>L676*Assumptions!$B$11+M676*Assumptions!$B$12+N676*Assumptions!$B$13+O676*Assumptions!$B$14+P676*Assumptions!$B$15+Q676*Assumptions!$B$16</f>
        <v>3</v>
      </c>
      <c r="S676" s="13" t="str">
        <f>IF(R676&gt;=Assumptions!$B$20,"High",IF(R676&gt;=Assumptions!$B$21,"Medium",IF(R676&gt;=1,"Low","Clear")))</f>
        <v>Medium</v>
      </c>
      <c r="T676" s="13" t="str">
        <f t="shared" si="54"/>
        <v xml:space="preserve">Near-duplicate; </v>
      </c>
    </row>
    <row r="677" spans="1:20" x14ac:dyDescent="0.35">
      <c r="A677" s="13" t="s">
        <v>2797</v>
      </c>
      <c r="B677" s="13" t="s">
        <v>323</v>
      </c>
      <c r="C677" s="13" t="s">
        <v>324</v>
      </c>
      <c r="D677" s="13" t="s">
        <v>2798</v>
      </c>
      <c r="E677" s="14">
        <v>45915</v>
      </c>
      <c r="F677" s="14">
        <v>45947</v>
      </c>
      <c r="G677" s="15">
        <v>123488.14</v>
      </c>
      <c r="H677" s="13" t="s">
        <v>2799</v>
      </c>
      <c r="I677" s="13" t="s">
        <v>2800</v>
      </c>
      <c r="J677" s="13" t="s">
        <v>143</v>
      </c>
      <c r="K677" s="13">
        <f t="shared" si="50"/>
        <v>1</v>
      </c>
      <c r="L677" s="13">
        <f t="shared" si="51"/>
        <v>0</v>
      </c>
      <c r="M677" s="13">
        <f>IF(AND(L677=0,COUNTIFS($B$2:$B$1534,B677,$G$2:$G$1534,G677,$E$2:$E$1534,"&gt;="&amp;(E677-Assumptions!$B$5),$E$2:$E$1534,"&lt;="&amp;(E677+Assumptions!$B$5))&gt;1),1,0)</f>
        <v>0</v>
      </c>
      <c r="N677" s="13">
        <f>IF(AND(G677&gt;=Assumptions!$B$4*(1-Assumptions!$B$6),G677&lt;Assumptions!$B$4),1,0)</f>
        <v>0</v>
      </c>
      <c r="O677" s="13">
        <f>IF(AND(G677&gt;=Assumptions!$B$7,MOD(G677,Assumptions!$B$7)=0),1,0)</f>
        <v>0</v>
      </c>
      <c r="P677" s="13">
        <f t="shared" si="52"/>
        <v>0</v>
      </c>
      <c r="Q677" s="13">
        <f t="shared" si="53"/>
        <v>0</v>
      </c>
      <c r="R677" s="13">
        <f>L677*Assumptions!$B$11+M677*Assumptions!$B$12+N677*Assumptions!$B$13+O677*Assumptions!$B$14+P677*Assumptions!$B$15+Q677*Assumptions!$B$16</f>
        <v>0</v>
      </c>
      <c r="S677" s="13" t="str">
        <f>IF(R677&gt;=Assumptions!$B$20,"High",IF(R677&gt;=Assumptions!$B$21,"Medium",IF(R677&gt;=1,"Low","Clear")))</f>
        <v>Clear</v>
      </c>
      <c r="T677" s="13" t="str">
        <f t="shared" si="54"/>
        <v/>
      </c>
    </row>
    <row r="678" spans="1:20" x14ac:dyDescent="0.35">
      <c r="A678" s="13" t="s">
        <v>2801</v>
      </c>
      <c r="B678" s="13" t="s">
        <v>145</v>
      </c>
      <c r="C678" s="13" t="s">
        <v>146</v>
      </c>
      <c r="D678" s="13" t="s">
        <v>2802</v>
      </c>
      <c r="E678" s="14">
        <v>45907</v>
      </c>
      <c r="F678" s="14">
        <v>45947</v>
      </c>
      <c r="G678" s="15">
        <v>474686.36</v>
      </c>
      <c r="H678" s="13" t="s">
        <v>2803</v>
      </c>
      <c r="I678" s="13" t="s">
        <v>2804</v>
      </c>
      <c r="J678" s="13" t="s">
        <v>143</v>
      </c>
      <c r="K678" s="13">
        <f t="shared" si="50"/>
        <v>4</v>
      </c>
      <c r="L678" s="13">
        <f t="shared" si="51"/>
        <v>0</v>
      </c>
      <c r="M678" s="13">
        <f>IF(AND(L678=0,COUNTIFS($B$2:$B$1534,B678,$G$2:$G$1534,G678,$E$2:$E$1534,"&gt;="&amp;(E678-Assumptions!$B$5),$E$2:$E$1534,"&lt;="&amp;(E678+Assumptions!$B$5))&gt;1),1,0)</f>
        <v>0</v>
      </c>
      <c r="N678" s="13">
        <f>IF(AND(G678&gt;=Assumptions!$B$4*(1-Assumptions!$B$6),G678&lt;Assumptions!$B$4),1,0)</f>
        <v>0</v>
      </c>
      <c r="O678" s="13">
        <f>IF(AND(G678&gt;=Assumptions!$B$7,MOD(G678,Assumptions!$B$7)=0),1,0)</f>
        <v>0</v>
      </c>
      <c r="P678" s="13">
        <f t="shared" si="52"/>
        <v>0</v>
      </c>
      <c r="Q678" s="13">
        <f t="shared" si="53"/>
        <v>0</v>
      </c>
      <c r="R678" s="13">
        <f>L678*Assumptions!$B$11+M678*Assumptions!$B$12+N678*Assumptions!$B$13+O678*Assumptions!$B$14+P678*Assumptions!$B$15+Q678*Assumptions!$B$16</f>
        <v>0</v>
      </c>
      <c r="S678" s="13" t="str">
        <f>IF(R678&gt;=Assumptions!$B$20,"High",IF(R678&gt;=Assumptions!$B$21,"Medium",IF(R678&gt;=1,"Low","Clear")))</f>
        <v>Clear</v>
      </c>
      <c r="T678" s="13" t="str">
        <f t="shared" si="54"/>
        <v/>
      </c>
    </row>
    <row r="679" spans="1:20" x14ac:dyDescent="0.35">
      <c r="A679" s="13" t="s">
        <v>2805</v>
      </c>
      <c r="B679" s="13" t="s">
        <v>556</v>
      </c>
      <c r="C679" s="13" t="s">
        <v>557</v>
      </c>
      <c r="D679" s="13" t="s">
        <v>2806</v>
      </c>
      <c r="E679" s="14">
        <v>45914</v>
      </c>
      <c r="F679" s="14">
        <v>45947</v>
      </c>
      <c r="G679" s="15">
        <v>3946.88</v>
      </c>
      <c r="H679" s="13" t="s">
        <v>2807</v>
      </c>
      <c r="I679" s="13" t="s">
        <v>2808</v>
      </c>
      <c r="J679" s="13" t="s">
        <v>143</v>
      </c>
      <c r="K679" s="13">
        <f t="shared" si="50"/>
        <v>3</v>
      </c>
      <c r="L679" s="13">
        <f t="shared" si="51"/>
        <v>0</v>
      </c>
      <c r="M679" s="13">
        <f>IF(AND(L679=0,COUNTIFS($B$2:$B$1534,B679,$G$2:$G$1534,G679,$E$2:$E$1534,"&gt;="&amp;(E679-Assumptions!$B$5),$E$2:$E$1534,"&lt;="&amp;(E679+Assumptions!$B$5))&gt;1),1,0)</f>
        <v>0</v>
      </c>
      <c r="N679" s="13">
        <f>IF(AND(G679&gt;=Assumptions!$B$4*(1-Assumptions!$B$6),G679&lt;Assumptions!$B$4),1,0)</f>
        <v>0</v>
      </c>
      <c r="O679" s="13">
        <f>IF(AND(G679&gt;=Assumptions!$B$7,MOD(G679,Assumptions!$B$7)=0),1,0)</f>
        <v>0</v>
      </c>
      <c r="P679" s="13">
        <f t="shared" si="52"/>
        <v>0</v>
      </c>
      <c r="Q679" s="13">
        <f t="shared" si="53"/>
        <v>0</v>
      </c>
      <c r="R679" s="13">
        <f>L679*Assumptions!$B$11+M679*Assumptions!$B$12+N679*Assumptions!$B$13+O679*Assumptions!$B$14+P679*Assumptions!$B$15+Q679*Assumptions!$B$16</f>
        <v>0</v>
      </c>
      <c r="S679" s="13" t="str">
        <f>IF(R679&gt;=Assumptions!$B$20,"High",IF(R679&gt;=Assumptions!$B$21,"Medium",IF(R679&gt;=1,"Low","Clear")))</f>
        <v>Clear</v>
      </c>
      <c r="T679" s="13" t="str">
        <f t="shared" si="54"/>
        <v/>
      </c>
    </row>
    <row r="680" spans="1:20" x14ac:dyDescent="0.35">
      <c r="A680" s="13" t="s">
        <v>2809</v>
      </c>
      <c r="B680" s="13" t="s">
        <v>182</v>
      </c>
      <c r="C680" s="13" t="s">
        <v>183</v>
      </c>
      <c r="D680" s="13" t="s">
        <v>2810</v>
      </c>
      <c r="E680" s="14">
        <v>45920</v>
      </c>
      <c r="F680" s="14">
        <v>45950</v>
      </c>
      <c r="G680" s="15">
        <v>8567.3799999999992</v>
      </c>
      <c r="H680" s="13" t="s">
        <v>2811</v>
      </c>
      <c r="I680" s="13" t="s">
        <v>2812</v>
      </c>
      <c r="J680" s="13" t="s">
        <v>111</v>
      </c>
      <c r="K680" s="13">
        <f t="shared" si="50"/>
        <v>8</v>
      </c>
      <c r="L680" s="13">
        <f t="shared" si="51"/>
        <v>0</v>
      </c>
      <c r="M680" s="13">
        <f>IF(AND(L680=0,COUNTIFS($B$2:$B$1534,B680,$G$2:$G$1534,G680,$E$2:$E$1534,"&gt;="&amp;(E680-Assumptions!$B$5),$E$2:$E$1534,"&lt;="&amp;(E680+Assumptions!$B$5))&gt;1),1,0)</f>
        <v>0</v>
      </c>
      <c r="N680" s="13">
        <f>IF(AND(G680&gt;=Assumptions!$B$4*(1-Assumptions!$B$6),G680&lt;Assumptions!$B$4),1,0)</f>
        <v>0</v>
      </c>
      <c r="O680" s="13">
        <f>IF(AND(G680&gt;=Assumptions!$B$7,MOD(G680,Assumptions!$B$7)=0),1,0)</f>
        <v>0</v>
      </c>
      <c r="P680" s="13">
        <f t="shared" si="52"/>
        <v>0</v>
      </c>
      <c r="Q680" s="13">
        <f t="shared" si="53"/>
        <v>0</v>
      </c>
      <c r="R680" s="13">
        <f>L680*Assumptions!$B$11+M680*Assumptions!$B$12+N680*Assumptions!$B$13+O680*Assumptions!$B$14+P680*Assumptions!$B$15+Q680*Assumptions!$B$16</f>
        <v>0</v>
      </c>
      <c r="S680" s="13" t="str">
        <f>IF(R680&gt;=Assumptions!$B$20,"High",IF(R680&gt;=Assumptions!$B$21,"Medium",IF(R680&gt;=1,"Low","Clear")))</f>
        <v>Clear</v>
      </c>
      <c r="T680" s="13" t="str">
        <f t="shared" si="54"/>
        <v/>
      </c>
    </row>
    <row r="681" spans="1:20" x14ac:dyDescent="0.35">
      <c r="A681" s="13" t="s">
        <v>2813</v>
      </c>
      <c r="B681" s="13" t="s">
        <v>188</v>
      </c>
      <c r="C681" s="13" t="s">
        <v>189</v>
      </c>
      <c r="D681" s="13" t="s">
        <v>2814</v>
      </c>
      <c r="E681" s="14">
        <v>45919</v>
      </c>
      <c r="F681" s="14">
        <v>45950</v>
      </c>
      <c r="G681" s="15">
        <v>435890.6</v>
      </c>
      <c r="H681" s="13" t="s">
        <v>2815</v>
      </c>
      <c r="I681" s="13" t="s">
        <v>2816</v>
      </c>
      <c r="J681" s="13" t="s">
        <v>111</v>
      </c>
      <c r="K681" s="13">
        <f t="shared" si="50"/>
        <v>4</v>
      </c>
      <c r="L681" s="13">
        <f t="shared" si="51"/>
        <v>0</v>
      </c>
      <c r="M681" s="13">
        <f>IF(AND(L681=0,COUNTIFS($B$2:$B$1534,B681,$G$2:$G$1534,G681,$E$2:$E$1534,"&gt;="&amp;(E681-Assumptions!$B$5),$E$2:$E$1534,"&lt;="&amp;(E681+Assumptions!$B$5))&gt;1),1,0)</f>
        <v>0</v>
      </c>
      <c r="N681" s="13">
        <f>IF(AND(G681&gt;=Assumptions!$B$4*(1-Assumptions!$B$6),G681&lt;Assumptions!$B$4),1,0)</f>
        <v>0</v>
      </c>
      <c r="O681" s="13">
        <f>IF(AND(G681&gt;=Assumptions!$B$7,MOD(G681,Assumptions!$B$7)=0),1,0)</f>
        <v>0</v>
      </c>
      <c r="P681" s="13">
        <f t="shared" si="52"/>
        <v>0</v>
      </c>
      <c r="Q681" s="13">
        <f t="shared" si="53"/>
        <v>0</v>
      </c>
      <c r="R681" s="13">
        <f>L681*Assumptions!$B$11+M681*Assumptions!$B$12+N681*Assumptions!$B$13+O681*Assumptions!$B$14+P681*Assumptions!$B$15+Q681*Assumptions!$B$16</f>
        <v>0</v>
      </c>
      <c r="S681" s="13" t="str">
        <f>IF(R681&gt;=Assumptions!$B$20,"High",IF(R681&gt;=Assumptions!$B$21,"Medium",IF(R681&gt;=1,"Low","Clear")))</f>
        <v>Clear</v>
      </c>
      <c r="T681" s="13" t="str">
        <f t="shared" si="54"/>
        <v/>
      </c>
    </row>
    <row r="682" spans="1:20" x14ac:dyDescent="0.35">
      <c r="A682" s="13" t="s">
        <v>2817</v>
      </c>
      <c r="B682" s="13" t="s">
        <v>391</v>
      </c>
      <c r="C682" s="13" t="s">
        <v>392</v>
      </c>
      <c r="D682" s="13" t="s">
        <v>2818</v>
      </c>
      <c r="E682" s="14">
        <v>45914</v>
      </c>
      <c r="F682" s="14">
        <v>45950</v>
      </c>
      <c r="G682" s="15">
        <v>3301.47</v>
      </c>
      <c r="H682" s="13" t="s">
        <v>2819</v>
      </c>
      <c r="I682" s="13" t="s">
        <v>2820</v>
      </c>
      <c r="J682" s="13" t="s">
        <v>111</v>
      </c>
      <c r="K682" s="13">
        <f t="shared" si="50"/>
        <v>3</v>
      </c>
      <c r="L682" s="13">
        <f t="shared" si="51"/>
        <v>0</v>
      </c>
      <c r="M682" s="13">
        <f>IF(AND(L682=0,COUNTIFS($B$2:$B$1534,B682,$G$2:$G$1534,G682,$E$2:$E$1534,"&gt;="&amp;(E682-Assumptions!$B$5),$E$2:$E$1534,"&lt;="&amp;(E682+Assumptions!$B$5))&gt;1),1,0)</f>
        <v>0</v>
      </c>
      <c r="N682" s="13">
        <f>IF(AND(G682&gt;=Assumptions!$B$4*(1-Assumptions!$B$6),G682&lt;Assumptions!$B$4),1,0)</f>
        <v>0</v>
      </c>
      <c r="O682" s="13">
        <f>IF(AND(G682&gt;=Assumptions!$B$7,MOD(G682,Assumptions!$B$7)=0),1,0)</f>
        <v>0</v>
      </c>
      <c r="P682" s="13">
        <f t="shared" si="52"/>
        <v>0</v>
      </c>
      <c r="Q682" s="13">
        <f t="shared" si="53"/>
        <v>0</v>
      </c>
      <c r="R682" s="13">
        <f>L682*Assumptions!$B$11+M682*Assumptions!$B$12+N682*Assumptions!$B$13+O682*Assumptions!$B$14+P682*Assumptions!$B$15+Q682*Assumptions!$B$16</f>
        <v>0</v>
      </c>
      <c r="S682" s="13" t="str">
        <f>IF(R682&gt;=Assumptions!$B$20,"High",IF(R682&gt;=Assumptions!$B$21,"Medium",IF(R682&gt;=1,"Low","Clear")))</f>
        <v>Clear</v>
      </c>
      <c r="T682" s="13" t="str">
        <f t="shared" si="54"/>
        <v/>
      </c>
    </row>
    <row r="683" spans="1:20" x14ac:dyDescent="0.35">
      <c r="A683" s="13" t="s">
        <v>2821</v>
      </c>
      <c r="B683" s="13" t="s">
        <v>228</v>
      </c>
      <c r="C683" s="13" t="s">
        <v>229</v>
      </c>
      <c r="D683" s="13" t="s">
        <v>2822</v>
      </c>
      <c r="E683" s="14">
        <v>45920</v>
      </c>
      <c r="F683" s="14">
        <v>45950</v>
      </c>
      <c r="G683" s="15">
        <v>9285.59</v>
      </c>
      <c r="H683" s="13" t="s">
        <v>2823</v>
      </c>
      <c r="I683" s="13" t="s">
        <v>2824</v>
      </c>
      <c r="J683" s="13" t="s">
        <v>136</v>
      </c>
      <c r="K683" s="13">
        <f t="shared" si="50"/>
        <v>9</v>
      </c>
      <c r="L683" s="13">
        <f t="shared" si="51"/>
        <v>0</v>
      </c>
      <c r="M683" s="13">
        <f>IF(AND(L683=0,COUNTIFS($B$2:$B$1534,B683,$G$2:$G$1534,G683,$E$2:$E$1534,"&gt;="&amp;(E683-Assumptions!$B$5),$E$2:$E$1534,"&lt;="&amp;(E683+Assumptions!$B$5))&gt;1),1,0)</f>
        <v>0</v>
      </c>
      <c r="N683" s="13">
        <f>IF(AND(G683&gt;=Assumptions!$B$4*(1-Assumptions!$B$6),G683&lt;Assumptions!$B$4),1,0)</f>
        <v>0</v>
      </c>
      <c r="O683" s="13">
        <f>IF(AND(G683&gt;=Assumptions!$B$7,MOD(G683,Assumptions!$B$7)=0),1,0)</f>
        <v>0</v>
      </c>
      <c r="P683" s="13">
        <f t="shared" si="52"/>
        <v>0</v>
      </c>
      <c r="Q683" s="13">
        <f t="shared" si="53"/>
        <v>0</v>
      </c>
      <c r="R683" s="13">
        <f>L683*Assumptions!$B$11+M683*Assumptions!$B$12+N683*Assumptions!$B$13+O683*Assumptions!$B$14+P683*Assumptions!$B$15+Q683*Assumptions!$B$16</f>
        <v>0</v>
      </c>
      <c r="S683" s="13" t="str">
        <f>IF(R683&gt;=Assumptions!$B$20,"High",IF(R683&gt;=Assumptions!$B$21,"Medium",IF(R683&gt;=1,"Low","Clear")))</f>
        <v>Clear</v>
      </c>
      <c r="T683" s="13" t="str">
        <f t="shared" si="54"/>
        <v/>
      </c>
    </row>
    <row r="684" spans="1:20" x14ac:dyDescent="0.35">
      <c r="A684" s="13" t="s">
        <v>2825</v>
      </c>
      <c r="B684" s="13" t="s">
        <v>498</v>
      </c>
      <c r="C684" s="13" t="s">
        <v>499</v>
      </c>
      <c r="D684" s="13" t="s">
        <v>2826</v>
      </c>
      <c r="E684" s="14">
        <v>45915</v>
      </c>
      <c r="F684" s="14">
        <v>45950</v>
      </c>
      <c r="G684" s="15">
        <v>28462.81</v>
      </c>
      <c r="H684" s="13" t="s">
        <v>2827</v>
      </c>
      <c r="I684" s="13" t="s">
        <v>2828</v>
      </c>
      <c r="J684" s="13" t="s">
        <v>91</v>
      </c>
      <c r="K684" s="13">
        <f t="shared" si="50"/>
        <v>2</v>
      </c>
      <c r="L684" s="13">
        <f t="shared" si="51"/>
        <v>0</v>
      </c>
      <c r="M684" s="13">
        <f>IF(AND(L684=0,COUNTIFS($B$2:$B$1534,B684,$G$2:$G$1534,G684,$E$2:$E$1534,"&gt;="&amp;(E684-Assumptions!$B$5),$E$2:$E$1534,"&lt;="&amp;(E684+Assumptions!$B$5))&gt;1),1,0)</f>
        <v>0</v>
      </c>
      <c r="N684" s="13">
        <f>IF(AND(G684&gt;=Assumptions!$B$4*(1-Assumptions!$B$6),G684&lt;Assumptions!$B$4),1,0)</f>
        <v>0</v>
      </c>
      <c r="O684" s="13">
        <f>IF(AND(G684&gt;=Assumptions!$B$7,MOD(G684,Assumptions!$B$7)=0),1,0)</f>
        <v>0</v>
      </c>
      <c r="P684" s="13">
        <f t="shared" si="52"/>
        <v>0</v>
      </c>
      <c r="Q684" s="13">
        <f t="shared" si="53"/>
        <v>0</v>
      </c>
      <c r="R684" s="13">
        <f>L684*Assumptions!$B$11+M684*Assumptions!$B$12+N684*Assumptions!$B$13+O684*Assumptions!$B$14+P684*Assumptions!$B$15+Q684*Assumptions!$B$16</f>
        <v>0</v>
      </c>
      <c r="S684" s="13" t="str">
        <f>IF(R684&gt;=Assumptions!$B$20,"High",IF(R684&gt;=Assumptions!$B$21,"Medium",IF(R684&gt;=1,"Low","Clear")))</f>
        <v>Clear</v>
      </c>
      <c r="T684" s="13" t="str">
        <f t="shared" si="54"/>
        <v/>
      </c>
    </row>
    <row r="685" spans="1:20" x14ac:dyDescent="0.35">
      <c r="A685" s="13" t="s">
        <v>2829</v>
      </c>
      <c r="B685" s="13" t="s">
        <v>86</v>
      </c>
      <c r="C685" s="13" t="s">
        <v>87</v>
      </c>
      <c r="D685" s="13" t="s">
        <v>2830</v>
      </c>
      <c r="E685" s="14">
        <v>45923</v>
      </c>
      <c r="F685" s="14">
        <v>45950</v>
      </c>
      <c r="G685" s="15">
        <v>8718.59</v>
      </c>
      <c r="H685" s="13" t="s">
        <v>2831</v>
      </c>
      <c r="I685" s="13" t="s">
        <v>2832</v>
      </c>
      <c r="J685" s="13" t="s">
        <v>136</v>
      </c>
      <c r="K685" s="13">
        <f t="shared" si="50"/>
        <v>8</v>
      </c>
      <c r="L685" s="13">
        <f t="shared" si="51"/>
        <v>0</v>
      </c>
      <c r="M685" s="13">
        <f>IF(AND(L685=0,COUNTIFS($B$2:$B$1534,B685,$G$2:$G$1534,G685,$E$2:$E$1534,"&gt;="&amp;(E685-Assumptions!$B$5),$E$2:$E$1534,"&lt;="&amp;(E685+Assumptions!$B$5))&gt;1),1,0)</f>
        <v>0</v>
      </c>
      <c r="N685" s="13">
        <f>IF(AND(G685&gt;=Assumptions!$B$4*(1-Assumptions!$B$6),G685&lt;Assumptions!$B$4),1,0)</f>
        <v>0</v>
      </c>
      <c r="O685" s="13">
        <f>IF(AND(G685&gt;=Assumptions!$B$7,MOD(G685,Assumptions!$B$7)=0),1,0)</f>
        <v>0</v>
      </c>
      <c r="P685" s="13">
        <f t="shared" si="52"/>
        <v>0</v>
      </c>
      <c r="Q685" s="13">
        <f t="shared" si="53"/>
        <v>0</v>
      </c>
      <c r="R685" s="13">
        <f>L685*Assumptions!$B$11+M685*Assumptions!$B$12+N685*Assumptions!$B$13+O685*Assumptions!$B$14+P685*Assumptions!$B$15+Q685*Assumptions!$B$16</f>
        <v>0</v>
      </c>
      <c r="S685" s="13" t="str">
        <f>IF(R685&gt;=Assumptions!$B$20,"High",IF(R685&gt;=Assumptions!$B$21,"Medium",IF(R685&gt;=1,"Low","Clear")))</f>
        <v>Clear</v>
      </c>
      <c r="T685" s="13" t="str">
        <f t="shared" si="54"/>
        <v/>
      </c>
    </row>
    <row r="686" spans="1:20" x14ac:dyDescent="0.35">
      <c r="A686" s="13" t="s">
        <v>2833</v>
      </c>
      <c r="B686" s="13" t="s">
        <v>234</v>
      </c>
      <c r="C686" s="13" t="s">
        <v>235</v>
      </c>
      <c r="D686" s="13" t="s">
        <v>2834</v>
      </c>
      <c r="E686" s="14">
        <v>45926</v>
      </c>
      <c r="F686" s="14">
        <v>45950</v>
      </c>
      <c r="G686" s="15">
        <v>20759.16</v>
      </c>
      <c r="H686" s="13" t="s">
        <v>2835</v>
      </c>
      <c r="I686" s="13" t="s">
        <v>2836</v>
      </c>
      <c r="J686" s="13" t="s">
        <v>143</v>
      </c>
      <c r="K686" s="13">
        <f t="shared" si="50"/>
        <v>2</v>
      </c>
      <c r="L686" s="13">
        <f t="shared" si="51"/>
        <v>0</v>
      </c>
      <c r="M686" s="13">
        <f>IF(AND(L686=0,COUNTIFS($B$2:$B$1534,B686,$G$2:$G$1534,G686,$E$2:$E$1534,"&gt;="&amp;(E686-Assumptions!$B$5),$E$2:$E$1534,"&lt;="&amp;(E686+Assumptions!$B$5))&gt;1),1,0)</f>
        <v>0</v>
      </c>
      <c r="N686" s="13">
        <f>IF(AND(G686&gt;=Assumptions!$B$4*(1-Assumptions!$B$6),G686&lt;Assumptions!$B$4),1,0)</f>
        <v>0</v>
      </c>
      <c r="O686" s="13">
        <f>IF(AND(G686&gt;=Assumptions!$B$7,MOD(G686,Assumptions!$B$7)=0),1,0)</f>
        <v>0</v>
      </c>
      <c r="P686" s="13">
        <f t="shared" si="52"/>
        <v>0</v>
      </c>
      <c r="Q686" s="13">
        <f t="shared" si="53"/>
        <v>0</v>
      </c>
      <c r="R686" s="13">
        <f>L686*Assumptions!$B$11+M686*Assumptions!$B$12+N686*Assumptions!$B$13+O686*Assumptions!$B$14+P686*Assumptions!$B$15+Q686*Assumptions!$B$16</f>
        <v>0</v>
      </c>
      <c r="S686" s="13" t="str">
        <f>IF(R686&gt;=Assumptions!$B$20,"High",IF(R686&gt;=Assumptions!$B$21,"Medium",IF(R686&gt;=1,"Low","Clear")))</f>
        <v>Clear</v>
      </c>
      <c r="T686" s="13" t="str">
        <f t="shared" si="54"/>
        <v/>
      </c>
    </row>
    <row r="687" spans="1:20" x14ac:dyDescent="0.35">
      <c r="A687" s="13" t="s">
        <v>2837</v>
      </c>
      <c r="B687" s="13" t="s">
        <v>131</v>
      </c>
      <c r="C687" s="13" t="s">
        <v>132</v>
      </c>
      <c r="D687" s="13" t="s">
        <v>2838</v>
      </c>
      <c r="E687" s="14">
        <v>45919</v>
      </c>
      <c r="F687" s="14">
        <v>45950</v>
      </c>
      <c r="G687" s="15">
        <v>477617.79</v>
      </c>
      <c r="H687" s="13" t="s">
        <v>2839</v>
      </c>
      <c r="I687" s="13" t="s">
        <v>2840</v>
      </c>
      <c r="J687" s="13" t="s">
        <v>143</v>
      </c>
      <c r="K687" s="13">
        <f t="shared" si="50"/>
        <v>4</v>
      </c>
      <c r="L687" s="13">
        <f t="shared" si="51"/>
        <v>0</v>
      </c>
      <c r="M687" s="13">
        <f>IF(AND(L687=0,COUNTIFS($B$2:$B$1534,B687,$G$2:$G$1534,G687,$E$2:$E$1534,"&gt;="&amp;(E687-Assumptions!$B$5),$E$2:$E$1534,"&lt;="&amp;(E687+Assumptions!$B$5))&gt;1),1,0)</f>
        <v>0</v>
      </c>
      <c r="N687" s="13">
        <f>IF(AND(G687&gt;=Assumptions!$B$4*(1-Assumptions!$B$6),G687&lt;Assumptions!$B$4),1,0)</f>
        <v>0</v>
      </c>
      <c r="O687" s="13">
        <f>IF(AND(G687&gt;=Assumptions!$B$7,MOD(G687,Assumptions!$B$7)=0),1,0)</f>
        <v>0</v>
      </c>
      <c r="P687" s="13">
        <f t="shared" si="52"/>
        <v>0</v>
      </c>
      <c r="Q687" s="13">
        <f t="shared" si="53"/>
        <v>0</v>
      </c>
      <c r="R687" s="13">
        <f>L687*Assumptions!$B$11+M687*Assumptions!$B$12+N687*Assumptions!$B$13+O687*Assumptions!$B$14+P687*Assumptions!$B$15+Q687*Assumptions!$B$16</f>
        <v>0</v>
      </c>
      <c r="S687" s="13" t="str">
        <f>IF(R687&gt;=Assumptions!$B$20,"High",IF(R687&gt;=Assumptions!$B$21,"Medium",IF(R687&gt;=1,"Low","Clear")))</f>
        <v>Clear</v>
      </c>
      <c r="T687" s="13" t="str">
        <f t="shared" si="54"/>
        <v/>
      </c>
    </row>
    <row r="688" spans="1:20" x14ac:dyDescent="0.35">
      <c r="A688" s="13" t="s">
        <v>2841</v>
      </c>
      <c r="B688" s="13" t="s">
        <v>206</v>
      </c>
      <c r="C688" s="13" t="s">
        <v>207</v>
      </c>
      <c r="D688" s="13" t="s">
        <v>2842</v>
      </c>
      <c r="E688" s="14">
        <v>45924</v>
      </c>
      <c r="F688" s="14">
        <v>45950</v>
      </c>
      <c r="G688" s="15">
        <v>13144.52</v>
      </c>
      <c r="H688" s="13" t="s">
        <v>2843</v>
      </c>
      <c r="I688" s="13" t="s">
        <v>2844</v>
      </c>
      <c r="J688" s="13" t="s">
        <v>91</v>
      </c>
      <c r="K688" s="13">
        <f t="shared" si="50"/>
        <v>1</v>
      </c>
      <c r="L688" s="13">
        <f t="shared" si="51"/>
        <v>0</v>
      </c>
      <c r="M688" s="13">
        <f>IF(AND(L688=0,COUNTIFS($B$2:$B$1534,B688,$G$2:$G$1534,G688,$E$2:$E$1534,"&gt;="&amp;(E688-Assumptions!$B$5),$E$2:$E$1534,"&lt;="&amp;(E688+Assumptions!$B$5))&gt;1),1,0)</f>
        <v>0</v>
      </c>
      <c r="N688" s="13">
        <f>IF(AND(G688&gt;=Assumptions!$B$4*(1-Assumptions!$B$6),G688&lt;Assumptions!$B$4),1,0)</f>
        <v>0</v>
      </c>
      <c r="O688" s="13">
        <f>IF(AND(G688&gt;=Assumptions!$B$7,MOD(G688,Assumptions!$B$7)=0),1,0)</f>
        <v>0</v>
      </c>
      <c r="P688" s="13">
        <f t="shared" si="52"/>
        <v>0</v>
      </c>
      <c r="Q688" s="13">
        <f t="shared" si="53"/>
        <v>0</v>
      </c>
      <c r="R688" s="13">
        <f>L688*Assumptions!$B$11+M688*Assumptions!$B$12+N688*Assumptions!$B$13+O688*Assumptions!$B$14+P688*Assumptions!$B$15+Q688*Assumptions!$B$16</f>
        <v>0</v>
      </c>
      <c r="S688" s="13" t="str">
        <f>IF(R688&gt;=Assumptions!$B$20,"High",IF(R688&gt;=Assumptions!$B$21,"Medium",IF(R688&gt;=1,"Low","Clear")))</f>
        <v>Clear</v>
      </c>
      <c r="T688" s="13" t="str">
        <f t="shared" si="54"/>
        <v/>
      </c>
    </row>
    <row r="689" spans="1:20" x14ac:dyDescent="0.35">
      <c r="A689" s="13" t="s">
        <v>2845</v>
      </c>
      <c r="B689" s="13" t="s">
        <v>307</v>
      </c>
      <c r="C689" s="13" t="s">
        <v>308</v>
      </c>
      <c r="D689" s="13" t="s">
        <v>2846</v>
      </c>
      <c r="E689" s="14">
        <v>45917</v>
      </c>
      <c r="F689" s="14">
        <v>45950</v>
      </c>
      <c r="G689" s="15">
        <v>7598.42</v>
      </c>
      <c r="H689" s="13" t="s">
        <v>2847</v>
      </c>
      <c r="I689" s="13" t="s">
        <v>2848</v>
      </c>
      <c r="J689" s="13" t="s">
        <v>91</v>
      </c>
      <c r="K689" s="13">
        <f t="shared" si="50"/>
        <v>7</v>
      </c>
      <c r="L689" s="13">
        <f t="shared" si="51"/>
        <v>0</v>
      </c>
      <c r="M689" s="13">
        <f>IF(AND(L689=0,COUNTIFS($B$2:$B$1534,B689,$G$2:$G$1534,G689,$E$2:$E$1534,"&gt;="&amp;(E689-Assumptions!$B$5),$E$2:$E$1534,"&lt;="&amp;(E689+Assumptions!$B$5))&gt;1),1,0)</f>
        <v>0</v>
      </c>
      <c r="N689" s="13">
        <f>IF(AND(G689&gt;=Assumptions!$B$4*(1-Assumptions!$B$6),G689&lt;Assumptions!$B$4),1,0)</f>
        <v>0</v>
      </c>
      <c r="O689" s="13">
        <f>IF(AND(G689&gt;=Assumptions!$B$7,MOD(G689,Assumptions!$B$7)=0),1,0)</f>
        <v>0</v>
      </c>
      <c r="P689" s="13">
        <f t="shared" si="52"/>
        <v>0</v>
      </c>
      <c r="Q689" s="13">
        <f t="shared" si="53"/>
        <v>0</v>
      </c>
      <c r="R689" s="13">
        <f>L689*Assumptions!$B$11+M689*Assumptions!$B$12+N689*Assumptions!$B$13+O689*Assumptions!$B$14+P689*Assumptions!$B$15+Q689*Assumptions!$B$16</f>
        <v>0</v>
      </c>
      <c r="S689" s="13" t="str">
        <f>IF(R689&gt;=Assumptions!$B$20,"High",IF(R689&gt;=Assumptions!$B$21,"Medium",IF(R689&gt;=1,"Low","Clear")))</f>
        <v>Clear</v>
      </c>
      <c r="T689" s="13" t="str">
        <f t="shared" si="54"/>
        <v/>
      </c>
    </row>
    <row r="690" spans="1:20" x14ac:dyDescent="0.35">
      <c r="A690" s="13" t="s">
        <v>2849</v>
      </c>
      <c r="B690" s="13" t="s">
        <v>307</v>
      </c>
      <c r="C690" s="13" t="s">
        <v>308</v>
      </c>
      <c r="D690" s="13" t="s">
        <v>2850</v>
      </c>
      <c r="E690" s="14">
        <v>45914</v>
      </c>
      <c r="F690" s="14">
        <v>45950</v>
      </c>
      <c r="G690" s="15">
        <v>29008.16</v>
      </c>
      <c r="H690" s="13" t="s">
        <v>2851</v>
      </c>
      <c r="I690" s="13" t="s">
        <v>2852</v>
      </c>
      <c r="J690" s="13" t="s">
        <v>111</v>
      </c>
      <c r="K690" s="13">
        <f t="shared" si="50"/>
        <v>2</v>
      </c>
      <c r="L690" s="13">
        <f t="shared" si="51"/>
        <v>0</v>
      </c>
      <c r="M690" s="13">
        <f>IF(AND(L690=0,COUNTIFS($B$2:$B$1534,B690,$G$2:$G$1534,G690,$E$2:$E$1534,"&gt;="&amp;(E690-Assumptions!$B$5),$E$2:$E$1534,"&lt;="&amp;(E690+Assumptions!$B$5))&gt;1),1,0)</f>
        <v>0</v>
      </c>
      <c r="N690" s="13">
        <f>IF(AND(G690&gt;=Assumptions!$B$4*(1-Assumptions!$B$6),G690&lt;Assumptions!$B$4),1,0)</f>
        <v>0</v>
      </c>
      <c r="O690" s="13">
        <f>IF(AND(G690&gt;=Assumptions!$B$7,MOD(G690,Assumptions!$B$7)=0),1,0)</f>
        <v>0</v>
      </c>
      <c r="P690" s="13">
        <f t="shared" si="52"/>
        <v>0</v>
      </c>
      <c r="Q690" s="13">
        <f t="shared" si="53"/>
        <v>0</v>
      </c>
      <c r="R690" s="13">
        <f>L690*Assumptions!$B$11+M690*Assumptions!$B$12+N690*Assumptions!$B$13+O690*Assumptions!$B$14+P690*Assumptions!$B$15+Q690*Assumptions!$B$16</f>
        <v>0</v>
      </c>
      <c r="S690" s="13" t="str">
        <f>IF(R690&gt;=Assumptions!$B$20,"High",IF(R690&gt;=Assumptions!$B$21,"Medium",IF(R690&gt;=1,"Low","Clear")))</f>
        <v>Clear</v>
      </c>
      <c r="T690" s="13" t="str">
        <f t="shared" si="54"/>
        <v/>
      </c>
    </row>
    <row r="691" spans="1:20" x14ac:dyDescent="0.35">
      <c r="A691" s="13" t="s">
        <v>2853</v>
      </c>
      <c r="B691" s="13" t="s">
        <v>119</v>
      </c>
      <c r="C691" s="13" t="s">
        <v>120</v>
      </c>
      <c r="D691" s="13" t="s">
        <v>2854</v>
      </c>
      <c r="E691" s="14">
        <v>45914</v>
      </c>
      <c r="F691" s="14">
        <v>45950</v>
      </c>
      <c r="G691" s="15">
        <v>29005.56</v>
      </c>
      <c r="H691" s="13" t="s">
        <v>2855</v>
      </c>
      <c r="I691" s="13" t="s">
        <v>2856</v>
      </c>
      <c r="J691" s="13" t="s">
        <v>111</v>
      </c>
      <c r="K691" s="13">
        <f t="shared" si="50"/>
        <v>2</v>
      </c>
      <c r="L691" s="13">
        <f t="shared" si="51"/>
        <v>0</v>
      </c>
      <c r="M691" s="13">
        <f>IF(AND(L691=0,COUNTIFS($B$2:$B$1534,B691,$G$2:$G$1534,G691,$E$2:$E$1534,"&gt;="&amp;(E691-Assumptions!$B$5),$E$2:$E$1534,"&lt;="&amp;(E691+Assumptions!$B$5))&gt;1),1,0)</f>
        <v>0</v>
      </c>
      <c r="N691" s="13">
        <f>IF(AND(G691&gt;=Assumptions!$B$4*(1-Assumptions!$B$6),G691&lt;Assumptions!$B$4),1,0)</f>
        <v>0</v>
      </c>
      <c r="O691" s="13">
        <f>IF(AND(G691&gt;=Assumptions!$B$7,MOD(G691,Assumptions!$B$7)=0),1,0)</f>
        <v>0</v>
      </c>
      <c r="P691" s="13">
        <f t="shared" si="52"/>
        <v>0</v>
      </c>
      <c r="Q691" s="13">
        <f t="shared" si="53"/>
        <v>0</v>
      </c>
      <c r="R691" s="13">
        <f>L691*Assumptions!$B$11+M691*Assumptions!$B$12+N691*Assumptions!$B$13+O691*Assumptions!$B$14+P691*Assumptions!$B$15+Q691*Assumptions!$B$16</f>
        <v>0</v>
      </c>
      <c r="S691" s="13" t="str">
        <f>IF(R691&gt;=Assumptions!$B$20,"High",IF(R691&gt;=Assumptions!$B$21,"Medium",IF(R691&gt;=1,"Low","Clear")))</f>
        <v>Clear</v>
      </c>
      <c r="T691" s="13" t="str">
        <f t="shared" si="54"/>
        <v/>
      </c>
    </row>
    <row r="692" spans="1:20" x14ac:dyDescent="0.35">
      <c r="A692" s="13" t="s">
        <v>2857</v>
      </c>
      <c r="B692" s="13" t="s">
        <v>119</v>
      </c>
      <c r="C692" s="13" t="s">
        <v>120</v>
      </c>
      <c r="D692" s="13" t="s">
        <v>2858</v>
      </c>
      <c r="E692" s="14">
        <v>45921</v>
      </c>
      <c r="F692" s="14">
        <v>45950</v>
      </c>
      <c r="G692" s="15">
        <v>18090.14</v>
      </c>
      <c r="H692" s="13" t="s">
        <v>2859</v>
      </c>
      <c r="I692" s="13"/>
      <c r="J692" s="13" t="s">
        <v>136</v>
      </c>
      <c r="K692" s="13">
        <f t="shared" si="50"/>
        <v>1</v>
      </c>
      <c r="L692" s="13">
        <f t="shared" si="51"/>
        <v>0</v>
      </c>
      <c r="M692" s="13">
        <f>IF(AND(L692=0,COUNTIFS($B$2:$B$1534,B692,$G$2:$G$1534,G692,$E$2:$E$1534,"&gt;="&amp;(E692-Assumptions!$B$5),$E$2:$E$1534,"&lt;="&amp;(E692+Assumptions!$B$5))&gt;1),1,0)</f>
        <v>0</v>
      </c>
      <c r="N692" s="13">
        <f>IF(AND(G692&gt;=Assumptions!$B$4*(1-Assumptions!$B$6),G692&lt;Assumptions!$B$4),1,0)</f>
        <v>0</v>
      </c>
      <c r="O692" s="13">
        <f>IF(AND(G692&gt;=Assumptions!$B$7,MOD(G692,Assumptions!$B$7)=0),1,0)</f>
        <v>0</v>
      </c>
      <c r="P692" s="13">
        <f t="shared" si="52"/>
        <v>1</v>
      </c>
      <c r="Q692" s="13">
        <f t="shared" si="53"/>
        <v>0</v>
      </c>
      <c r="R692" s="13">
        <f>L692*Assumptions!$B$11+M692*Assumptions!$B$12+N692*Assumptions!$B$13+O692*Assumptions!$B$14+P692*Assumptions!$B$15+Q692*Assumptions!$B$16</f>
        <v>4</v>
      </c>
      <c r="S692" s="13" t="str">
        <f>IF(R692&gt;=Assumptions!$B$20,"High",IF(R692&gt;=Assumptions!$B$21,"Medium",IF(R692&gt;=1,"Low","Clear")))</f>
        <v>Medium</v>
      </c>
      <c r="T692" s="13" t="str">
        <f t="shared" si="54"/>
        <v xml:space="preserve">No PO/GRN; </v>
      </c>
    </row>
    <row r="693" spans="1:20" x14ac:dyDescent="0.35">
      <c r="A693" s="13" t="s">
        <v>2860</v>
      </c>
      <c r="B693" s="13" t="s">
        <v>317</v>
      </c>
      <c r="C693" s="13" t="s">
        <v>318</v>
      </c>
      <c r="D693" s="13" t="s">
        <v>2861</v>
      </c>
      <c r="E693" s="14">
        <v>45917</v>
      </c>
      <c r="F693" s="14">
        <v>45950</v>
      </c>
      <c r="G693" s="15">
        <v>2078.9</v>
      </c>
      <c r="H693" s="13" t="s">
        <v>2862</v>
      </c>
      <c r="I693" s="13" t="s">
        <v>2863</v>
      </c>
      <c r="J693" s="13" t="s">
        <v>143</v>
      </c>
      <c r="K693" s="13">
        <f t="shared" si="50"/>
        <v>2</v>
      </c>
      <c r="L693" s="13">
        <f t="shared" si="51"/>
        <v>0</v>
      </c>
      <c r="M693" s="13">
        <f>IF(AND(L693=0,COUNTIFS($B$2:$B$1534,B693,$G$2:$G$1534,G693,$E$2:$E$1534,"&gt;="&amp;(E693-Assumptions!$B$5),$E$2:$E$1534,"&lt;="&amp;(E693+Assumptions!$B$5))&gt;1),1,0)</f>
        <v>0</v>
      </c>
      <c r="N693" s="13">
        <f>IF(AND(G693&gt;=Assumptions!$B$4*(1-Assumptions!$B$6),G693&lt;Assumptions!$B$4),1,0)</f>
        <v>0</v>
      </c>
      <c r="O693" s="13">
        <f>IF(AND(G693&gt;=Assumptions!$B$7,MOD(G693,Assumptions!$B$7)=0),1,0)</f>
        <v>0</v>
      </c>
      <c r="P693" s="13">
        <f t="shared" si="52"/>
        <v>0</v>
      </c>
      <c r="Q693" s="13">
        <f t="shared" si="53"/>
        <v>0</v>
      </c>
      <c r="R693" s="13">
        <f>L693*Assumptions!$B$11+M693*Assumptions!$B$12+N693*Assumptions!$B$13+O693*Assumptions!$B$14+P693*Assumptions!$B$15+Q693*Assumptions!$B$16</f>
        <v>0</v>
      </c>
      <c r="S693" s="13" t="str">
        <f>IF(R693&gt;=Assumptions!$B$20,"High",IF(R693&gt;=Assumptions!$B$21,"Medium",IF(R693&gt;=1,"Low","Clear")))</f>
        <v>Clear</v>
      </c>
      <c r="T693" s="13" t="str">
        <f t="shared" si="54"/>
        <v/>
      </c>
    </row>
    <row r="694" spans="1:20" x14ac:dyDescent="0.35">
      <c r="A694" s="13" t="s">
        <v>2864</v>
      </c>
      <c r="B694" s="13" t="s">
        <v>161</v>
      </c>
      <c r="C694" s="13" t="s">
        <v>162</v>
      </c>
      <c r="D694" s="13" t="s">
        <v>2865</v>
      </c>
      <c r="E694" s="14">
        <v>45925</v>
      </c>
      <c r="F694" s="14">
        <v>45950</v>
      </c>
      <c r="G694" s="15">
        <v>6713.5</v>
      </c>
      <c r="H694" s="13" t="s">
        <v>2866</v>
      </c>
      <c r="I694" s="13" t="s">
        <v>2867</v>
      </c>
      <c r="J694" s="13" t="s">
        <v>111</v>
      </c>
      <c r="K694" s="13">
        <f t="shared" si="50"/>
        <v>6</v>
      </c>
      <c r="L694" s="13">
        <f t="shared" si="51"/>
        <v>0</v>
      </c>
      <c r="M694" s="13">
        <f>IF(AND(L694=0,COUNTIFS($B$2:$B$1534,B694,$G$2:$G$1534,G694,$E$2:$E$1534,"&gt;="&amp;(E694-Assumptions!$B$5),$E$2:$E$1534,"&lt;="&amp;(E694+Assumptions!$B$5))&gt;1),1,0)</f>
        <v>0</v>
      </c>
      <c r="N694" s="13">
        <f>IF(AND(G694&gt;=Assumptions!$B$4*(1-Assumptions!$B$6),G694&lt;Assumptions!$B$4),1,0)</f>
        <v>0</v>
      </c>
      <c r="O694" s="13">
        <f>IF(AND(G694&gt;=Assumptions!$B$7,MOD(G694,Assumptions!$B$7)=0),1,0)</f>
        <v>0</v>
      </c>
      <c r="P694" s="13">
        <f t="shared" si="52"/>
        <v>0</v>
      </c>
      <c r="Q694" s="13">
        <f t="shared" si="53"/>
        <v>0</v>
      </c>
      <c r="R694" s="13">
        <f>L694*Assumptions!$B$11+M694*Assumptions!$B$12+N694*Assumptions!$B$13+O694*Assumptions!$B$14+P694*Assumptions!$B$15+Q694*Assumptions!$B$16</f>
        <v>0</v>
      </c>
      <c r="S694" s="13" t="str">
        <f>IF(R694&gt;=Assumptions!$B$20,"High",IF(R694&gt;=Assumptions!$B$21,"Medium",IF(R694&gt;=1,"Low","Clear")))</f>
        <v>Clear</v>
      </c>
      <c r="T694" s="13" t="str">
        <f t="shared" si="54"/>
        <v/>
      </c>
    </row>
    <row r="695" spans="1:20" x14ac:dyDescent="0.35">
      <c r="A695" s="13" t="s">
        <v>2868</v>
      </c>
      <c r="B695" s="13" t="s">
        <v>339</v>
      </c>
      <c r="C695" s="13" t="s">
        <v>340</v>
      </c>
      <c r="D695" s="13" t="s">
        <v>2869</v>
      </c>
      <c r="E695" s="14">
        <v>45923</v>
      </c>
      <c r="F695" s="14">
        <v>45950</v>
      </c>
      <c r="G695" s="15">
        <v>134798.37</v>
      </c>
      <c r="H695" s="13" t="s">
        <v>2870</v>
      </c>
      <c r="I695" s="13" t="s">
        <v>2871</v>
      </c>
      <c r="J695" s="13" t="s">
        <v>143</v>
      </c>
      <c r="K695" s="13">
        <f t="shared" si="50"/>
        <v>1</v>
      </c>
      <c r="L695" s="13">
        <f t="shared" si="51"/>
        <v>0</v>
      </c>
      <c r="M695" s="13">
        <f>IF(AND(L695=0,COUNTIFS($B$2:$B$1534,B695,$G$2:$G$1534,G695,$E$2:$E$1534,"&gt;="&amp;(E695-Assumptions!$B$5),$E$2:$E$1534,"&lt;="&amp;(E695+Assumptions!$B$5))&gt;1),1,0)</f>
        <v>0</v>
      </c>
      <c r="N695" s="13">
        <f>IF(AND(G695&gt;=Assumptions!$B$4*(1-Assumptions!$B$6),G695&lt;Assumptions!$B$4),1,0)</f>
        <v>0</v>
      </c>
      <c r="O695" s="13">
        <f>IF(AND(G695&gt;=Assumptions!$B$7,MOD(G695,Assumptions!$B$7)=0),1,0)</f>
        <v>0</v>
      </c>
      <c r="P695" s="13">
        <f t="shared" si="52"/>
        <v>0</v>
      </c>
      <c r="Q695" s="13">
        <f t="shared" si="53"/>
        <v>0</v>
      </c>
      <c r="R695" s="13">
        <f>L695*Assumptions!$B$11+M695*Assumptions!$B$12+N695*Assumptions!$B$13+O695*Assumptions!$B$14+P695*Assumptions!$B$15+Q695*Assumptions!$B$16</f>
        <v>0</v>
      </c>
      <c r="S695" s="13" t="str">
        <f>IF(R695&gt;=Assumptions!$B$20,"High",IF(R695&gt;=Assumptions!$B$21,"Medium",IF(R695&gt;=1,"Low","Clear")))</f>
        <v>Clear</v>
      </c>
      <c r="T695" s="13" t="str">
        <f t="shared" si="54"/>
        <v/>
      </c>
    </row>
    <row r="696" spans="1:20" x14ac:dyDescent="0.35">
      <c r="A696" s="13" t="s">
        <v>2872</v>
      </c>
      <c r="B696" s="13" t="s">
        <v>145</v>
      </c>
      <c r="C696" s="13" t="s">
        <v>146</v>
      </c>
      <c r="D696" s="13" t="s">
        <v>2873</v>
      </c>
      <c r="E696" s="14">
        <v>45924</v>
      </c>
      <c r="F696" s="14">
        <v>45950</v>
      </c>
      <c r="G696" s="15">
        <v>6413.04</v>
      </c>
      <c r="H696" s="13" t="s">
        <v>2874</v>
      </c>
      <c r="I696" s="13" t="s">
        <v>2875</v>
      </c>
      <c r="J696" s="13" t="s">
        <v>136</v>
      </c>
      <c r="K696" s="13">
        <f t="shared" si="50"/>
        <v>6</v>
      </c>
      <c r="L696" s="13">
        <f t="shared" si="51"/>
        <v>0</v>
      </c>
      <c r="M696" s="13">
        <f>IF(AND(L696=0,COUNTIFS($B$2:$B$1534,B696,$G$2:$G$1534,G696,$E$2:$E$1534,"&gt;="&amp;(E696-Assumptions!$B$5),$E$2:$E$1534,"&lt;="&amp;(E696+Assumptions!$B$5))&gt;1),1,0)</f>
        <v>0</v>
      </c>
      <c r="N696" s="13">
        <f>IF(AND(G696&gt;=Assumptions!$B$4*(1-Assumptions!$B$6),G696&lt;Assumptions!$B$4),1,0)</f>
        <v>0</v>
      </c>
      <c r="O696" s="13">
        <f>IF(AND(G696&gt;=Assumptions!$B$7,MOD(G696,Assumptions!$B$7)=0),1,0)</f>
        <v>0</v>
      </c>
      <c r="P696" s="13">
        <f t="shared" si="52"/>
        <v>0</v>
      </c>
      <c r="Q696" s="13">
        <f t="shared" si="53"/>
        <v>0</v>
      </c>
      <c r="R696" s="13">
        <f>L696*Assumptions!$B$11+M696*Assumptions!$B$12+N696*Assumptions!$B$13+O696*Assumptions!$B$14+P696*Assumptions!$B$15+Q696*Assumptions!$B$16</f>
        <v>0</v>
      </c>
      <c r="S696" s="13" t="str">
        <f>IF(R696&gt;=Assumptions!$B$20,"High",IF(R696&gt;=Assumptions!$B$21,"Medium",IF(R696&gt;=1,"Low","Clear")))</f>
        <v>Clear</v>
      </c>
      <c r="T696" s="13" t="str">
        <f t="shared" si="54"/>
        <v/>
      </c>
    </row>
    <row r="697" spans="1:20" x14ac:dyDescent="0.35">
      <c r="A697" s="13" t="s">
        <v>2876</v>
      </c>
      <c r="B697" s="13" t="s">
        <v>556</v>
      </c>
      <c r="C697" s="13" t="s">
        <v>557</v>
      </c>
      <c r="D697" s="13" t="s">
        <v>2877</v>
      </c>
      <c r="E697" s="14">
        <v>45920</v>
      </c>
      <c r="F697" s="14">
        <v>45950</v>
      </c>
      <c r="G697" s="15">
        <v>1591.51</v>
      </c>
      <c r="H697" s="13" t="s">
        <v>2878</v>
      </c>
      <c r="I697" s="13" t="s">
        <v>2879</v>
      </c>
      <c r="J697" s="13" t="s">
        <v>98</v>
      </c>
      <c r="K697" s="13">
        <f t="shared" si="50"/>
        <v>1</v>
      </c>
      <c r="L697" s="13">
        <f t="shared" si="51"/>
        <v>0</v>
      </c>
      <c r="M697" s="13">
        <f>IF(AND(L697=0,COUNTIFS($B$2:$B$1534,B697,$G$2:$G$1534,G697,$E$2:$E$1534,"&gt;="&amp;(E697-Assumptions!$B$5),$E$2:$E$1534,"&lt;="&amp;(E697+Assumptions!$B$5))&gt;1),1,0)</f>
        <v>0</v>
      </c>
      <c r="N697" s="13">
        <f>IF(AND(G697&gt;=Assumptions!$B$4*(1-Assumptions!$B$6),G697&lt;Assumptions!$B$4),1,0)</f>
        <v>0</v>
      </c>
      <c r="O697" s="13">
        <f>IF(AND(G697&gt;=Assumptions!$B$7,MOD(G697,Assumptions!$B$7)=0),1,0)</f>
        <v>0</v>
      </c>
      <c r="P697" s="13">
        <f t="shared" si="52"/>
        <v>0</v>
      </c>
      <c r="Q697" s="13">
        <f t="shared" si="53"/>
        <v>0</v>
      </c>
      <c r="R697" s="13">
        <f>L697*Assumptions!$B$11+M697*Assumptions!$B$12+N697*Assumptions!$B$13+O697*Assumptions!$B$14+P697*Assumptions!$B$15+Q697*Assumptions!$B$16</f>
        <v>0</v>
      </c>
      <c r="S697" s="13" t="str">
        <f>IF(R697&gt;=Assumptions!$B$20,"High",IF(R697&gt;=Assumptions!$B$21,"Medium",IF(R697&gt;=1,"Low","Clear")))</f>
        <v>Clear</v>
      </c>
      <c r="T697" s="13" t="str">
        <f t="shared" si="54"/>
        <v/>
      </c>
    </row>
    <row r="698" spans="1:20" x14ac:dyDescent="0.35">
      <c r="A698" s="13" t="s">
        <v>2880</v>
      </c>
      <c r="B698" s="13" t="s">
        <v>188</v>
      </c>
      <c r="C698" s="13" t="s">
        <v>189</v>
      </c>
      <c r="D698" s="13" t="s">
        <v>2881</v>
      </c>
      <c r="E698" s="14">
        <v>45931</v>
      </c>
      <c r="F698" s="14">
        <v>45951</v>
      </c>
      <c r="G698" s="15">
        <v>28433.27</v>
      </c>
      <c r="H698" s="13" t="s">
        <v>2882</v>
      </c>
      <c r="I698" s="13" t="s">
        <v>2883</v>
      </c>
      <c r="J698" s="13" t="s">
        <v>91</v>
      </c>
      <c r="K698" s="13">
        <f t="shared" si="50"/>
        <v>2</v>
      </c>
      <c r="L698" s="13">
        <f t="shared" si="51"/>
        <v>0</v>
      </c>
      <c r="M698" s="13">
        <f>IF(AND(L698=0,COUNTIFS($B$2:$B$1534,B698,$G$2:$G$1534,G698,$E$2:$E$1534,"&gt;="&amp;(E698-Assumptions!$B$5),$E$2:$E$1534,"&lt;="&amp;(E698+Assumptions!$B$5))&gt;1),1,0)</f>
        <v>0</v>
      </c>
      <c r="N698" s="13">
        <f>IF(AND(G698&gt;=Assumptions!$B$4*(1-Assumptions!$B$6),G698&lt;Assumptions!$B$4),1,0)</f>
        <v>0</v>
      </c>
      <c r="O698" s="13">
        <f>IF(AND(G698&gt;=Assumptions!$B$7,MOD(G698,Assumptions!$B$7)=0),1,0)</f>
        <v>0</v>
      </c>
      <c r="P698" s="13">
        <f t="shared" si="52"/>
        <v>0</v>
      </c>
      <c r="Q698" s="13">
        <f t="shared" si="53"/>
        <v>0</v>
      </c>
      <c r="R698" s="13">
        <f>L698*Assumptions!$B$11+M698*Assumptions!$B$12+N698*Assumptions!$B$13+O698*Assumptions!$B$14+P698*Assumptions!$B$15+Q698*Assumptions!$B$16</f>
        <v>0</v>
      </c>
      <c r="S698" s="13" t="str">
        <f>IF(R698&gt;=Assumptions!$B$20,"High",IF(R698&gt;=Assumptions!$B$21,"Medium",IF(R698&gt;=1,"Low","Clear")))</f>
        <v>Clear</v>
      </c>
      <c r="T698" s="13" t="str">
        <f t="shared" si="54"/>
        <v/>
      </c>
    </row>
    <row r="699" spans="1:20" x14ac:dyDescent="0.35">
      <c r="A699" s="13" t="s">
        <v>2884</v>
      </c>
      <c r="B699" s="13" t="s">
        <v>409</v>
      </c>
      <c r="C699" s="13" t="s">
        <v>410</v>
      </c>
      <c r="D699" s="13" t="s">
        <v>2885</v>
      </c>
      <c r="E699" s="14">
        <v>45912</v>
      </c>
      <c r="F699" s="14">
        <v>45951</v>
      </c>
      <c r="G699" s="15">
        <v>2786.13</v>
      </c>
      <c r="H699" s="13" t="s">
        <v>2886</v>
      </c>
      <c r="I699" s="13" t="s">
        <v>2887</v>
      </c>
      <c r="J699" s="13" t="s">
        <v>91</v>
      </c>
      <c r="K699" s="13">
        <f t="shared" si="50"/>
        <v>2</v>
      </c>
      <c r="L699" s="13">
        <f t="shared" si="51"/>
        <v>0</v>
      </c>
      <c r="M699" s="13">
        <f>IF(AND(L699=0,COUNTIFS($B$2:$B$1534,B699,$G$2:$G$1534,G699,$E$2:$E$1534,"&gt;="&amp;(E699-Assumptions!$B$5),$E$2:$E$1534,"&lt;="&amp;(E699+Assumptions!$B$5))&gt;1),1,0)</f>
        <v>0</v>
      </c>
      <c r="N699" s="13">
        <f>IF(AND(G699&gt;=Assumptions!$B$4*(1-Assumptions!$B$6),G699&lt;Assumptions!$B$4),1,0)</f>
        <v>0</v>
      </c>
      <c r="O699" s="13">
        <f>IF(AND(G699&gt;=Assumptions!$B$7,MOD(G699,Assumptions!$B$7)=0),1,0)</f>
        <v>0</v>
      </c>
      <c r="P699" s="13">
        <f t="shared" si="52"/>
        <v>0</v>
      </c>
      <c r="Q699" s="13">
        <f t="shared" si="53"/>
        <v>0</v>
      </c>
      <c r="R699" s="13">
        <f>L699*Assumptions!$B$11+M699*Assumptions!$B$12+N699*Assumptions!$B$13+O699*Assumptions!$B$14+P699*Assumptions!$B$15+Q699*Assumptions!$B$16</f>
        <v>0</v>
      </c>
      <c r="S699" s="13" t="str">
        <f>IF(R699&gt;=Assumptions!$B$20,"High",IF(R699&gt;=Assumptions!$B$21,"Medium",IF(R699&gt;=1,"Low","Clear")))</f>
        <v>Clear</v>
      </c>
      <c r="T699" s="13" t="str">
        <f t="shared" si="54"/>
        <v/>
      </c>
    </row>
    <row r="700" spans="1:20" x14ac:dyDescent="0.35">
      <c r="A700" s="13" t="s">
        <v>2888</v>
      </c>
      <c r="B700" s="13" t="s">
        <v>200</v>
      </c>
      <c r="C700" s="13" t="s">
        <v>201</v>
      </c>
      <c r="D700" s="13" t="s">
        <v>2889</v>
      </c>
      <c r="E700" s="14">
        <v>45918</v>
      </c>
      <c r="F700" s="14">
        <v>45951</v>
      </c>
      <c r="G700" s="15">
        <v>255097.04</v>
      </c>
      <c r="H700" s="13" t="s">
        <v>2890</v>
      </c>
      <c r="I700" s="13" t="s">
        <v>2891</v>
      </c>
      <c r="J700" s="13" t="s">
        <v>170</v>
      </c>
      <c r="K700" s="13">
        <f t="shared" si="50"/>
        <v>2</v>
      </c>
      <c r="L700" s="13">
        <f t="shared" si="51"/>
        <v>0</v>
      </c>
      <c r="M700" s="13">
        <f>IF(AND(L700=0,COUNTIFS($B$2:$B$1534,B700,$G$2:$G$1534,G700,$E$2:$E$1534,"&gt;="&amp;(E700-Assumptions!$B$5),$E$2:$E$1534,"&lt;="&amp;(E700+Assumptions!$B$5))&gt;1),1,0)</f>
        <v>0</v>
      </c>
      <c r="N700" s="13">
        <f>IF(AND(G700&gt;=Assumptions!$B$4*(1-Assumptions!$B$6),G700&lt;Assumptions!$B$4),1,0)</f>
        <v>0</v>
      </c>
      <c r="O700" s="13">
        <f>IF(AND(G700&gt;=Assumptions!$B$7,MOD(G700,Assumptions!$B$7)=0),1,0)</f>
        <v>0</v>
      </c>
      <c r="P700" s="13">
        <f t="shared" si="52"/>
        <v>0</v>
      </c>
      <c r="Q700" s="13">
        <f t="shared" si="53"/>
        <v>0</v>
      </c>
      <c r="R700" s="13">
        <f>L700*Assumptions!$B$11+M700*Assumptions!$B$12+N700*Assumptions!$B$13+O700*Assumptions!$B$14+P700*Assumptions!$B$15+Q700*Assumptions!$B$16</f>
        <v>0</v>
      </c>
      <c r="S700" s="13" t="str">
        <f>IF(R700&gt;=Assumptions!$B$20,"High",IF(R700&gt;=Assumptions!$B$21,"Medium",IF(R700&gt;=1,"Low","Clear")))</f>
        <v>Clear</v>
      </c>
      <c r="T700" s="13" t="str">
        <f t="shared" si="54"/>
        <v/>
      </c>
    </row>
    <row r="701" spans="1:20" x14ac:dyDescent="0.35">
      <c r="A701" s="13" t="s">
        <v>2892</v>
      </c>
      <c r="B701" s="13" t="s">
        <v>161</v>
      </c>
      <c r="C701" s="13" t="s">
        <v>162</v>
      </c>
      <c r="D701" s="13" t="s">
        <v>2893</v>
      </c>
      <c r="E701" s="14">
        <v>45914</v>
      </c>
      <c r="F701" s="14">
        <v>45951</v>
      </c>
      <c r="G701" s="15">
        <v>1963.19</v>
      </c>
      <c r="H701" s="13" t="s">
        <v>2894</v>
      </c>
      <c r="I701" s="13" t="s">
        <v>2895</v>
      </c>
      <c r="J701" s="13" t="s">
        <v>170</v>
      </c>
      <c r="K701" s="13">
        <f t="shared" si="50"/>
        <v>1</v>
      </c>
      <c r="L701" s="13">
        <f t="shared" si="51"/>
        <v>0</v>
      </c>
      <c r="M701" s="13">
        <f>IF(AND(L701=0,COUNTIFS($B$2:$B$1534,B701,$G$2:$G$1534,G701,$E$2:$E$1534,"&gt;="&amp;(E701-Assumptions!$B$5),$E$2:$E$1534,"&lt;="&amp;(E701+Assumptions!$B$5))&gt;1),1,0)</f>
        <v>0</v>
      </c>
      <c r="N701" s="13">
        <f>IF(AND(G701&gt;=Assumptions!$B$4*(1-Assumptions!$B$6),G701&lt;Assumptions!$B$4),1,0)</f>
        <v>0</v>
      </c>
      <c r="O701" s="13">
        <f>IF(AND(G701&gt;=Assumptions!$B$7,MOD(G701,Assumptions!$B$7)=0),1,0)</f>
        <v>0</v>
      </c>
      <c r="P701" s="13">
        <f t="shared" si="52"/>
        <v>0</v>
      </c>
      <c r="Q701" s="13">
        <f t="shared" si="53"/>
        <v>0</v>
      </c>
      <c r="R701" s="13">
        <f>L701*Assumptions!$B$11+M701*Assumptions!$B$12+N701*Assumptions!$B$13+O701*Assumptions!$B$14+P701*Assumptions!$B$15+Q701*Assumptions!$B$16</f>
        <v>0</v>
      </c>
      <c r="S701" s="13" t="str">
        <f>IF(R701&gt;=Assumptions!$B$20,"High",IF(R701&gt;=Assumptions!$B$21,"Medium",IF(R701&gt;=1,"Low","Clear")))</f>
        <v>Clear</v>
      </c>
      <c r="T701" s="13" t="str">
        <f t="shared" si="54"/>
        <v/>
      </c>
    </row>
    <row r="702" spans="1:20" x14ac:dyDescent="0.35">
      <c r="A702" s="13" t="s">
        <v>2896</v>
      </c>
      <c r="B702" s="13" t="s">
        <v>252</v>
      </c>
      <c r="C702" s="13" t="s">
        <v>253</v>
      </c>
      <c r="D702" s="13" t="s">
        <v>2897</v>
      </c>
      <c r="E702" s="14">
        <v>45913</v>
      </c>
      <c r="F702" s="14">
        <v>45952</v>
      </c>
      <c r="G702" s="15">
        <v>1420.91</v>
      </c>
      <c r="H702" s="13" t="s">
        <v>2898</v>
      </c>
      <c r="I702" s="13" t="s">
        <v>2899</v>
      </c>
      <c r="J702" s="13" t="s">
        <v>136</v>
      </c>
      <c r="K702" s="13">
        <f t="shared" si="50"/>
        <v>1</v>
      </c>
      <c r="L702" s="13">
        <f t="shared" si="51"/>
        <v>0</v>
      </c>
      <c r="M702" s="13">
        <f>IF(AND(L702=0,COUNTIFS($B$2:$B$1534,B702,$G$2:$G$1534,G702,$E$2:$E$1534,"&gt;="&amp;(E702-Assumptions!$B$5),$E$2:$E$1534,"&lt;="&amp;(E702+Assumptions!$B$5))&gt;1),1,0)</f>
        <v>0</v>
      </c>
      <c r="N702" s="13">
        <f>IF(AND(G702&gt;=Assumptions!$B$4*(1-Assumptions!$B$6),G702&lt;Assumptions!$B$4),1,0)</f>
        <v>0</v>
      </c>
      <c r="O702" s="13">
        <f>IF(AND(G702&gt;=Assumptions!$B$7,MOD(G702,Assumptions!$B$7)=0),1,0)</f>
        <v>0</v>
      </c>
      <c r="P702" s="13">
        <f t="shared" si="52"/>
        <v>0</v>
      </c>
      <c r="Q702" s="13">
        <f t="shared" si="53"/>
        <v>0</v>
      </c>
      <c r="R702" s="13">
        <f>L702*Assumptions!$B$11+M702*Assumptions!$B$12+N702*Assumptions!$B$13+O702*Assumptions!$B$14+P702*Assumptions!$B$15+Q702*Assumptions!$B$16</f>
        <v>0</v>
      </c>
      <c r="S702" s="13" t="str">
        <f>IF(R702&gt;=Assumptions!$B$20,"High",IF(R702&gt;=Assumptions!$B$21,"Medium",IF(R702&gt;=1,"Low","Clear")))</f>
        <v>Clear</v>
      </c>
      <c r="T702" s="13" t="str">
        <f t="shared" si="54"/>
        <v/>
      </c>
    </row>
    <row r="703" spans="1:20" x14ac:dyDescent="0.35">
      <c r="A703" s="13" t="s">
        <v>2900</v>
      </c>
      <c r="B703" s="13" t="s">
        <v>212</v>
      </c>
      <c r="C703" s="13" t="s">
        <v>213</v>
      </c>
      <c r="D703" s="13" t="s">
        <v>2901</v>
      </c>
      <c r="E703" s="14">
        <v>45926</v>
      </c>
      <c r="F703" s="14">
        <v>45952</v>
      </c>
      <c r="G703" s="15">
        <v>9166.74</v>
      </c>
      <c r="H703" s="13" t="s">
        <v>2902</v>
      </c>
      <c r="I703" s="13" t="s">
        <v>2903</v>
      </c>
      <c r="J703" s="13" t="s">
        <v>111</v>
      </c>
      <c r="K703" s="13">
        <f t="shared" si="50"/>
        <v>9</v>
      </c>
      <c r="L703" s="13">
        <f t="shared" si="51"/>
        <v>0</v>
      </c>
      <c r="M703" s="13">
        <f>IF(AND(L703=0,COUNTIFS($B$2:$B$1534,B703,$G$2:$G$1534,G703,$E$2:$E$1534,"&gt;="&amp;(E703-Assumptions!$B$5),$E$2:$E$1534,"&lt;="&amp;(E703+Assumptions!$B$5))&gt;1),1,0)</f>
        <v>0</v>
      </c>
      <c r="N703" s="13">
        <f>IF(AND(G703&gt;=Assumptions!$B$4*(1-Assumptions!$B$6),G703&lt;Assumptions!$B$4),1,0)</f>
        <v>0</v>
      </c>
      <c r="O703" s="13">
        <f>IF(AND(G703&gt;=Assumptions!$B$7,MOD(G703,Assumptions!$B$7)=0),1,0)</f>
        <v>0</v>
      </c>
      <c r="P703" s="13">
        <f t="shared" si="52"/>
        <v>0</v>
      </c>
      <c r="Q703" s="13">
        <f t="shared" si="53"/>
        <v>0</v>
      </c>
      <c r="R703" s="13">
        <f>L703*Assumptions!$B$11+M703*Assumptions!$B$12+N703*Assumptions!$B$13+O703*Assumptions!$B$14+P703*Assumptions!$B$15+Q703*Assumptions!$B$16</f>
        <v>0</v>
      </c>
      <c r="S703" s="13" t="str">
        <f>IF(R703&gt;=Assumptions!$B$20,"High",IF(R703&gt;=Assumptions!$B$21,"Medium",IF(R703&gt;=1,"Low","Clear")))</f>
        <v>Clear</v>
      </c>
      <c r="T703" s="13" t="str">
        <f t="shared" si="54"/>
        <v/>
      </c>
    </row>
    <row r="704" spans="1:20" x14ac:dyDescent="0.35">
      <c r="A704" s="13" t="s">
        <v>2904</v>
      </c>
      <c r="B704" s="13" t="s">
        <v>323</v>
      </c>
      <c r="C704" s="13" t="s">
        <v>324</v>
      </c>
      <c r="D704" s="13" t="s">
        <v>2905</v>
      </c>
      <c r="E704" s="14">
        <v>45917</v>
      </c>
      <c r="F704" s="14">
        <v>45952</v>
      </c>
      <c r="G704" s="15">
        <v>2002.79</v>
      </c>
      <c r="H704" s="13" t="s">
        <v>2906</v>
      </c>
      <c r="I704" s="13" t="s">
        <v>2907</v>
      </c>
      <c r="J704" s="13" t="s">
        <v>91</v>
      </c>
      <c r="K704" s="13">
        <f t="shared" si="50"/>
        <v>2</v>
      </c>
      <c r="L704" s="13">
        <f t="shared" si="51"/>
        <v>0</v>
      </c>
      <c r="M704" s="13">
        <f>IF(AND(L704=0,COUNTIFS($B$2:$B$1534,B704,$G$2:$G$1534,G704,$E$2:$E$1534,"&gt;="&amp;(E704-Assumptions!$B$5),$E$2:$E$1534,"&lt;="&amp;(E704+Assumptions!$B$5))&gt;1),1,0)</f>
        <v>0</v>
      </c>
      <c r="N704" s="13">
        <f>IF(AND(G704&gt;=Assumptions!$B$4*(1-Assumptions!$B$6),G704&lt;Assumptions!$B$4),1,0)</f>
        <v>0</v>
      </c>
      <c r="O704" s="13">
        <f>IF(AND(G704&gt;=Assumptions!$B$7,MOD(G704,Assumptions!$B$7)=0),1,0)</f>
        <v>0</v>
      </c>
      <c r="P704" s="13">
        <f t="shared" si="52"/>
        <v>0</v>
      </c>
      <c r="Q704" s="13">
        <f t="shared" si="53"/>
        <v>0</v>
      </c>
      <c r="R704" s="13">
        <f>L704*Assumptions!$B$11+M704*Assumptions!$B$12+N704*Assumptions!$B$13+O704*Assumptions!$B$14+P704*Assumptions!$B$15+Q704*Assumptions!$B$16</f>
        <v>0</v>
      </c>
      <c r="S704" s="13" t="str">
        <f>IF(R704&gt;=Assumptions!$B$20,"High",IF(R704&gt;=Assumptions!$B$21,"Medium",IF(R704&gt;=1,"Low","Clear")))</f>
        <v>Clear</v>
      </c>
      <c r="T704" s="13" t="str">
        <f t="shared" si="54"/>
        <v/>
      </c>
    </row>
    <row r="705" spans="1:20" x14ac:dyDescent="0.35">
      <c r="A705" s="13" t="s">
        <v>2908</v>
      </c>
      <c r="B705" s="13" t="s">
        <v>391</v>
      </c>
      <c r="C705" s="13" t="s">
        <v>392</v>
      </c>
      <c r="D705" s="13" t="s">
        <v>2909</v>
      </c>
      <c r="E705" s="14">
        <v>45920</v>
      </c>
      <c r="F705" s="14">
        <v>45953</v>
      </c>
      <c r="G705" s="15">
        <v>2197.39</v>
      </c>
      <c r="H705" s="13" t="s">
        <v>2910</v>
      </c>
      <c r="I705" s="13" t="s">
        <v>2911</v>
      </c>
      <c r="J705" s="13" t="s">
        <v>91</v>
      </c>
      <c r="K705" s="13">
        <f t="shared" si="50"/>
        <v>2</v>
      </c>
      <c r="L705" s="13">
        <f t="shared" si="51"/>
        <v>0</v>
      </c>
      <c r="M705" s="13">
        <f>IF(AND(L705=0,COUNTIFS($B$2:$B$1534,B705,$G$2:$G$1534,G705,$E$2:$E$1534,"&gt;="&amp;(E705-Assumptions!$B$5),$E$2:$E$1534,"&lt;="&amp;(E705+Assumptions!$B$5))&gt;1),1,0)</f>
        <v>0</v>
      </c>
      <c r="N705" s="13">
        <f>IF(AND(G705&gt;=Assumptions!$B$4*(1-Assumptions!$B$6),G705&lt;Assumptions!$B$4),1,0)</f>
        <v>0</v>
      </c>
      <c r="O705" s="13">
        <f>IF(AND(G705&gt;=Assumptions!$B$7,MOD(G705,Assumptions!$B$7)=0),1,0)</f>
        <v>0</v>
      </c>
      <c r="P705" s="13">
        <f t="shared" si="52"/>
        <v>0</v>
      </c>
      <c r="Q705" s="13">
        <f t="shared" si="53"/>
        <v>0</v>
      </c>
      <c r="R705" s="13">
        <f>L705*Assumptions!$B$11+M705*Assumptions!$B$12+N705*Assumptions!$B$13+O705*Assumptions!$B$14+P705*Assumptions!$B$15+Q705*Assumptions!$B$16</f>
        <v>0</v>
      </c>
      <c r="S705" s="13" t="str">
        <f>IF(R705&gt;=Assumptions!$B$20,"High",IF(R705&gt;=Assumptions!$B$21,"Medium",IF(R705&gt;=1,"Low","Clear")))</f>
        <v>Clear</v>
      </c>
      <c r="T705" s="13" t="str">
        <f t="shared" si="54"/>
        <v/>
      </c>
    </row>
    <row r="706" spans="1:20" x14ac:dyDescent="0.35">
      <c r="A706" s="13" t="s">
        <v>2912</v>
      </c>
      <c r="B706" s="13" t="s">
        <v>113</v>
      </c>
      <c r="C706" s="13" t="s">
        <v>114</v>
      </c>
      <c r="D706" s="13" t="s">
        <v>2913</v>
      </c>
      <c r="E706" s="14">
        <v>45918</v>
      </c>
      <c r="F706" s="14">
        <v>45953</v>
      </c>
      <c r="G706" s="15">
        <v>15142.57</v>
      </c>
      <c r="H706" s="13" t="s">
        <v>2914</v>
      </c>
      <c r="I706" s="13"/>
      <c r="J706" s="13" t="s">
        <v>170</v>
      </c>
      <c r="K706" s="13">
        <f t="shared" ref="K706:K769" si="55">VALUE(LEFT(TEXT(G706,"0"),1))</f>
        <v>1</v>
      </c>
      <c r="L706" s="13">
        <f t="shared" ref="L706:L769" si="56">IF(COUNTIFS($B$2:$B$1534,B706,$D$2:$D$1534,D706)&gt;1,1,0)</f>
        <v>0</v>
      </c>
      <c r="M706" s="13">
        <f>IF(AND(L706=0,COUNTIFS($B$2:$B$1534,B706,$G$2:$G$1534,G706,$E$2:$E$1534,"&gt;="&amp;(E706-Assumptions!$B$5),$E$2:$E$1534,"&lt;="&amp;(E706+Assumptions!$B$5))&gt;1),1,0)</f>
        <v>0</v>
      </c>
      <c r="N706" s="13">
        <f>IF(AND(G706&gt;=Assumptions!$B$4*(1-Assumptions!$B$6),G706&lt;Assumptions!$B$4),1,0)</f>
        <v>0</v>
      </c>
      <c r="O706" s="13">
        <f>IF(AND(G706&gt;=Assumptions!$B$7,MOD(G706,Assumptions!$B$7)=0),1,0)</f>
        <v>0</v>
      </c>
      <c r="P706" s="13">
        <f t="shared" ref="P706:P769" si="57">IF(OR(H706="",I706=""),1,0)</f>
        <v>1</v>
      </c>
      <c r="Q706" s="13">
        <f t="shared" ref="Q706:Q769" si="58">IF(WEEKDAY(F706,2)&gt;5,1,0)</f>
        <v>0</v>
      </c>
      <c r="R706" s="13">
        <f>L706*Assumptions!$B$11+M706*Assumptions!$B$12+N706*Assumptions!$B$13+O706*Assumptions!$B$14+P706*Assumptions!$B$15+Q706*Assumptions!$B$16</f>
        <v>4</v>
      </c>
      <c r="S706" s="13" t="str">
        <f>IF(R706&gt;=Assumptions!$B$20,"High",IF(R706&gt;=Assumptions!$B$21,"Medium",IF(R706&gt;=1,"Low","Clear")))</f>
        <v>Medium</v>
      </c>
      <c r="T706" s="13" t="str">
        <f t="shared" ref="T706:T769" si="59">IF(R706=0,"",IF(L706=1,"Duplicate invoice; ","")&amp;IF(M706=1,"Near-duplicate; ","")&amp;IF(N706=1,"Just below limit; ","")&amp;IF(O706=1,"Round amount; ","")&amp;IF(P706=1,"No PO/GRN; ","")&amp;IF(Q706=1,"Weekend payment; ",""))</f>
        <v xml:space="preserve">No PO/GRN; </v>
      </c>
    </row>
    <row r="707" spans="1:20" x14ac:dyDescent="0.35">
      <c r="A707" s="13" t="s">
        <v>2915</v>
      </c>
      <c r="B707" s="13" t="s">
        <v>161</v>
      </c>
      <c r="C707" s="13" t="s">
        <v>162</v>
      </c>
      <c r="D707" s="13" t="s">
        <v>2916</v>
      </c>
      <c r="E707" s="14">
        <v>45922</v>
      </c>
      <c r="F707" s="14">
        <v>45953</v>
      </c>
      <c r="G707" s="15">
        <v>299180.28999999998</v>
      </c>
      <c r="H707" s="13" t="s">
        <v>2917</v>
      </c>
      <c r="I707" s="13" t="s">
        <v>2918</v>
      </c>
      <c r="J707" s="13" t="s">
        <v>170</v>
      </c>
      <c r="K707" s="13">
        <f t="shared" si="55"/>
        <v>2</v>
      </c>
      <c r="L707" s="13">
        <f t="shared" si="56"/>
        <v>0</v>
      </c>
      <c r="M707" s="13">
        <f>IF(AND(L707=0,COUNTIFS($B$2:$B$1534,B707,$G$2:$G$1534,G707,$E$2:$E$1534,"&gt;="&amp;(E707-Assumptions!$B$5),$E$2:$E$1534,"&lt;="&amp;(E707+Assumptions!$B$5))&gt;1),1,0)</f>
        <v>0</v>
      </c>
      <c r="N707" s="13">
        <f>IF(AND(G707&gt;=Assumptions!$B$4*(1-Assumptions!$B$6),G707&lt;Assumptions!$B$4),1,0)</f>
        <v>0</v>
      </c>
      <c r="O707" s="13">
        <f>IF(AND(G707&gt;=Assumptions!$B$7,MOD(G707,Assumptions!$B$7)=0),1,0)</f>
        <v>0</v>
      </c>
      <c r="P707" s="13">
        <f t="shared" si="57"/>
        <v>0</v>
      </c>
      <c r="Q707" s="13">
        <f t="shared" si="58"/>
        <v>0</v>
      </c>
      <c r="R707" s="13">
        <f>L707*Assumptions!$B$11+M707*Assumptions!$B$12+N707*Assumptions!$B$13+O707*Assumptions!$B$14+P707*Assumptions!$B$15+Q707*Assumptions!$B$16</f>
        <v>0</v>
      </c>
      <c r="S707" s="13" t="str">
        <f>IF(R707&gt;=Assumptions!$B$20,"High",IF(R707&gt;=Assumptions!$B$21,"Medium",IF(R707&gt;=1,"Low","Clear")))</f>
        <v>Clear</v>
      </c>
      <c r="T707" s="13" t="str">
        <f t="shared" si="59"/>
        <v/>
      </c>
    </row>
    <row r="708" spans="1:20" x14ac:dyDescent="0.35">
      <c r="A708" s="13" t="s">
        <v>2919</v>
      </c>
      <c r="B708" s="13" t="s">
        <v>556</v>
      </c>
      <c r="C708" s="13" t="s">
        <v>557</v>
      </c>
      <c r="D708" s="13" t="s">
        <v>2920</v>
      </c>
      <c r="E708" s="14">
        <v>45932</v>
      </c>
      <c r="F708" s="14">
        <v>45953</v>
      </c>
      <c r="G708" s="15">
        <v>1902.74</v>
      </c>
      <c r="H708" s="13" t="s">
        <v>2921</v>
      </c>
      <c r="I708" s="13" t="s">
        <v>2922</v>
      </c>
      <c r="J708" s="13" t="s">
        <v>170</v>
      </c>
      <c r="K708" s="13">
        <f t="shared" si="55"/>
        <v>1</v>
      </c>
      <c r="L708" s="13">
        <f t="shared" si="56"/>
        <v>0</v>
      </c>
      <c r="M708" s="13">
        <f>IF(AND(L708=0,COUNTIFS($B$2:$B$1534,B708,$G$2:$G$1534,G708,$E$2:$E$1534,"&gt;="&amp;(E708-Assumptions!$B$5),$E$2:$E$1534,"&lt;="&amp;(E708+Assumptions!$B$5))&gt;1),1,0)</f>
        <v>0</v>
      </c>
      <c r="N708" s="13">
        <f>IF(AND(G708&gt;=Assumptions!$B$4*(1-Assumptions!$B$6),G708&lt;Assumptions!$B$4),1,0)</f>
        <v>0</v>
      </c>
      <c r="O708" s="13">
        <f>IF(AND(G708&gt;=Assumptions!$B$7,MOD(G708,Assumptions!$B$7)=0),1,0)</f>
        <v>0</v>
      </c>
      <c r="P708" s="13">
        <f t="shared" si="57"/>
        <v>0</v>
      </c>
      <c r="Q708" s="13">
        <f t="shared" si="58"/>
        <v>0</v>
      </c>
      <c r="R708" s="13">
        <f>L708*Assumptions!$B$11+M708*Assumptions!$B$12+N708*Assumptions!$B$13+O708*Assumptions!$B$14+P708*Assumptions!$B$15+Q708*Assumptions!$B$16</f>
        <v>0</v>
      </c>
      <c r="S708" s="13" t="str">
        <f>IF(R708&gt;=Assumptions!$B$20,"High",IF(R708&gt;=Assumptions!$B$21,"Medium",IF(R708&gt;=1,"Low","Clear")))</f>
        <v>Clear</v>
      </c>
      <c r="T708" s="13" t="str">
        <f t="shared" si="59"/>
        <v/>
      </c>
    </row>
    <row r="709" spans="1:20" x14ac:dyDescent="0.35">
      <c r="A709" s="13" t="s">
        <v>2923</v>
      </c>
      <c r="B709" s="13" t="s">
        <v>307</v>
      </c>
      <c r="C709" s="13" t="s">
        <v>308</v>
      </c>
      <c r="D709" s="13" t="s">
        <v>2924</v>
      </c>
      <c r="E709" s="14">
        <v>45922</v>
      </c>
      <c r="F709" s="14">
        <v>45954</v>
      </c>
      <c r="G709" s="15">
        <v>149001.26</v>
      </c>
      <c r="H709" s="13" t="s">
        <v>2925</v>
      </c>
      <c r="I709" s="13" t="s">
        <v>2926</v>
      </c>
      <c r="J709" s="13" t="s">
        <v>143</v>
      </c>
      <c r="K709" s="13">
        <f t="shared" si="55"/>
        <v>1</v>
      </c>
      <c r="L709" s="13">
        <f t="shared" si="56"/>
        <v>0</v>
      </c>
      <c r="M709" s="13">
        <f>IF(AND(L709=0,COUNTIFS($B$2:$B$1534,B709,$G$2:$G$1534,G709,$E$2:$E$1534,"&gt;="&amp;(E709-Assumptions!$B$5),$E$2:$E$1534,"&lt;="&amp;(E709+Assumptions!$B$5))&gt;1),1,0)</f>
        <v>0</v>
      </c>
      <c r="N709" s="13">
        <f>IF(AND(G709&gt;=Assumptions!$B$4*(1-Assumptions!$B$6),G709&lt;Assumptions!$B$4),1,0)</f>
        <v>0</v>
      </c>
      <c r="O709" s="13">
        <f>IF(AND(G709&gt;=Assumptions!$B$7,MOD(G709,Assumptions!$B$7)=0),1,0)</f>
        <v>0</v>
      </c>
      <c r="P709" s="13">
        <f t="shared" si="57"/>
        <v>0</v>
      </c>
      <c r="Q709" s="13">
        <f t="shared" si="58"/>
        <v>0</v>
      </c>
      <c r="R709" s="13">
        <f>L709*Assumptions!$B$11+M709*Assumptions!$B$12+N709*Assumptions!$B$13+O709*Assumptions!$B$14+P709*Assumptions!$B$15+Q709*Assumptions!$B$16</f>
        <v>0</v>
      </c>
      <c r="S709" s="13" t="str">
        <f>IF(R709&gt;=Assumptions!$B$20,"High",IF(R709&gt;=Assumptions!$B$21,"Medium",IF(R709&gt;=1,"Low","Clear")))</f>
        <v>Clear</v>
      </c>
      <c r="T709" s="13" t="str">
        <f t="shared" si="59"/>
        <v/>
      </c>
    </row>
    <row r="710" spans="1:20" x14ac:dyDescent="0.35">
      <c r="A710" s="13" t="s">
        <v>2927</v>
      </c>
      <c r="B710" s="13" t="s">
        <v>317</v>
      </c>
      <c r="C710" s="13" t="s">
        <v>318</v>
      </c>
      <c r="D710" s="13" t="s">
        <v>2750</v>
      </c>
      <c r="E710" s="14">
        <v>45917</v>
      </c>
      <c r="F710" s="14">
        <v>45954</v>
      </c>
      <c r="G710" s="15">
        <v>1405.64</v>
      </c>
      <c r="H710" s="13" t="s">
        <v>2751</v>
      </c>
      <c r="I710" s="13" t="s">
        <v>2752</v>
      </c>
      <c r="J710" s="13" t="s">
        <v>170</v>
      </c>
      <c r="K710" s="13">
        <f t="shared" si="55"/>
        <v>1</v>
      </c>
      <c r="L710" s="13">
        <f t="shared" si="56"/>
        <v>1</v>
      </c>
      <c r="M710" s="13">
        <f>IF(AND(L710=0,COUNTIFS($B$2:$B$1534,B710,$G$2:$G$1534,G710,$E$2:$E$1534,"&gt;="&amp;(E710-Assumptions!$B$5),$E$2:$E$1534,"&lt;="&amp;(E710+Assumptions!$B$5))&gt;1),1,0)</f>
        <v>0</v>
      </c>
      <c r="N710" s="13">
        <f>IF(AND(G710&gt;=Assumptions!$B$4*(1-Assumptions!$B$6),G710&lt;Assumptions!$B$4),1,0)</f>
        <v>0</v>
      </c>
      <c r="O710" s="13">
        <f>IF(AND(G710&gt;=Assumptions!$B$7,MOD(G710,Assumptions!$B$7)=0),1,0)</f>
        <v>0</v>
      </c>
      <c r="P710" s="13">
        <f t="shared" si="57"/>
        <v>0</v>
      </c>
      <c r="Q710" s="13">
        <f t="shared" si="58"/>
        <v>0</v>
      </c>
      <c r="R710" s="13">
        <f>L710*Assumptions!$B$11+M710*Assumptions!$B$12+N710*Assumptions!$B$13+O710*Assumptions!$B$14+P710*Assumptions!$B$15+Q710*Assumptions!$B$16</f>
        <v>5</v>
      </c>
      <c r="S710" s="13" t="str">
        <f>IF(R710&gt;=Assumptions!$B$20,"High",IF(R710&gt;=Assumptions!$B$21,"Medium",IF(R710&gt;=1,"Low","Clear")))</f>
        <v>High</v>
      </c>
      <c r="T710" s="13" t="str">
        <f t="shared" si="59"/>
        <v xml:space="preserve">Duplicate invoice; </v>
      </c>
    </row>
    <row r="711" spans="1:20" x14ac:dyDescent="0.35">
      <c r="A711" s="13" t="s">
        <v>2928</v>
      </c>
      <c r="B711" s="13" t="s">
        <v>161</v>
      </c>
      <c r="C711" s="13" t="s">
        <v>162</v>
      </c>
      <c r="D711" s="13" t="s">
        <v>2929</v>
      </c>
      <c r="E711" s="14">
        <v>45930</v>
      </c>
      <c r="F711" s="14">
        <v>45954</v>
      </c>
      <c r="G711" s="15">
        <v>2601.5</v>
      </c>
      <c r="H711" s="13" t="s">
        <v>2930</v>
      </c>
      <c r="I711" s="13" t="s">
        <v>2931</v>
      </c>
      <c r="J711" s="13" t="s">
        <v>143</v>
      </c>
      <c r="K711" s="13">
        <f t="shared" si="55"/>
        <v>2</v>
      </c>
      <c r="L711" s="13">
        <f t="shared" si="56"/>
        <v>0</v>
      </c>
      <c r="M711" s="13">
        <f>IF(AND(L711=0,COUNTIFS($B$2:$B$1534,B711,$G$2:$G$1534,G711,$E$2:$E$1534,"&gt;="&amp;(E711-Assumptions!$B$5),$E$2:$E$1534,"&lt;="&amp;(E711+Assumptions!$B$5))&gt;1),1,0)</f>
        <v>0</v>
      </c>
      <c r="N711" s="13">
        <f>IF(AND(G711&gt;=Assumptions!$B$4*(1-Assumptions!$B$6),G711&lt;Assumptions!$B$4),1,0)</f>
        <v>0</v>
      </c>
      <c r="O711" s="13">
        <f>IF(AND(G711&gt;=Assumptions!$B$7,MOD(G711,Assumptions!$B$7)=0),1,0)</f>
        <v>0</v>
      </c>
      <c r="P711" s="13">
        <f t="shared" si="57"/>
        <v>0</v>
      </c>
      <c r="Q711" s="13">
        <f t="shared" si="58"/>
        <v>0</v>
      </c>
      <c r="R711" s="13">
        <f>L711*Assumptions!$B$11+M711*Assumptions!$B$12+N711*Assumptions!$B$13+O711*Assumptions!$B$14+P711*Assumptions!$B$15+Q711*Assumptions!$B$16</f>
        <v>0</v>
      </c>
      <c r="S711" s="13" t="str">
        <f>IF(R711&gt;=Assumptions!$B$20,"High",IF(R711&gt;=Assumptions!$B$21,"Medium",IF(R711&gt;=1,"Low","Clear")))</f>
        <v>Clear</v>
      </c>
      <c r="T711" s="13" t="str">
        <f t="shared" si="59"/>
        <v/>
      </c>
    </row>
    <row r="712" spans="1:20" x14ac:dyDescent="0.35">
      <c r="A712" s="13" t="s">
        <v>2932</v>
      </c>
      <c r="B712" s="13" t="s">
        <v>100</v>
      </c>
      <c r="C712" s="13" t="s">
        <v>101</v>
      </c>
      <c r="D712" s="13" t="s">
        <v>2933</v>
      </c>
      <c r="E712" s="14">
        <v>45933</v>
      </c>
      <c r="F712" s="14">
        <v>45954</v>
      </c>
      <c r="G712" s="15">
        <v>6954.55</v>
      </c>
      <c r="H712" s="13" t="s">
        <v>2934</v>
      </c>
      <c r="I712" s="13" t="s">
        <v>2935</v>
      </c>
      <c r="J712" s="13" t="s">
        <v>143</v>
      </c>
      <c r="K712" s="13">
        <f t="shared" si="55"/>
        <v>6</v>
      </c>
      <c r="L712" s="13">
        <f t="shared" si="56"/>
        <v>0</v>
      </c>
      <c r="M712" s="13">
        <f>IF(AND(L712=0,COUNTIFS($B$2:$B$1534,B712,$G$2:$G$1534,G712,$E$2:$E$1534,"&gt;="&amp;(E712-Assumptions!$B$5),$E$2:$E$1534,"&lt;="&amp;(E712+Assumptions!$B$5))&gt;1),1,0)</f>
        <v>0</v>
      </c>
      <c r="N712" s="13">
        <f>IF(AND(G712&gt;=Assumptions!$B$4*(1-Assumptions!$B$6),G712&lt;Assumptions!$B$4),1,0)</f>
        <v>0</v>
      </c>
      <c r="O712" s="13">
        <f>IF(AND(G712&gt;=Assumptions!$B$7,MOD(G712,Assumptions!$B$7)=0),1,0)</f>
        <v>0</v>
      </c>
      <c r="P712" s="13">
        <f t="shared" si="57"/>
        <v>0</v>
      </c>
      <c r="Q712" s="13">
        <f t="shared" si="58"/>
        <v>0</v>
      </c>
      <c r="R712" s="13">
        <f>L712*Assumptions!$B$11+M712*Assumptions!$B$12+N712*Assumptions!$B$13+O712*Assumptions!$B$14+P712*Assumptions!$B$15+Q712*Assumptions!$B$16</f>
        <v>0</v>
      </c>
      <c r="S712" s="13" t="str">
        <f>IF(R712&gt;=Assumptions!$B$20,"High",IF(R712&gt;=Assumptions!$B$21,"Medium",IF(R712&gt;=1,"Low","Clear")))</f>
        <v>Clear</v>
      </c>
      <c r="T712" s="13" t="str">
        <f t="shared" si="59"/>
        <v/>
      </c>
    </row>
    <row r="713" spans="1:20" x14ac:dyDescent="0.35">
      <c r="A713" s="13" t="s">
        <v>2936</v>
      </c>
      <c r="B713" s="13" t="s">
        <v>357</v>
      </c>
      <c r="C713" s="13" t="s">
        <v>358</v>
      </c>
      <c r="D713" s="13" t="s">
        <v>2937</v>
      </c>
      <c r="E713" s="14">
        <v>45923</v>
      </c>
      <c r="F713" s="14">
        <v>45954</v>
      </c>
      <c r="G713" s="15">
        <v>3562.39</v>
      </c>
      <c r="H713" s="13" t="s">
        <v>2938</v>
      </c>
      <c r="I713" s="13" t="s">
        <v>2939</v>
      </c>
      <c r="J713" s="13" t="s">
        <v>98</v>
      </c>
      <c r="K713" s="13">
        <f t="shared" si="55"/>
        <v>3</v>
      </c>
      <c r="L713" s="13">
        <f t="shared" si="56"/>
        <v>0</v>
      </c>
      <c r="M713" s="13">
        <f>IF(AND(L713=0,COUNTIFS($B$2:$B$1534,B713,$G$2:$G$1534,G713,$E$2:$E$1534,"&gt;="&amp;(E713-Assumptions!$B$5),$E$2:$E$1534,"&lt;="&amp;(E713+Assumptions!$B$5))&gt;1),1,0)</f>
        <v>0</v>
      </c>
      <c r="N713" s="13">
        <f>IF(AND(G713&gt;=Assumptions!$B$4*(1-Assumptions!$B$6),G713&lt;Assumptions!$B$4),1,0)</f>
        <v>0</v>
      </c>
      <c r="O713" s="13">
        <f>IF(AND(G713&gt;=Assumptions!$B$7,MOD(G713,Assumptions!$B$7)=0),1,0)</f>
        <v>0</v>
      </c>
      <c r="P713" s="13">
        <f t="shared" si="57"/>
        <v>0</v>
      </c>
      <c r="Q713" s="13">
        <f t="shared" si="58"/>
        <v>0</v>
      </c>
      <c r="R713" s="13">
        <f>L713*Assumptions!$B$11+M713*Assumptions!$B$12+N713*Assumptions!$B$13+O713*Assumptions!$B$14+P713*Assumptions!$B$15+Q713*Assumptions!$B$16</f>
        <v>0</v>
      </c>
      <c r="S713" s="13" t="str">
        <f>IF(R713&gt;=Assumptions!$B$20,"High",IF(R713&gt;=Assumptions!$B$21,"Medium",IF(R713&gt;=1,"Low","Clear")))</f>
        <v>Clear</v>
      </c>
      <c r="T713" s="13" t="str">
        <f t="shared" si="59"/>
        <v/>
      </c>
    </row>
    <row r="714" spans="1:20" x14ac:dyDescent="0.35">
      <c r="A714" s="13" t="s">
        <v>2940</v>
      </c>
      <c r="B714" s="13" t="s">
        <v>176</v>
      </c>
      <c r="C714" s="13" t="s">
        <v>177</v>
      </c>
      <c r="D714" s="13" t="s">
        <v>2941</v>
      </c>
      <c r="E714" s="14">
        <v>45928</v>
      </c>
      <c r="F714" s="14">
        <v>45957</v>
      </c>
      <c r="G714" s="15">
        <v>182148.41</v>
      </c>
      <c r="H714" s="13" t="s">
        <v>2942</v>
      </c>
      <c r="I714" s="13" t="s">
        <v>2943</v>
      </c>
      <c r="J714" s="13" t="s">
        <v>136</v>
      </c>
      <c r="K714" s="13">
        <f t="shared" si="55"/>
        <v>1</v>
      </c>
      <c r="L714" s="13">
        <f t="shared" si="56"/>
        <v>0</v>
      </c>
      <c r="M714" s="13">
        <f>IF(AND(L714=0,COUNTIFS($B$2:$B$1534,B714,$G$2:$G$1534,G714,$E$2:$E$1534,"&gt;="&amp;(E714-Assumptions!$B$5),$E$2:$E$1534,"&lt;="&amp;(E714+Assumptions!$B$5))&gt;1),1,0)</f>
        <v>0</v>
      </c>
      <c r="N714" s="13">
        <f>IF(AND(G714&gt;=Assumptions!$B$4*(1-Assumptions!$B$6),G714&lt;Assumptions!$B$4),1,0)</f>
        <v>0</v>
      </c>
      <c r="O714" s="13">
        <f>IF(AND(G714&gt;=Assumptions!$B$7,MOD(G714,Assumptions!$B$7)=0),1,0)</f>
        <v>0</v>
      </c>
      <c r="P714" s="13">
        <f t="shared" si="57"/>
        <v>0</v>
      </c>
      <c r="Q714" s="13">
        <f t="shared" si="58"/>
        <v>0</v>
      </c>
      <c r="R714" s="13">
        <f>L714*Assumptions!$B$11+M714*Assumptions!$B$12+N714*Assumptions!$B$13+O714*Assumptions!$B$14+P714*Assumptions!$B$15+Q714*Assumptions!$B$16</f>
        <v>0</v>
      </c>
      <c r="S714" s="13" t="str">
        <f>IF(R714&gt;=Assumptions!$B$20,"High",IF(R714&gt;=Assumptions!$B$21,"Medium",IF(R714&gt;=1,"Low","Clear")))</f>
        <v>Clear</v>
      </c>
      <c r="T714" s="13" t="str">
        <f t="shared" si="59"/>
        <v/>
      </c>
    </row>
    <row r="715" spans="1:20" x14ac:dyDescent="0.35">
      <c r="A715" s="13" t="s">
        <v>2944</v>
      </c>
      <c r="B715" s="13" t="s">
        <v>252</v>
      </c>
      <c r="C715" s="13" t="s">
        <v>253</v>
      </c>
      <c r="D715" s="13" t="s">
        <v>2945</v>
      </c>
      <c r="E715" s="14">
        <v>45926</v>
      </c>
      <c r="F715" s="14">
        <v>45957</v>
      </c>
      <c r="G715" s="15">
        <v>10695.47</v>
      </c>
      <c r="H715" s="13" t="s">
        <v>2946</v>
      </c>
      <c r="I715" s="13" t="s">
        <v>2947</v>
      </c>
      <c r="J715" s="13" t="s">
        <v>98</v>
      </c>
      <c r="K715" s="13">
        <f t="shared" si="55"/>
        <v>1</v>
      </c>
      <c r="L715" s="13">
        <f t="shared" si="56"/>
        <v>0</v>
      </c>
      <c r="M715" s="13">
        <f>IF(AND(L715=0,COUNTIFS($B$2:$B$1534,B715,$G$2:$G$1534,G715,$E$2:$E$1534,"&gt;="&amp;(E715-Assumptions!$B$5),$E$2:$E$1534,"&lt;="&amp;(E715+Assumptions!$B$5))&gt;1),1,0)</f>
        <v>0</v>
      </c>
      <c r="N715" s="13">
        <f>IF(AND(G715&gt;=Assumptions!$B$4*(1-Assumptions!$B$6),G715&lt;Assumptions!$B$4),1,0)</f>
        <v>0</v>
      </c>
      <c r="O715" s="13">
        <f>IF(AND(G715&gt;=Assumptions!$B$7,MOD(G715,Assumptions!$B$7)=0),1,0)</f>
        <v>0</v>
      </c>
      <c r="P715" s="13">
        <f t="shared" si="57"/>
        <v>0</v>
      </c>
      <c r="Q715" s="13">
        <f t="shared" si="58"/>
        <v>0</v>
      </c>
      <c r="R715" s="13">
        <f>L715*Assumptions!$B$11+M715*Assumptions!$B$12+N715*Assumptions!$B$13+O715*Assumptions!$B$14+P715*Assumptions!$B$15+Q715*Assumptions!$B$16</f>
        <v>0</v>
      </c>
      <c r="S715" s="13" t="str">
        <f>IF(R715&gt;=Assumptions!$B$20,"High",IF(R715&gt;=Assumptions!$B$21,"Medium",IF(R715&gt;=1,"Low","Clear")))</f>
        <v>Clear</v>
      </c>
      <c r="T715" s="13" t="str">
        <f t="shared" si="59"/>
        <v/>
      </c>
    </row>
    <row r="716" spans="1:20" x14ac:dyDescent="0.35">
      <c r="A716" s="13" t="s">
        <v>2948</v>
      </c>
      <c r="B716" s="13" t="s">
        <v>252</v>
      </c>
      <c r="C716" s="13" t="s">
        <v>253</v>
      </c>
      <c r="D716" s="13" t="s">
        <v>2949</v>
      </c>
      <c r="E716" s="14">
        <v>45917</v>
      </c>
      <c r="F716" s="14">
        <v>45957</v>
      </c>
      <c r="G716" s="15">
        <v>77538.59</v>
      </c>
      <c r="H716" s="13" t="s">
        <v>2950</v>
      </c>
      <c r="I716" s="13" t="s">
        <v>2951</v>
      </c>
      <c r="J716" s="13" t="s">
        <v>91</v>
      </c>
      <c r="K716" s="13">
        <f t="shared" si="55"/>
        <v>7</v>
      </c>
      <c r="L716" s="13">
        <f t="shared" si="56"/>
        <v>0</v>
      </c>
      <c r="M716" s="13">
        <f>IF(AND(L716=0,COUNTIFS($B$2:$B$1534,B716,$G$2:$G$1534,G716,$E$2:$E$1534,"&gt;="&amp;(E716-Assumptions!$B$5),$E$2:$E$1534,"&lt;="&amp;(E716+Assumptions!$B$5))&gt;1),1,0)</f>
        <v>0</v>
      </c>
      <c r="N716" s="13">
        <f>IF(AND(G716&gt;=Assumptions!$B$4*(1-Assumptions!$B$6),G716&lt;Assumptions!$B$4),1,0)</f>
        <v>0</v>
      </c>
      <c r="O716" s="13">
        <f>IF(AND(G716&gt;=Assumptions!$B$7,MOD(G716,Assumptions!$B$7)=0),1,0)</f>
        <v>0</v>
      </c>
      <c r="P716" s="13">
        <f t="shared" si="57"/>
        <v>0</v>
      </c>
      <c r="Q716" s="13">
        <f t="shared" si="58"/>
        <v>0</v>
      </c>
      <c r="R716" s="13">
        <f>L716*Assumptions!$B$11+M716*Assumptions!$B$12+N716*Assumptions!$B$13+O716*Assumptions!$B$14+P716*Assumptions!$B$15+Q716*Assumptions!$B$16</f>
        <v>0</v>
      </c>
      <c r="S716" s="13" t="str">
        <f>IF(R716&gt;=Assumptions!$B$20,"High",IF(R716&gt;=Assumptions!$B$21,"Medium",IF(R716&gt;=1,"Low","Clear")))</f>
        <v>Clear</v>
      </c>
      <c r="T716" s="13" t="str">
        <f t="shared" si="59"/>
        <v/>
      </c>
    </row>
    <row r="717" spans="1:20" x14ac:dyDescent="0.35">
      <c r="A717" s="13" t="s">
        <v>2952</v>
      </c>
      <c r="B717" s="13" t="s">
        <v>93</v>
      </c>
      <c r="C717" s="13" t="s">
        <v>94</v>
      </c>
      <c r="D717" s="13" t="s">
        <v>2953</v>
      </c>
      <c r="E717" s="14">
        <v>45926</v>
      </c>
      <c r="F717" s="14">
        <v>45957</v>
      </c>
      <c r="G717" s="15">
        <v>152102.84</v>
      </c>
      <c r="H717" s="13" t="s">
        <v>2954</v>
      </c>
      <c r="I717" s="13" t="s">
        <v>2955</v>
      </c>
      <c r="J717" s="13" t="s">
        <v>143</v>
      </c>
      <c r="K717" s="13">
        <f t="shared" si="55"/>
        <v>1</v>
      </c>
      <c r="L717" s="13">
        <f t="shared" si="56"/>
        <v>0</v>
      </c>
      <c r="M717" s="13">
        <f>IF(AND(L717=0,COUNTIFS($B$2:$B$1534,B717,$G$2:$G$1534,G717,$E$2:$E$1534,"&gt;="&amp;(E717-Assumptions!$B$5),$E$2:$E$1534,"&lt;="&amp;(E717+Assumptions!$B$5))&gt;1),1,0)</f>
        <v>0</v>
      </c>
      <c r="N717" s="13">
        <f>IF(AND(G717&gt;=Assumptions!$B$4*(1-Assumptions!$B$6),G717&lt;Assumptions!$B$4),1,0)</f>
        <v>0</v>
      </c>
      <c r="O717" s="13">
        <f>IF(AND(G717&gt;=Assumptions!$B$7,MOD(G717,Assumptions!$B$7)=0),1,0)</f>
        <v>0</v>
      </c>
      <c r="P717" s="13">
        <f t="shared" si="57"/>
        <v>0</v>
      </c>
      <c r="Q717" s="13">
        <f t="shared" si="58"/>
        <v>0</v>
      </c>
      <c r="R717" s="13">
        <f>L717*Assumptions!$B$11+M717*Assumptions!$B$12+N717*Assumptions!$B$13+O717*Assumptions!$B$14+P717*Assumptions!$B$15+Q717*Assumptions!$B$16</f>
        <v>0</v>
      </c>
      <c r="S717" s="13" t="str">
        <f>IF(R717&gt;=Assumptions!$B$20,"High",IF(R717&gt;=Assumptions!$B$21,"Medium",IF(R717&gt;=1,"Low","Clear")))</f>
        <v>Clear</v>
      </c>
      <c r="T717" s="13" t="str">
        <f t="shared" si="59"/>
        <v/>
      </c>
    </row>
    <row r="718" spans="1:20" x14ac:dyDescent="0.35">
      <c r="A718" s="13" t="s">
        <v>2956</v>
      </c>
      <c r="B718" s="13" t="s">
        <v>279</v>
      </c>
      <c r="C718" s="13" t="s">
        <v>280</v>
      </c>
      <c r="D718" s="13" t="s">
        <v>2957</v>
      </c>
      <c r="E718" s="14">
        <v>45932</v>
      </c>
      <c r="F718" s="14">
        <v>45957</v>
      </c>
      <c r="G718" s="15">
        <v>8068.69</v>
      </c>
      <c r="H718" s="13" t="s">
        <v>2958</v>
      </c>
      <c r="I718" s="13" t="s">
        <v>2959</v>
      </c>
      <c r="J718" s="13" t="s">
        <v>143</v>
      </c>
      <c r="K718" s="13">
        <f t="shared" si="55"/>
        <v>8</v>
      </c>
      <c r="L718" s="13">
        <f t="shared" si="56"/>
        <v>0</v>
      </c>
      <c r="M718" s="13">
        <f>IF(AND(L718=0,COUNTIFS($B$2:$B$1534,B718,$G$2:$G$1534,G718,$E$2:$E$1534,"&gt;="&amp;(E718-Assumptions!$B$5),$E$2:$E$1534,"&lt;="&amp;(E718+Assumptions!$B$5))&gt;1),1,0)</f>
        <v>0</v>
      </c>
      <c r="N718" s="13">
        <f>IF(AND(G718&gt;=Assumptions!$B$4*(1-Assumptions!$B$6),G718&lt;Assumptions!$B$4),1,0)</f>
        <v>0</v>
      </c>
      <c r="O718" s="13">
        <f>IF(AND(G718&gt;=Assumptions!$B$7,MOD(G718,Assumptions!$B$7)=0),1,0)</f>
        <v>0</v>
      </c>
      <c r="P718" s="13">
        <f t="shared" si="57"/>
        <v>0</v>
      </c>
      <c r="Q718" s="13">
        <f t="shared" si="58"/>
        <v>0</v>
      </c>
      <c r="R718" s="13">
        <f>L718*Assumptions!$B$11+M718*Assumptions!$B$12+N718*Assumptions!$B$13+O718*Assumptions!$B$14+P718*Assumptions!$B$15+Q718*Assumptions!$B$16</f>
        <v>0</v>
      </c>
      <c r="S718" s="13" t="str">
        <f>IF(R718&gt;=Assumptions!$B$20,"High",IF(R718&gt;=Assumptions!$B$21,"Medium",IF(R718&gt;=1,"Low","Clear")))</f>
        <v>Clear</v>
      </c>
      <c r="T718" s="13" t="str">
        <f t="shared" si="59"/>
        <v/>
      </c>
    </row>
    <row r="719" spans="1:20" x14ac:dyDescent="0.35">
      <c r="A719" s="13" t="s">
        <v>2960</v>
      </c>
      <c r="B719" s="13" t="s">
        <v>774</v>
      </c>
      <c r="C719" s="13" t="s">
        <v>775</v>
      </c>
      <c r="D719" s="13" t="s">
        <v>2961</v>
      </c>
      <c r="E719" s="14">
        <v>45921</v>
      </c>
      <c r="F719" s="14">
        <v>45957</v>
      </c>
      <c r="G719" s="15">
        <v>110862.33</v>
      </c>
      <c r="H719" s="13" t="s">
        <v>2962</v>
      </c>
      <c r="I719" s="13" t="s">
        <v>2963</v>
      </c>
      <c r="J719" s="13" t="s">
        <v>98</v>
      </c>
      <c r="K719" s="13">
        <f t="shared" si="55"/>
        <v>1</v>
      </c>
      <c r="L719" s="13">
        <f t="shared" si="56"/>
        <v>0</v>
      </c>
      <c r="M719" s="13">
        <f>IF(AND(L719=0,COUNTIFS($B$2:$B$1534,B719,$G$2:$G$1534,G719,$E$2:$E$1534,"&gt;="&amp;(E719-Assumptions!$B$5),$E$2:$E$1534,"&lt;="&amp;(E719+Assumptions!$B$5))&gt;1),1,0)</f>
        <v>0</v>
      </c>
      <c r="N719" s="13">
        <f>IF(AND(G719&gt;=Assumptions!$B$4*(1-Assumptions!$B$6),G719&lt;Assumptions!$B$4),1,0)</f>
        <v>0</v>
      </c>
      <c r="O719" s="13">
        <f>IF(AND(G719&gt;=Assumptions!$B$7,MOD(G719,Assumptions!$B$7)=0),1,0)</f>
        <v>0</v>
      </c>
      <c r="P719" s="13">
        <f t="shared" si="57"/>
        <v>0</v>
      </c>
      <c r="Q719" s="13">
        <f t="shared" si="58"/>
        <v>0</v>
      </c>
      <c r="R719" s="13">
        <f>L719*Assumptions!$B$11+M719*Assumptions!$B$12+N719*Assumptions!$B$13+O719*Assumptions!$B$14+P719*Assumptions!$B$15+Q719*Assumptions!$B$16</f>
        <v>0</v>
      </c>
      <c r="S719" s="13" t="str">
        <f>IF(R719&gt;=Assumptions!$B$20,"High",IF(R719&gt;=Assumptions!$B$21,"Medium",IF(R719&gt;=1,"Low","Clear")))</f>
        <v>Clear</v>
      </c>
      <c r="T719" s="13" t="str">
        <f t="shared" si="59"/>
        <v/>
      </c>
    </row>
    <row r="720" spans="1:20" x14ac:dyDescent="0.35">
      <c r="A720" s="13" t="s">
        <v>2964</v>
      </c>
      <c r="B720" s="13" t="s">
        <v>131</v>
      </c>
      <c r="C720" s="13" t="s">
        <v>132</v>
      </c>
      <c r="D720" s="13" t="s">
        <v>2965</v>
      </c>
      <c r="E720" s="14">
        <v>45921</v>
      </c>
      <c r="F720" s="14">
        <v>45957</v>
      </c>
      <c r="G720" s="15">
        <v>6327.96</v>
      </c>
      <c r="H720" s="13" t="s">
        <v>2795</v>
      </c>
      <c r="I720" s="13" t="s">
        <v>2796</v>
      </c>
      <c r="J720" s="13" t="s">
        <v>136</v>
      </c>
      <c r="K720" s="13">
        <f t="shared" si="55"/>
        <v>6</v>
      </c>
      <c r="L720" s="13">
        <f t="shared" si="56"/>
        <v>0</v>
      </c>
      <c r="M720" s="13">
        <f>IF(AND(L720=0,COUNTIFS($B$2:$B$1534,B720,$G$2:$G$1534,G720,$E$2:$E$1534,"&gt;="&amp;(E720-Assumptions!$B$5),$E$2:$E$1534,"&lt;="&amp;(E720+Assumptions!$B$5))&gt;1),1,0)</f>
        <v>1</v>
      </c>
      <c r="N720" s="13">
        <f>IF(AND(G720&gt;=Assumptions!$B$4*(1-Assumptions!$B$6),G720&lt;Assumptions!$B$4),1,0)</f>
        <v>0</v>
      </c>
      <c r="O720" s="13">
        <f>IF(AND(G720&gt;=Assumptions!$B$7,MOD(G720,Assumptions!$B$7)=0),1,0)</f>
        <v>0</v>
      </c>
      <c r="P720" s="13">
        <f t="shared" si="57"/>
        <v>0</v>
      </c>
      <c r="Q720" s="13">
        <f t="shared" si="58"/>
        <v>0</v>
      </c>
      <c r="R720" s="13">
        <f>L720*Assumptions!$B$11+M720*Assumptions!$B$12+N720*Assumptions!$B$13+O720*Assumptions!$B$14+P720*Assumptions!$B$15+Q720*Assumptions!$B$16</f>
        <v>3</v>
      </c>
      <c r="S720" s="13" t="str">
        <f>IF(R720&gt;=Assumptions!$B$20,"High",IF(R720&gt;=Assumptions!$B$21,"Medium",IF(R720&gt;=1,"Low","Clear")))</f>
        <v>Medium</v>
      </c>
      <c r="T720" s="13" t="str">
        <f t="shared" si="59"/>
        <v xml:space="preserve">Near-duplicate; </v>
      </c>
    </row>
    <row r="721" spans="1:20" x14ac:dyDescent="0.35">
      <c r="A721" s="13" t="s">
        <v>2966</v>
      </c>
      <c r="B721" s="13" t="s">
        <v>466</v>
      </c>
      <c r="C721" s="13" t="s">
        <v>467</v>
      </c>
      <c r="D721" s="13" t="s">
        <v>2967</v>
      </c>
      <c r="E721" s="14">
        <v>45936</v>
      </c>
      <c r="F721" s="14">
        <v>45957</v>
      </c>
      <c r="G721" s="15">
        <v>140000</v>
      </c>
      <c r="H721" s="13" t="s">
        <v>2968</v>
      </c>
      <c r="I721" s="13" t="s">
        <v>2969</v>
      </c>
      <c r="J721" s="13" t="s">
        <v>143</v>
      </c>
      <c r="K721" s="13">
        <f t="shared" si="55"/>
        <v>1</v>
      </c>
      <c r="L721" s="13">
        <f t="shared" si="56"/>
        <v>0</v>
      </c>
      <c r="M721" s="13">
        <f>IF(AND(L721=0,COUNTIFS($B$2:$B$1534,B721,$G$2:$G$1534,G721,$E$2:$E$1534,"&gt;="&amp;(E721-Assumptions!$B$5),$E$2:$E$1534,"&lt;="&amp;(E721+Assumptions!$B$5))&gt;1),1,0)</f>
        <v>0</v>
      </c>
      <c r="N721" s="13">
        <f>IF(AND(G721&gt;=Assumptions!$B$4*(1-Assumptions!$B$6),G721&lt;Assumptions!$B$4),1,0)</f>
        <v>0</v>
      </c>
      <c r="O721" s="13">
        <f>IF(AND(G721&gt;=Assumptions!$B$7,MOD(G721,Assumptions!$B$7)=0),1,0)</f>
        <v>1</v>
      </c>
      <c r="P721" s="13">
        <f t="shared" si="57"/>
        <v>0</v>
      </c>
      <c r="Q721" s="13">
        <f t="shared" si="58"/>
        <v>0</v>
      </c>
      <c r="R721" s="13">
        <f>L721*Assumptions!$B$11+M721*Assumptions!$B$12+N721*Assumptions!$B$13+O721*Assumptions!$B$14+P721*Assumptions!$B$15+Q721*Assumptions!$B$16</f>
        <v>1</v>
      </c>
      <c r="S721" s="13" t="str">
        <f>IF(R721&gt;=Assumptions!$B$20,"High",IF(R721&gt;=Assumptions!$B$21,"Medium",IF(R721&gt;=1,"Low","Clear")))</f>
        <v>Low</v>
      </c>
      <c r="T721" s="13" t="str">
        <f t="shared" si="59"/>
        <v xml:space="preserve">Round amount; </v>
      </c>
    </row>
    <row r="722" spans="1:20" x14ac:dyDescent="0.35">
      <c r="A722" s="13" t="s">
        <v>2970</v>
      </c>
      <c r="B722" s="13" t="s">
        <v>113</v>
      </c>
      <c r="C722" s="13" t="s">
        <v>114</v>
      </c>
      <c r="D722" s="13" t="s">
        <v>2971</v>
      </c>
      <c r="E722" s="14">
        <v>45934</v>
      </c>
      <c r="F722" s="14">
        <v>45957</v>
      </c>
      <c r="G722" s="15">
        <v>497478.03</v>
      </c>
      <c r="H722" s="13" t="s">
        <v>2972</v>
      </c>
      <c r="I722" s="13" t="s">
        <v>2973</v>
      </c>
      <c r="J722" s="13" t="s">
        <v>143</v>
      </c>
      <c r="K722" s="13">
        <f t="shared" si="55"/>
        <v>4</v>
      </c>
      <c r="L722" s="13">
        <f t="shared" si="56"/>
        <v>0</v>
      </c>
      <c r="M722" s="13">
        <f>IF(AND(L722=0,COUNTIFS($B$2:$B$1534,B722,$G$2:$G$1534,G722,$E$2:$E$1534,"&gt;="&amp;(E722-Assumptions!$B$5),$E$2:$E$1534,"&lt;="&amp;(E722+Assumptions!$B$5))&gt;1),1,0)</f>
        <v>0</v>
      </c>
      <c r="N722" s="13">
        <f>IF(AND(G722&gt;=Assumptions!$B$4*(1-Assumptions!$B$6),G722&lt;Assumptions!$B$4),1,0)</f>
        <v>0</v>
      </c>
      <c r="O722" s="13">
        <f>IF(AND(G722&gt;=Assumptions!$B$7,MOD(G722,Assumptions!$B$7)=0),1,0)</f>
        <v>0</v>
      </c>
      <c r="P722" s="13">
        <f t="shared" si="57"/>
        <v>0</v>
      </c>
      <c r="Q722" s="13">
        <f t="shared" si="58"/>
        <v>0</v>
      </c>
      <c r="R722" s="13">
        <f>L722*Assumptions!$B$11+M722*Assumptions!$B$12+N722*Assumptions!$B$13+O722*Assumptions!$B$14+P722*Assumptions!$B$15+Q722*Assumptions!$B$16</f>
        <v>0</v>
      </c>
      <c r="S722" s="13" t="str">
        <f>IF(R722&gt;=Assumptions!$B$20,"High",IF(R722&gt;=Assumptions!$B$21,"Medium",IF(R722&gt;=1,"Low","Clear")))</f>
        <v>Clear</v>
      </c>
      <c r="T722" s="13" t="str">
        <f t="shared" si="59"/>
        <v/>
      </c>
    </row>
    <row r="723" spans="1:20" x14ac:dyDescent="0.35">
      <c r="A723" s="13" t="s">
        <v>2974</v>
      </c>
      <c r="B723" s="13" t="s">
        <v>155</v>
      </c>
      <c r="C723" s="13" t="s">
        <v>156</v>
      </c>
      <c r="D723" s="13" t="s">
        <v>2975</v>
      </c>
      <c r="E723" s="14">
        <v>45916</v>
      </c>
      <c r="F723" s="14">
        <v>45957</v>
      </c>
      <c r="G723" s="15">
        <v>95118.89</v>
      </c>
      <c r="H723" s="13" t="s">
        <v>2976</v>
      </c>
      <c r="I723" s="13" t="s">
        <v>2977</v>
      </c>
      <c r="J723" s="13" t="s">
        <v>143</v>
      </c>
      <c r="K723" s="13">
        <f t="shared" si="55"/>
        <v>9</v>
      </c>
      <c r="L723" s="13">
        <f t="shared" si="56"/>
        <v>0</v>
      </c>
      <c r="M723" s="13">
        <f>IF(AND(L723=0,COUNTIFS($B$2:$B$1534,B723,$G$2:$G$1534,G723,$E$2:$E$1534,"&gt;="&amp;(E723-Assumptions!$B$5),$E$2:$E$1534,"&lt;="&amp;(E723+Assumptions!$B$5))&gt;1),1,0)</f>
        <v>0</v>
      </c>
      <c r="N723" s="13">
        <f>IF(AND(G723&gt;=Assumptions!$B$4*(1-Assumptions!$B$6),G723&lt;Assumptions!$B$4),1,0)</f>
        <v>0</v>
      </c>
      <c r="O723" s="13">
        <f>IF(AND(G723&gt;=Assumptions!$B$7,MOD(G723,Assumptions!$B$7)=0),1,0)</f>
        <v>0</v>
      </c>
      <c r="P723" s="13">
        <f t="shared" si="57"/>
        <v>0</v>
      </c>
      <c r="Q723" s="13">
        <f t="shared" si="58"/>
        <v>0</v>
      </c>
      <c r="R723" s="13">
        <f>L723*Assumptions!$B$11+M723*Assumptions!$B$12+N723*Assumptions!$B$13+O723*Assumptions!$B$14+P723*Assumptions!$B$15+Q723*Assumptions!$B$16</f>
        <v>0</v>
      </c>
      <c r="S723" s="13" t="str">
        <f>IF(R723&gt;=Assumptions!$B$20,"High",IF(R723&gt;=Assumptions!$B$21,"Medium",IF(R723&gt;=1,"Low","Clear")))</f>
        <v>Clear</v>
      </c>
      <c r="T723" s="13" t="str">
        <f t="shared" si="59"/>
        <v/>
      </c>
    </row>
    <row r="724" spans="1:20" x14ac:dyDescent="0.35">
      <c r="A724" s="13" t="s">
        <v>2978</v>
      </c>
      <c r="B724" s="13" t="s">
        <v>476</v>
      </c>
      <c r="C724" s="13" t="s">
        <v>477</v>
      </c>
      <c r="D724" s="13" t="s">
        <v>2979</v>
      </c>
      <c r="E724" s="14">
        <v>45926</v>
      </c>
      <c r="F724" s="14">
        <v>45957</v>
      </c>
      <c r="G724" s="15">
        <v>118345.60000000001</v>
      </c>
      <c r="H724" s="13" t="s">
        <v>2980</v>
      </c>
      <c r="I724" s="13" t="s">
        <v>2981</v>
      </c>
      <c r="J724" s="13" t="s">
        <v>91</v>
      </c>
      <c r="K724" s="13">
        <f t="shared" si="55"/>
        <v>1</v>
      </c>
      <c r="L724" s="13">
        <f t="shared" si="56"/>
        <v>0</v>
      </c>
      <c r="M724" s="13">
        <f>IF(AND(L724=0,COUNTIFS($B$2:$B$1534,B724,$G$2:$G$1534,G724,$E$2:$E$1534,"&gt;="&amp;(E724-Assumptions!$B$5),$E$2:$E$1534,"&lt;="&amp;(E724+Assumptions!$B$5))&gt;1),1,0)</f>
        <v>0</v>
      </c>
      <c r="N724" s="13">
        <f>IF(AND(G724&gt;=Assumptions!$B$4*(1-Assumptions!$B$6),G724&lt;Assumptions!$B$4),1,0)</f>
        <v>0</v>
      </c>
      <c r="O724" s="13">
        <f>IF(AND(G724&gt;=Assumptions!$B$7,MOD(G724,Assumptions!$B$7)=0),1,0)</f>
        <v>0</v>
      </c>
      <c r="P724" s="13">
        <f t="shared" si="57"/>
        <v>0</v>
      </c>
      <c r="Q724" s="13">
        <f t="shared" si="58"/>
        <v>0</v>
      </c>
      <c r="R724" s="13">
        <f>L724*Assumptions!$B$11+M724*Assumptions!$B$12+N724*Assumptions!$B$13+O724*Assumptions!$B$14+P724*Assumptions!$B$15+Q724*Assumptions!$B$16</f>
        <v>0</v>
      </c>
      <c r="S724" s="13" t="str">
        <f>IF(R724&gt;=Assumptions!$B$20,"High",IF(R724&gt;=Assumptions!$B$21,"Medium",IF(R724&gt;=1,"Low","Clear")))</f>
        <v>Clear</v>
      </c>
      <c r="T724" s="13" t="str">
        <f t="shared" si="59"/>
        <v/>
      </c>
    </row>
    <row r="725" spans="1:20" x14ac:dyDescent="0.35">
      <c r="A725" s="13" t="s">
        <v>2982</v>
      </c>
      <c r="B725" s="13" t="s">
        <v>100</v>
      </c>
      <c r="C725" s="13" t="s">
        <v>101</v>
      </c>
      <c r="D725" s="13" t="s">
        <v>2983</v>
      </c>
      <c r="E725" s="14">
        <v>45921</v>
      </c>
      <c r="F725" s="14">
        <v>45957</v>
      </c>
      <c r="G725" s="15">
        <v>2487.4699999999998</v>
      </c>
      <c r="H725" s="13" t="s">
        <v>2984</v>
      </c>
      <c r="I725" s="13" t="s">
        <v>2985</v>
      </c>
      <c r="J725" s="13" t="s">
        <v>98</v>
      </c>
      <c r="K725" s="13">
        <f t="shared" si="55"/>
        <v>2</v>
      </c>
      <c r="L725" s="13">
        <f t="shared" si="56"/>
        <v>0</v>
      </c>
      <c r="M725" s="13">
        <f>IF(AND(L725=0,COUNTIFS($B$2:$B$1534,B725,$G$2:$G$1534,G725,$E$2:$E$1534,"&gt;="&amp;(E725-Assumptions!$B$5),$E$2:$E$1534,"&lt;="&amp;(E725+Assumptions!$B$5))&gt;1),1,0)</f>
        <v>1</v>
      </c>
      <c r="N725" s="13">
        <f>IF(AND(G725&gt;=Assumptions!$B$4*(1-Assumptions!$B$6),G725&lt;Assumptions!$B$4),1,0)</f>
        <v>0</v>
      </c>
      <c r="O725" s="13">
        <f>IF(AND(G725&gt;=Assumptions!$B$7,MOD(G725,Assumptions!$B$7)=0),1,0)</f>
        <v>0</v>
      </c>
      <c r="P725" s="13">
        <f t="shared" si="57"/>
        <v>0</v>
      </c>
      <c r="Q725" s="13">
        <f t="shared" si="58"/>
        <v>0</v>
      </c>
      <c r="R725" s="13">
        <f>L725*Assumptions!$B$11+M725*Assumptions!$B$12+N725*Assumptions!$B$13+O725*Assumptions!$B$14+P725*Assumptions!$B$15+Q725*Assumptions!$B$16</f>
        <v>3</v>
      </c>
      <c r="S725" s="13" t="str">
        <f>IF(R725&gt;=Assumptions!$B$20,"High",IF(R725&gt;=Assumptions!$B$21,"Medium",IF(R725&gt;=1,"Low","Clear")))</f>
        <v>Medium</v>
      </c>
      <c r="T725" s="13" t="str">
        <f t="shared" si="59"/>
        <v xml:space="preserve">Near-duplicate; </v>
      </c>
    </row>
    <row r="726" spans="1:20" x14ac:dyDescent="0.35">
      <c r="A726" s="13" t="s">
        <v>2986</v>
      </c>
      <c r="B726" s="13" t="s">
        <v>100</v>
      </c>
      <c r="C726" s="13" t="s">
        <v>101</v>
      </c>
      <c r="D726" s="13" t="s">
        <v>2987</v>
      </c>
      <c r="E726" s="14">
        <v>45925</v>
      </c>
      <c r="F726" s="14">
        <v>45957</v>
      </c>
      <c r="G726" s="15">
        <v>2487.4699999999998</v>
      </c>
      <c r="H726" s="13" t="s">
        <v>2984</v>
      </c>
      <c r="I726" s="13" t="s">
        <v>2985</v>
      </c>
      <c r="J726" s="13" t="s">
        <v>98</v>
      </c>
      <c r="K726" s="13">
        <f t="shared" si="55"/>
        <v>2</v>
      </c>
      <c r="L726" s="13">
        <f t="shared" si="56"/>
        <v>0</v>
      </c>
      <c r="M726" s="13">
        <f>IF(AND(L726=0,COUNTIFS($B$2:$B$1534,B726,$G$2:$G$1534,G726,$E$2:$E$1534,"&gt;="&amp;(E726-Assumptions!$B$5),$E$2:$E$1534,"&lt;="&amp;(E726+Assumptions!$B$5))&gt;1),1,0)</f>
        <v>1</v>
      </c>
      <c r="N726" s="13">
        <f>IF(AND(G726&gt;=Assumptions!$B$4*(1-Assumptions!$B$6),G726&lt;Assumptions!$B$4),1,0)</f>
        <v>0</v>
      </c>
      <c r="O726" s="13">
        <f>IF(AND(G726&gt;=Assumptions!$B$7,MOD(G726,Assumptions!$B$7)=0),1,0)</f>
        <v>0</v>
      </c>
      <c r="P726" s="13">
        <f t="shared" si="57"/>
        <v>0</v>
      </c>
      <c r="Q726" s="13">
        <f t="shared" si="58"/>
        <v>0</v>
      </c>
      <c r="R726" s="13">
        <f>L726*Assumptions!$B$11+M726*Assumptions!$B$12+N726*Assumptions!$B$13+O726*Assumptions!$B$14+P726*Assumptions!$B$15+Q726*Assumptions!$B$16</f>
        <v>3</v>
      </c>
      <c r="S726" s="13" t="str">
        <f>IF(R726&gt;=Assumptions!$B$20,"High",IF(R726&gt;=Assumptions!$B$21,"Medium",IF(R726&gt;=1,"Low","Clear")))</f>
        <v>Medium</v>
      </c>
      <c r="T726" s="13" t="str">
        <f t="shared" si="59"/>
        <v xml:space="preserve">Near-duplicate; </v>
      </c>
    </row>
    <row r="727" spans="1:20" x14ac:dyDescent="0.35">
      <c r="A727" s="13" t="s">
        <v>2988</v>
      </c>
      <c r="B727" s="13" t="s">
        <v>188</v>
      </c>
      <c r="C727" s="13" t="s">
        <v>189</v>
      </c>
      <c r="D727" s="13" t="s">
        <v>2989</v>
      </c>
      <c r="E727" s="14">
        <v>45932</v>
      </c>
      <c r="F727" s="14">
        <v>45958</v>
      </c>
      <c r="G727" s="15">
        <v>6636.4</v>
      </c>
      <c r="H727" s="13" t="s">
        <v>2990</v>
      </c>
      <c r="I727" s="13" t="s">
        <v>2991</v>
      </c>
      <c r="J727" s="13" t="s">
        <v>98</v>
      </c>
      <c r="K727" s="13">
        <f t="shared" si="55"/>
        <v>6</v>
      </c>
      <c r="L727" s="13">
        <f t="shared" si="56"/>
        <v>0</v>
      </c>
      <c r="M727" s="13">
        <f>IF(AND(L727=0,COUNTIFS($B$2:$B$1534,B727,$G$2:$G$1534,G727,$E$2:$E$1534,"&gt;="&amp;(E727-Assumptions!$B$5),$E$2:$E$1534,"&lt;="&amp;(E727+Assumptions!$B$5))&gt;1),1,0)</f>
        <v>0</v>
      </c>
      <c r="N727" s="13">
        <f>IF(AND(G727&gt;=Assumptions!$B$4*(1-Assumptions!$B$6),G727&lt;Assumptions!$B$4),1,0)</f>
        <v>0</v>
      </c>
      <c r="O727" s="13">
        <f>IF(AND(G727&gt;=Assumptions!$B$7,MOD(G727,Assumptions!$B$7)=0),1,0)</f>
        <v>0</v>
      </c>
      <c r="P727" s="13">
        <f t="shared" si="57"/>
        <v>0</v>
      </c>
      <c r="Q727" s="13">
        <f t="shared" si="58"/>
        <v>0</v>
      </c>
      <c r="R727" s="13">
        <f>L727*Assumptions!$B$11+M727*Assumptions!$B$12+N727*Assumptions!$B$13+O727*Assumptions!$B$14+P727*Assumptions!$B$15+Q727*Assumptions!$B$16</f>
        <v>0</v>
      </c>
      <c r="S727" s="13" t="str">
        <f>IF(R727&gt;=Assumptions!$B$20,"High",IF(R727&gt;=Assumptions!$B$21,"Medium",IF(R727&gt;=1,"Low","Clear")))</f>
        <v>Clear</v>
      </c>
      <c r="T727" s="13" t="str">
        <f t="shared" si="59"/>
        <v/>
      </c>
    </row>
    <row r="728" spans="1:20" x14ac:dyDescent="0.35">
      <c r="A728" s="13" t="s">
        <v>2992</v>
      </c>
      <c r="B728" s="13" t="s">
        <v>200</v>
      </c>
      <c r="C728" s="13" t="s">
        <v>201</v>
      </c>
      <c r="D728" s="13" t="s">
        <v>2993</v>
      </c>
      <c r="E728" s="14">
        <v>45921</v>
      </c>
      <c r="F728" s="14">
        <v>45958</v>
      </c>
      <c r="G728" s="15">
        <v>5468.81</v>
      </c>
      <c r="H728" s="13" t="s">
        <v>2994</v>
      </c>
      <c r="I728" s="13" t="s">
        <v>2995</v>
      </c>
      <c r="J728" s="13" t="s">
        <v>143</v>
      </c>
      <c r="K728" s="13">
        <f t="shared" si="55"/>
        <v>5</v>
      </c>
      <c r="L728" s="13">
        <f t="shared" si="56"/>
        <v>0</v>
      </c>
      <c r="M728" s="13">
        <f>IF(AND(L728=0,COUNTIFS($B$2:$B$1534,B728,$G$2:$G$1534,G728,$E$2:$E$1534,"&gt;="&amp;(E728-Assumptions!$B$5),$E$2:$E$1534,"&lt;="&amp;(E728+Assumptions!$B$5))&gt;1),1,0)</f>
        <v>0</v>
      </c>
      <c r="N728" s="13">
        <f>IF(AND(G728&gt;=Assumptions!$B$4*(1-Assumptions!$B$6),G728&lt;Assumptions!$B$4),1,0)</f>
        <v>0</v>
      </c>
      <c r="O728" s="13">
        <f>IF(AND(G728&gt;=Assumptions!$B$7,MOD(G728,Assumptions!$B$7)=0),1,0)</f>
        <v>0</v>
      </c>
      <c r="P728" s="13">
        <f t="shared" si="57"/>
        <v>0</v>
      </c>
      <c r="Q728" s="13">
        <f t="shared" si="58"/>
        <v>0</v>
      </c>
      <c r="R728" s="13">
        <f>L728*Assumptions!$B$11+M728*Assumptions!$B$12+N728*Assumptions!$B$13+O728*Assumptions!$B$14+P728*Assumptions!$B$15+Q728*Assumptions!$B$16</f>
        <v>0</v>
      </c>
      <c r="S728" s="13" t="str">
        <f>IF(R728&gt;=Assumptions!$B$20,"High",IF(R728&gt;=Assumptions!$B$21,"Medium",IF(R728&gt;=1,"Low","Clear")))</f>
        <v>Clear</v>
      </c>
      <c r="T728" s="13" t="str">
        <f t="shared" si="59"/>
        <v/>
      </c>
    </row>
    <row r="729" spans="1:20" x14ac:dyDescent="0.35">
      <c r="A729" s="13" t="s">
        <v>2996</v>
      </c>
      <c r="B729" s="13" t="s">
        <v>125</v>
      </c>
      <c r="C729" s="13" t="s">
        <v>126</v>
      </c>
      <c r="D729" s="13" t="s">
        <v>2997</v>
      </c>
      <c r="E729" s="14">
        <v>45920</v>
      </c>
      <c r="F729" s="14">
        <v>45958</v>
      </c>
      <c r="G729" s="15">
        <v>1329.18</v>
      </c>
      <c r="H729" s="13" t="s">
        <v>2998</v>
      </c>
      <c r="I729" s="13" t="s">
        <v>2999</v>
      </c>
      <c r="J729" s="13" t="s">
        <v>111</v>
      </c>
      <c r="K729" s="13">
        <f t="shared" si="55"/>
        <v>1</v>
      </c>
      <c r="L729" s="13">
        <f t="shared" si="56"/>
        <v>0</v>
      </c>
      <c r="M729" s="13">
        <f>IF(AND(L729=0,COUNTIFS($B$2:$B$1534,B729,$G$2:$G$1534,G729,$E$2:$E$1534,"&gt;="&amp;(E729-Assumptions!$B$5),$E$2:$E$1534,"&lt;="&amp;(E729+Assumptions!$B$5))&gt;1),1,0)</f>
        <v>0</v>
      </c>
      <c r="N729" s="13">
        <f>IF(AND(G729&gt;=Assumptions!$B$4*(1-Assumptions!$B$6),G729&lt;Assumptions!$B$4),1,0)</f>
        <v>0</v>
      </c>
      <c r="O729" s="13">
        <f>IF(AND(G729&gt;=Assumptions!$B$7,MOD(G729,Assumptions!$B$7)=0),1,0)</f>
        <v>0</v>
      </c>
      <c r="P729" s="13">
        <f t="shared" si="57"/>
        <v>0</v>
      </c>
      <c r="Q729" s="13">
        <f t="shared" si="58"/>
        <v>0</v>
      </c>
      <c r="R729" s="13">
        <f>L729*Assumptions!$B$11+M729*Assumptions!$B$12+N729*Assumptions!$B$13+O729*Assumptions!$B$14+P729*Assumptions!$B$15+Q729*Assumptions!$B$16</f>
        <v>0</v>
      </c>
      <c r="S729" s="13" t="str">
        <f>IF(R729&gt;=Assumptions!$B$20,"High",IF(R729&gt;=Assumptions!$B$21,"Medium",IF(R729&gt;=1,"Low","Clear")))</f>
        <v>Clear</v>
      </c>
      <c r="T729" s="13" t="str">
        <f t="shared" si="59"/>
        <v/>
      </c>
    </row>
    <row r="730" spans="1:20" x14ac:dyDescent="0.35">
      <c r="A730" s="13" t="s">
        <v>3000</v>
      </c>
      <c r="B730" s="13" t="s">
        <v>357</v>
      </c>
      <c r="C730" s="13" t="s">
        <v>358</v>
      </c>
      <c r="D730" s="13" t="s">
        <v>3001</v>
      </c>
      <c r="E730" s="14">
        <v>45921</v>
      </c>
      <c r="F730" s="14">
        <v>45958</v>
      </c>
      <c r="G730" s="15">
        <v>21426.09</v>
      </c>
      <c r="H730" s="13" t="s">
        <v>3002</v>
      </c>
      <c r="I730" s="13" t="s">
        <v>3003</v>
      </c>
      <c r="J730" s="13" t="s">
        <v>98</v>
      </c>
      <c r="K730" s="13">
        <f t="shared" si="55"/>
        <v>2</v>
      </c>
      <c r="L730" s="13">
        <f t="shared" si="56"/>
        <v>0</v>
      </c>
      <c r="M730" s="13">
        <f>IF(AND(L730=0,COUNTIFS($B$2:$B$1534,B730,$G$2:$G$1534,G730,$E$2:$E$1534,"&gt;="&amp;(E730-Assumptions!$B$5),$E$2:$E$1534,"&lt;="&amp;(E730+Assumptions!$B$5))&gt;1),1,0)</f>
        <v>1</v>
      </c>
      <c r="N730" s="13">
        <f>IF(AND(G730&gt;=Assumptions!$B$4*(1-Assumptions!$B$6),G730&lt;Assumptions!$B$4),1,0)</f>
        <v>0</v>
      </c>
      <c r="O730" s="13">
        <f>IF(AND(G730&gt;=Assumptions!$B$7,MOD(G730,Assumptions!$B$7)=0),1,0)</f>
        <v>0</v>
      </c>
      <c r="P730" s="13">
        <f t="shared" si="57"/>
        <v>0</v>
      </c>
      <c r="Q730" s="13">
        <f t="shared" si="58"/>
        <v>0</v>
      </c>
      <c r="R730" s="13">
        <f>L730*Assumptions!$B$11+M730*Assumptions!$B$12+N730*Assumptions!$B$13+O730*Assumptions!$B$14+P730*Assumptions!$B$15+Q730*Assumptions!$B$16</f>
        <v>3</v>
      </c>
      <c r="S730" s="13" t="str">
        <f>IF(R730&gt;=Assumptions!$B$20,"High",IF(R730&gt;=Assumptions!$B$21,"Medium",IF(R730&gt;=1,"Low","Clear")))</f>
        <v>Medium</v>
      </c>
      <c r="T730" s="13" t="str">
        <f t="shared" si="59"/>
        <v xml:space="preserve">Near-duplicate; </v>
      </c>
    </row>
    <row r="731" spans="1:20" x14ac:dyDescent="0.35">
      <c r="A731" s="13" t="s">
        <v>3004</v>
      </c>
      <c r="B731" s="13" t="s">
        <v>293</v>
      </c>
      <c r="C731" s="13" t="s">
        <v>294</v>
      </c>
      <c r="D731" s="13" t="s">
        <v>3005</v>
      </c>
      <c r="E731" s="14">
        <v>45932</v>
      </c>
      <c r="F731" s="14">
        <v>45959</v>
      </c>
      <c r="G731" s="15">
        <v>92269.33</v>
      </c>
      <c r="H731" s="13" t="s">
        <v>3006</v>
      </c>
      <c r="I731" s="13" t="s">
        <v>3007</v>
      </c>
      <c r="J731" s="13" t="s">
        <v>170</v>
      </c>
      <c r="K731" s="13">
        <f t="shared" si="55"/>
        <v>9</v>
      </c>
      <c r="L731" s="13">
        <f t="shared" si="56"/>
        <v>0</v>
      </c>
      <c r="M731" s="13">
        <f>IF(AND(L731=0,COUNTIFS($B$2:$B$1534,B731,$G$2:$G$1534,G731,$E$2:$E$1534,"&gt;="&amp;(E731-Assumptions!$B$5),$E$2:$E$1534,"&lt;="&amp;(E731+Assumptions!$B$5))&gt;1),1,0)</f>
        <v>0</v>
      </c>
      <c r="N731" s="13">
        <f>IF(AND(G731&gt;=Assumptions!$B$4*(1-Assumptions!$B$6),G731&lt;Assumptions!$B$4),1,0)</f>
        <v>0</v>
      </c>
      <c r="O731" s="13">
        <f>IF(AND(G731&gt;=Assumptions!$B$7,MOD(G731,Assumptions!$B$7)=0),1,0)</f>
        <v>0</v>
      </c>
      <c r="P731" s="13">
        <f t="shared" si="57"/>
        <v>0</v>
      </c>
      <c r="Q731" s="13">
        <f t="shared" si="58"/>
        <v>0</v>
      </c>
      <c r="R731" s="13">
        <f>L731*Assumptions!$B$11+M731*Assumptions!$B$12+N731*Assumptions!$B$13+O731*Assumptions!$B$14+P731*Assumptions!$B$15+Q731*Assumptions!$B$16</f>
        <v>0</v>
      </c>
      <c r="S731" s="13" t="str">
        <f>IF(R731&gt;=Assumptions!$B$20,"High",IF(R731&gt;=Assumptions!$B$21,"Medium",IF(R731&gt;=1,"Low","Clear")))</f>
        <v>Clear</v>
      </c>
      <c r="T731" s="13" t="str">
        <f t="shared" si="59"/>
        <v/>
      </c>
    </row>
    <row r="732" spans="1:20" x14ac:dyDescent="0.35">
      <c r="A732" s="13" t="s">
        <v>3008</v>
      </c>
      <c r="B732" s="13" t="s">
        <v>119</v>
      </c>
      <c r="C732" s="13" t="s">
        <v>120</v>
      </c>
      <c r="D732" s="13" t="s">
        <v>3009</v>
      </c>
      <c r="E732" s="14">
        <v>45924</v>
      </c>
      <c r="F732" s="14">
        <v>45959</v>
      </c>
      <c r="G732" s="15">
        <v>238765.93</v>
      </c>
      <c r="H732" s="13" t="s">
        <v>3010</v>
      </c>
      <c r="I732" s="13" t="s">
        <v>3011</v>
      </c>
      <c r="J732" s="13" t="s">
        <v>91</v>
      </c>
      <c r="K732" s="13">
        <f t="shared" si="55"/>
        <v>2</v>
      </c>
      <c r="L732" s="13">
        <f t="shared" si="56"/>
        <v>0</v>
      </c>
      <c r="M732" s="13">
        <f>IF(AND(L732=0,COUNTIFS($B$2:$B$1534,B732,$G$2:$G$1534,G732,$E$2:$E$1534,"&gt;="&amp;(E732-Assumptions!$B$5),$E$2:$E$1534,"&lt;="&amp;(E732+Assumptions!$B$5))&gt;1),1,0)</f>
        <v>0</v>
      </c>
      <c r="N732" s="13">
        <f>IF(AND(G732&gt;=Assumptions!$B$4*(1-Assumptions!$B$6),G732&lt;Assumptions!$B$4),1,0)</f>
        <v>0</v>
      </c>
      <c r="O732" s="13">
        <f>IF(AND(G732&gt;=Assumptions!$B$7,MOD(G732,Assumptions!$B$7)=0),1,0)</f>
        <v>0</v>
      </c>
      <c r="P732" s="13">
        <f t="shared" si="57"/>
        <v>0</v>
      </c>
      <c r="Q732" s="13">
        <f t="shared" si="58"/>
        <v>0</v>
      </c>
      <c r="R732" s="13">
        <f>L732*Assumptions!$B$11+M732*Assumptions!$B$12+N732*Assumptions!$B$13+O732*Assumptions!$B$14+P732*Assumptions!$B$15+Q732*Assumptions!$B$16</f>
        <v>0</v>
      </c>
      <c r="S732" s="13" t="str">
        <f>IF(R732&gt;=Assumptions!$B$20,"High",IF(R732&gt;=Assumptions!$B$21,"Medium",IF(R732&gt;=1,"Low","Clear")))</f>
        <v>Clear</v>
      </c>
      <c r="T732" s="13" t="str">
        <f t="shared" si="59"/>
        <v/>
      </c>
    </row>
    <row r="733" spans="1:20" x14ac:dyDescent="0.35">
      <c r="A733" s="13" t="s">
        <v>3012</v>
      </c>
      <c r="B733" s="13" t="s">
        <v>188</v>
      </c>
      <c r="C733" s="13" t="s">
        <v>189</v>
      </c>
      <c r="D733" s="13" t="s">
        <v>3013</v>
      </c>
      <c r="E733" s="14">
        <v>45923</v>
      </c>
      <c r="F733" s="14">
        <v>45960</v>
      </c>
      <c r="G733" s="15">
        <v>216561.57</v>
      </c>
      <c r="H733" s="13" t="s">
        <v>3014</v>
      </c>
      <c r="I733" s="13" t="s">
        <v>3015</v>
      </c>
      <c r="J733" s="13" t="s">
        <v>91</v>
      </c>
      <c r="K733" s="13">
        <f t="shared" si="55"/>
        <v>2</v>
      </c>
      <c r="L733" s="13">
        <f t="shared" si="56"/>
        <v>0</v>
      </c>
      <c r="M733" s="13">
        <f>IF(AND(L733=0,COUNTIFS($B$2:$B$1534,B733,$G$2:$G$1534,G733,$E$2:$E$1534,"&gt;="&amp;(E733-Assumptions!$B$5),$E$2:$E$1534,"&lt;="&amp;(E733+Assumptions!$B$5))&gt;1),1,0)</f>
        <v>0</v>
      </c>
      <c r="N733" s="13">
        <f>IF(AND(G733&gt;=Assumptions!$B$4*(1-Assumptions!$B$6),G733&lt;Assumptions!$B$4),1,0)</f>
        <v>0</v>
      </c>
      <c r="O733" s="13">
        <f>IF(AND(G733&gt;=Assumptions!$B$7,MOD(G733,Assumptions!$B$7)=0),1,0)</f>
        <v>0</v>
      </c>
      <c r="P733" s="13">
        <f t="shared" si="57"/>
        <v>0</v>
      </c>
      <c r="Q733" s="13">
        <f t="shared" si="58"/>
        <v>0</v>
      </c>
      <c r="R733" s="13">
        <f>L733*Assumptions!$B$11+M733*Assumptions!$B$12+N733*Assumptions!$B$13+O733*Assumptions!$B$14+P733*Assumptions!$B$15+Q733*Assumptions!$B$16</f>
        <v>0</v>
      </c>
      <c r="S733" s="13" t="str">
        <f>IF(R733&gt;=Assumptions!$B$20,"High",IF(R733&gt;=Assumptions!$B$21,"Medium",IF(R733&gt;=1,"Low","Clear")))</f>
        <v>Clear</v>
      </c>
      <c r="T733" s="13" t="str">
        <f t="shared" si="59"/>
        <v/>
      </c>
    </row>
    <row r="734" spans="1:20" x14ac:dyDescent="0.35">
      <c r="A734" s="13" t="s">
        <v>3016</v>
      </c>
      <c r="B734" s="13" t="s">
        <v>670</v>
      </c>
      <c r="C734" s="13" t="s">
        <v>671</v>
      </c>
      <c r="D734" s="13" t="s">
        <v>3017</v>
      </c>
      <c r="E734" s="14">
        <v>45928</v>
      </c>
      <c r="F734" s="14">
        <v>45960</v>
      </c>
      <c r="G734" s="15">
        <v>303669.03000000003</v>
      </c>
      <c r="H734" s="13" t="s">
        <v>3018</v>
      </c>
      <c r="I734" s="13" t="s">
        <v>3019</v>
      </c>
      <c r="J734" s="13" t="s">
        <v>143</v>
      </c>
      <c r="K734" s="13">
        <f t="shared" si="55"/>
        <v>3</v>
      </c>
      <c r="L734" s="13">
        <f t="shared" si="56"/>
        <v>0</v>
      </c>
      <c r="M734" s="13">
        <f>IF(AND(L734=0,COUNTIFS($B$2:$B$1534,B734,$G$2:$G$1534,G734,$E$2:$E$1534,"&gt;="&amp;(E734-Assumptions!$B$5),$E$2:$E$1534,"&lt;="&amp;(E734+Assumptions!$B$5))&gt;1),1,0)</f>
        <v>0</v>
      </c>
      <c r="N734" s="13">
        <f>IF(AND(G734&gt;=Assumptions!$B$4*(1-Assumptions!$B$6),G734&lt;Assumptions!$B$4),1,0)</f>
        <v>0</v>
      </c>
      <c r="O734" s="13">
        <f>IF(AND(G734&gt;=Assumptions!$B$7,MOD(G734,Assumptions!$B$7)=0),1,0)</f>
        <v>0</v>
      </c>
      <c r="P734" s="13">
        <f t="shared" si="57"/>
        <v>0</v>
      </c>
      <c r="Q734" s="13">
        <f t="shared" si="58"/>
        <v>0</v>
      </c>
      <c r="R734" s="13">
        <f>L734*Assumptions!$B$11+M734*Assumptions!$B$12+N734*Assumptions!$B$13+O734*Assumptions!$B$14+P734*Assumptions!$B$15+Q734*Assumptions!$B$16</f>
        <v>0</v>
      </c>
      <c r="S734" s="13" t="str">
        <f>IF(R734&gt;=Assumptions!$B$20,"High",IF(R734&gt;=Assumptions!$B$21,"Medium",IF(R734&gt;=1,"Low","Clear")))</f>
        <v>Clear</v>
      </c>
      <c r="T734" s="13" t="str">
        <f t="shared" si="59"/>
        <v/>
      </c>
    </row>
    <row r="735" spans="1:20" x14ac:dyDescent="0.35">
      <c r="A735" s="13" t="s">
        <v>3020</v>
      </c>
      <c r="B735" s="13" t="s">
        <v>498</v>
      </c>
      <c r="C735" s="13" t="s">
        <v>499</v>
      </c>
      <c r="D735" s="13" t="s">
        <v>3021</v>
      </c>
      <c r="E735" s="14">
        <v>45931</v>
      </c>
      <c r="F735" s="14">
        <v>45960</v>
      </c>
      <c r="G735" s="15">
        <v>5214.1899999999996</v>
      </c>
      <c r="H735" s="13" t="s">
        <v>3022</v>
      </c>
      <c r="I735" s="13" t="s">
        <v>3023</v>
      </c>
      <c r="J735" s="13" t="s">
        <v>98</v>
      </c>
      <c r="K735" s="13">
        <f t="shared" si="55"/>
        <v>5</v>
      </c>
      <c r="L735" s="13">
        <f t="shared" si="56"/>
        <v>0</v>
      </c>
      <c r="M735" s="13">
        <f>IF(AND(L735=0,COUNTIFS($B$2:$B$1534,B735,$G$2:$G$1534,G735,$E$2:$E$1534,"&gt;="&amp;(E735-Assumptions!$B$5),$E$2:$E$1534,"&lt;="&amp;(E735+Assumptions!$B$5))&gt;1),1,0)</f>
        <v>0</v>
      </c>
      <c r="N735" s="13">
        <f>IF(AND(G735&gt;=Assumptions!$B$4*(1-Assumptions!$B$6),G735&lt;Assumptions!$B$4),1,0)</f>
        <v>0</v>
      </c>
      <c r="O735" s="13">
        <f>IF(AND(G735&gt;=Assumptions!$B$7,MOD(G735,Assumptions!$B$7)=0),1,0)</f>
        <v>0</v>
      </c>
      <c r="P735" s="13">
        <f t="shared" si="57"/>
        <v>0</v>
      </c>
      <c r="Q735" s="13">
        <f t="shared" si="58"/>
        <v>0</v>
      </c>
      <c r="R735" s="13">
        <f>L735*Assumptions!$B$11+M735*Assumptions!$B$12+N735*Assumptions!$B$13+O735*Assumptions!$B$14+P735*Assumptions!$B$15+Q735*Assumptions!$B$16</f>
        <v>0</v>
      </c>
      <c r="S735" s="13" t="str">
        <f>IF(R735&gt;=Assumptions!$B$20,"High",IF(R735&gt;=Assumptions!$B$21,"Medium",IF(R735&gt;=1,"Low","Clear")))</f>
        <v>Clear</v>
      </c>
      <c r="T735" s="13" t="str">
        <f t="shared" si="59"/>
        <v/>
      </c>
    </row>
    <row r="736" spans="1:20" x14ac:dyDescent="0.35">
      <c r="A736" s="13" t="s">
        <v>3024</v>
      </c>
      <c r="B736" s="13" t="s">
        <v>218</v>
      </c>
      <c r="C736" s="13" t="s">
        <v>219</v>
      </c>
      <c r="D736" s="13" t="s">
        <v>3025</v>
      </c>
      <c r="E736" s="14">
        <v>45927</v>
      </c>
      <c r="F736" s="14">
        <v>45960</v>
      </c>
      <c r="G736" s="15">
        <v>8780.33</v>
      </c>
      <c r="H736" s="13" t="s">
        <v>3026</v>
      </c>
      <c r="I736" s="13" t="s">
        <v>3027</v>
      </c>
      <c r="J736" s="13" t="s">
        <v>170</v>
      </c>
      <c r="K736" s="13">
        <f t="shared" si="55"/>
        <v>8</v>
      </c>
      <c r="L736" s="13">
        <f t="shared" si="56"/>
        <v>0</v>
      </c>
      <c r="M736" s="13">
        <f>IF(AND(L736=0,COUNTIFS($B$2:$B$1534,B736,$G$2:$G$1534,G736,$E$2:$E$1534,"&gt;="&amp;(E736-Assumptions!$B$5),$E$2:$E$1534,"&lt;="&amp;(E736+Assumptions!$B$5))&gt;1),1,0)</f>
        <v>0</v>
      </c>
      <c r="N736" s="13">
        <f>IF(AND(G736&gt;=Assumptions!$B$4*(1-Assumptions!$B$6),G736&lt;Assumptions!$B$4),1,0)</f>
        <v>0</v>
      </c>
      <c r="O736" s="13">
        <f>IF(AND(G736&gt;=Assumptions!$B$7,MOD(G736,Assumptions!$B$7)=0),1,0)</f>
        <v>0</v>
      </c>
      <c r="P736" s="13">
        <f t="shared" si="57"/>
        <v>0</v>
      </c>
      <c r="Q736" s="13">
        <f t="shared" si="58"/>
        <v>0</v>
      </c>
      <c r="R736" s="13">
        <f>L736*Assumptions!$B$11+M736*Assumptions!$B$12+N736*Assumptions!$B$13+O736*Assumptions!$B$14+P736*Assumptions!$B$15+Q736*Assumptions!$B$16</f>
        <v>0</v>
      </c>
      <c r="S736" s="13" t="str">
        <f>IF(R736&gt;=Assumptions!$B$20,"High",IF(R736&gt;=Assumptions!$B$21,"Medium",IF(R736&gt;=1,"Low","Clear")))</f>
        <v>Clear</v>
      </c>
      <c r="T736" s="13" t="str">
        <f t="shared" si="59"/>
        <v/>
      </c>
    </row>
    <row r="737" spans="1:20" x14ac:dyDescent="0.35">
      <c r="A737" s="13" t="s">
        <v>3028</v>
      </c>
      <c r="B737" s="13" t="s">
        <v>317</v>
      </c>
      <c r="C737" s="13" t="s">
        <v>318</v>
      </c>
      <c r="D737" s="13" t="s">
        <v>3029</v>
      </c>
      <c r="E737" s="14">
        <v>45928</v>
      </c>
      <c r="F737" s="14">
        <v>45960</v>
      </c>
      <c r="G737" s="15">
        <v>16457.080000000002</v>
      </c>
      <c r="H737" s="13" t="s">
        <v>3030</v>
      </c>
      <c r="I737" s="13" t="s">
        <v>3031</v>
      </c>
      <c r="J737" s="13" t="s">
        <v>111</v>
      </c>
      <c r="K737" s="13">
        <f t="shared" si="55"/>
        <v>1</v>
      </c>
      <c r="L737" s="13">
        <f t="shared" si="56"/>
        <v>0</v>
      </c>
      <c r="M737" s="13">
        <f>IF(AND(L737=0,COUNTIFS($B$2:$B$1534,B737,$G$2:$G$1534,G737,$E$2:$E$1534,"&gt;="&amp;(E737-Assumptions!$B$5),$E$2:$E$1534,"&lt;="&amp;(E737+Assumptions!$B$5))&gt;1),1,0)</f>
        <v>0</v>
      </c>
      <c r="N737" s="13">
        <f>IF(AND(G737&gt;=Assumptions!$B$4*(1-Assumptions!$B$6),G737&lt;Assumptions!$B$4),1,0)</f>
        <v>0</v>
      </c>
      <c r="O737" s="13">
        <f>IF(AND(G737&gt;=Assumptions!$B$7,MOD(G737,Assumptions!$B$7)=0),1,0)</f>
        <v>0</v>
      </c>
      <c r="P737" s="13">
        <f t="shared" si="57"/>
        <v>0</v>
      </c>
      <c r="Q737" s="13">
        <f t="shared" si="58"/>
        <v>0</v>
      </c>
      <c r="R737" s="13">
        <f>L737*Assumptions!$B$11+M737*Assumptions!$B$12+N737*Assumptions!$B$13+O737*Assumptions!$B$14+P737*Assumptions!$B$15+Q737*Assumptions!$B$16</f>
        <v>0</v>
      </c>
      <c r="S737" s="13" t="str">
        <f>IF(R737&gt;=Assumptions!$B$20,"High",IF(R737&gt;=Assumptions!$B$21,"Medium",IF(R737&gt;=1,"Low","Clear")))</f>
        <v>Clear</v>
      </c>
      <c r="T737" s="13" t="str">
        <f t="shared" si="59"/>
        <v/>
      </c>
    </row>
    <row r="738" spans="1:20" x14ac:dyDescent="0.35">
      <c r="A738" s="13" t="s">
        <v>3032</v>
      </c>
      <c r="B738" s="13" t="s">
        <v>409</v>
      </c>
      <c r="C738" s="13" t="s">
        <v>410</v>
      </c>
      <c r="D738" s="13" t="s">
        <v>3033</v>
      </c>
      <c r="E738" s="14">
        <v>45936</v>
      </c>
      <c r="F738" s="14">
        <v>45961</v>
      </c>
      <c r="G738" s="15">
        <v>694593.2</v>
      </c>
      <c r="H738" s="13" t="s">
        <v>3034</v>
      </c>
      <c r="I738" s="13" t="s">
        <v>3035</v>
      </c>
      <c r="J738" s="13" t="s">
        <v>136</v>
      </c>
      <c r="K738" s="13">
        <f t="shared" si="55"/>
        <v>6</v>
      </c>
      <c r="L738" s="13">
        <f t="shared" si="56"/>
        <v>0</v>
      </c>
      <c r="M738" s="13">
        <f>IF(AND(L738=0,COUNTIFS($B$2:$B$1534,B738,$G$2:$G$1534,G738,$E$2:$E$1534,"&gt;="&amp;(E738-Assumptions!$B$5),$E$2:$E$1534,"&lt;="&amp;(E738+Assumptions!$B$5))&gt;1),1,0)</f>
        <v>0</v>
      </c>
      <c r="N738" s="13">
        <f>IF(AND(G738&gt;=Assumptions!$B$4*(1-Assumptions!$B$6),G738&lt;Assumptions!$B$4),1,0)</f>
        <v>0</v>
      </c>
      <c r="O738" s="13">
        <f>IF(AND(G738&gt;=Assumptions!$B$7,MOD(G738,Assumptions!$B$7)=0),1,0)</f>
        <v>0</v>
      </c>
      <c r="P738" s="13">
        <f t="shared" si="57"/>
        <v>0</v>
      </c>
      <c r="Q738" s="13">
        <f t="shared" si="58"/>
        <v>0</v>
      </c>
      <c r="R738" s="13">
        <f>L738*Assumptions!$B$11+M738*Assumptions!$B$12+N738*Assumptions!$B$13+O738*Assumptions!$B$14+P738*Assumptions!$B$15+Q738*Assumptions!$B$16</f>
        <v>0</v>
      </c>
      <c r="S738" s="13" t="str">
        <f>IF(R738&gt;=Assumptions!$B$20,"High",IF(R738&gt;=Assumptions!$B$21,"Medium",IF(R738&gt;=1,"Low","Clear")))</f>
        <v>Clear</v>
      </c>
      <c r="T738" s="13" t="str">
        <f t="shared" si="59"/>
        <v/>
      </c>
    </row>
    <row r="739" spans="1:20" x14ac:dyDescent="0.35">
      <c r="A739" s="13" t="s">
        <v>3036</v>
      </c>
      <c r="B739" s="13" t="s">
        <v>86</v>
      </c>
      <c r="C739" s="13" t="s">
        <v>87</v>
      </c>
      <c r="D739" s="13" t="s">
        <v>3037</v>
      </c>
      <c r="E739" s="14">
        <v>45936</v>
      </c>
      <c r="F739" s="14">
        <v>45961</v>
      </c>
      <c r="G739" s="15">
        <v>5825.7</v>
      </c>
      <c r="H739" s="13" t="s">
        <v>3038</v>
      </c>
      <c r="I739" s="13" t="s">
        <v>3039</v>
      </c>
      <c r="J739" s="13" t="s">
        <v>136</v>
      </c>
      <c r="K739" s="13">
        <f t="shared" si="55"/>
        <v>5</v>
      </c>
      <c r="L739" s="13">
        <f t="shared" si="56"/>
        <v>0</v>
      </c>
      <c r="M739" s="13">
        <f>IF(AND(L739=0,COUNTIFS($B$2:$B$1534,B739,$G$2:$G$1534,G739,$E$2:$E$1534,"&gt;="&amp;(E739-Assumptions!$B$5),$E$2:$E$1534,"&lt;="&amp;(E739+Assumptions!$B$5))&gt;1),1,0)</f>
        <v>0</v>
      </c>
      <c r="N739" s="13">
        <f>IF(AND(G739&gt;=Assumptions!$B$4*(1-Assumptions!$B$6),G739&lt;Assumptions!$B$4),1,0)</f>
        <v>0</v>
      </c>
      <c r="O739" s="13">
        <f>IF(AND(G739&gt;=Assumptions!$B$7,MOD(G739,Assumptions!$B$7)=0),1,0)</f>
        <v>0</v>
      </c>
      <c r="P739" s="13">
        <f t="shared" si="57"/>
        <v>0</v>
      </c>
      <c r="Q739" s="13">
        <f t="shared" si="58"/>
        <v>0</v>
      </c>
      <c r="R739" s="13">
        <f>L739*Assumptions!$B$11+M739*Assumptions!$B$12+N739*Assumptions!$B$13+O739*Assumptions!$B$14+P739*Assumptions!$B$15+Q739*Assumptions!$B$16</f>
        <v>0</v>
      </c>
      <c r="S739" s="13" t="str">
        <f>IF(R739&gt;=Assumptions!$B$20,"High",IF(R739&gt;=Assumptions!$B$21,"Medium",IF(R739&gt;=1,"Low","Clear")))</f>
        <v>Clear</v>
      </c>
      <c r="T739" s="13" t="str">
        <f t="shared" si="59"/>
        <v/>
      </c>
    </row>
    <row r="740" spans="1:20" x14ac:dyDescent="0.35">
      <c r="A740" s="13" t="s">
        <v>3040</v>
      </c>
      <c r="B740" s="13" t="s">
        <v>100</v>
      </c>
      <c r="C740" s="13" t="s">
        <v>101</v>
      </c>
      <c r="D740" s="13" t="s">
        <v>3041</v>
      </c>
      <c r="E740" s="14">
        <v>45925</v>
      </c>
      <c r="F740" s="14">
        <v>45961</v>
      </c>
      <c r="G740" s="15">
        <v>35617.919999999998</v>
      </c>
      <c r="H740" s="13" t="s">
        <v>3042</v>
      </c>
      <c r="I740" s="13" t="s">
        <v>3043</v>
      </c>
      <c r="J740" s="13" t="s">
        <v>143</v>
      </c>
      <c r="K740" s="13">
        <f t="shared" si="55"/>
        <v>3</v>
      </c>
      <c r="L740" s="13">
        <f t="shared" si="56"/>
        <v>0</v>
      </c>
      <c r="M740" s="13">
        <f>IF(AND(L740=0,COUNTIFS($B$2:$B$1534,B740,$G$2:$G$1534,G740,$E$2:$E$1534,"&gt;="&amp;(E740-Assumptions!$B$5),$E$2:$E$1534,"&lt;="&amp;(E740+Assumptions!$B$5))&gt;1),1,0)</f>
        <v>0</v>
      </c>
      <c r="N740" s="13">
        <f>IF(AND(G740&gt;=Assumptions!$B$4*(1-Assumptions!$B$6),G740&lt;Assumptions!$B$4),1,0)</f>
        <v>0</v>
      </c>
      <c r="O740" s="13">
        <f>IF(AND(G740&gt;=Assumptions!$B$7,MOD(G740,Assumptions!$B$7)=0),1,0)</f>
        <v>0</v>
      </c>
      <c r="P740" s="13">
        <f t="shared" si="57"/>
        <v>0</v>
      </c>
      <c r="Q740" s="13">
        <f t="shared" si="58"/>
        <v>0</v>
      </c>
      <c r="R740" s="13">
        <f>L740*Assumptions!$B$11+M740*Assumptions!$B$12+N740*Assumptions!$B$13+O740*Assumptions!$B$14+P740*Assumptions!$B$15+Q740*Assumptions!$B$16</f>
        <v>0</v>
      </c>
      <c r="S740" s="13" t="str">
        <f>IF(R740&gt;=Assumptions!$B$20,"High",IF(R740&gt;=Assumptions!$B$21,"Medium",IF(R740&gt;=1,"Low","Clear")))</f>
        <v>Clear</v>
      </c>
      <c r="T740" s="13" t="str">
        <f t="shared" si="59"/>
        <v/>
      </c>
    </row>
    <row r="741" spans="1:20" x14ac:dyDescent="0.35">
      <c r="A741" s="13" t="s">
        <v>3044</v>
      </c>
      <c r="B741" s="13" t="s">
        <v>293</v>
      </c>
      <c r="C741" s="13" t="s">
        <v>294</v>
      </c>
      <c r="D741" s="13" t="s">
        <v>3045</v>
      </c>
      <c r="E741" s="14">
        <v>45925</v>
      </c>
      <c r="F741" s="14">
        <v>45964</v>
      </c>
      <c r="G741" s="15">
        <v>19281.2</v>
      </c>
      <c r="H741" s="13" t="s">
        <v>3046</v>
      </c>
      <c r="I741" s="13" t="s">
        <v>3047</v>
      </c>
      <c r="J741" s="13" t="s">
        <v>91</v>
      </c>
      <c r="K741" s="13">
        <f t="shared" si="55"/>
        <v>1</v>
      </c>
      <c r="L741" s="13">
        <f t="shared" si="56"/>
        <v>0</v>
      </c>
      <c r="M741" s="13">
        <f>IF(AND(L741=0,COUNTIFS($B$2:$B$1534,B741,$G$2:$G$1534,G741,$E$2:$E$1534,"&gt;="&amp;(E741-Assumptions!$B$5),$E$2:$E$1534,"&lt;="&amp;(E741+Assumptions!$B$5))&gt;1),1,0)</f>
        <v>0</v>
      </c>
      <c r="N741" s="13">
        <f>IF(AND(G741&gt;=Assumptions!$B$4*(1-Assumptions!$B$6),G741&lt;Assumptions!$B$4),1,0)</f>
        <v>0</v>
      </c>
      <c r="O741" s="13">
        <f>IF(AND(G741&gt;=Assumptions!$B$7,MOD(G741,Assumptions!$B$7)=0),1,0)</f>
        <v>0</v>
      </c>
      <c r="P741" s="13">
        <f t="shared" si="57"/>
        <v>0</v>
      </c>
      <c r="Q741" s="13">
        <f t="shared" si="58"/>
        <v>0</v>
      </c>
      <c r="R741" s="13">
        <f>L741*Assumptions!$B$11+M741*Assumptions!$B$12+N741*Assumptions!$B$13+O741*Assumptions!$B$14+P741*Assumptions!$B$15+Q741*Assumptions!$B$16</f>
        <v>0</v>
      </c>
      <c r="S741" s="13" t="str">
        <f>IF(R741&gt;=Assumptions!$B$20,"High",IF(R741&gt;=Assumptions!$B$21,"Medium",IF(R741&gt;=1,"Low","Clear")))</f>
        <v>Clear</v>
      </c>
      <c r="T741" s="13" t="str">
        <f t="shared" si="59"/>
        <v/>
      </c>
    </row>
    <row r="742" spans="1:20" x14ac:dyDescent="0.35">
      <c r="A742" s="13" t="s">
        <v>3048</v>
      </c>
      <c r="B742" s="13" t="s">
        <v>200</v>
      </c>
      <c r="C742" s="13" t="s">
        <v>201</v>
      </c>
      <c r="D742" s="13" t="s">
        <v>3049</v>
      </c>
      <c r="E742" s="14">
        <v>45939</v>
      </c>
      <c r="F742" s="14">
        <v>45964</v>
      </c>
      <c r="G742" s="15">
        <v>129461.78</v>
      </c>
      <c r="H742" s="13" t="s">
        <v>3050</v>
      </c>
      <c r="I742" s="13" t="s">
        <v>3051</v>
      </c>
      <c r="J742" s="13" t="s">
        <v>143</v>
      </c>
      <c r="K742" s="13">
        <f t="shared" si="55"/>
        <v>1</v>
      </c>
      <c r="L742" s="13">
        <f t="shared" si="56"/>
        <v>0</v>
      </c>
      <c r="M742" s="13">
        <f>IF(AND(L742=0,COUNTIFS($B$2:$B$1534,B742,$G$2:$G$1534,G742,$E$2:$E$1534,"&gt;="&amp;(E742-Assumptions!$B$5),$E$2:$E$1534,"&lt;="&amp;(E742+Assumptions!$B$5))&gt;1),1,0)</f>
        <v>0</v>
      </c>
      <c r="N742" s="13">
        <f>IF(AND(G742&gt;=Assumptions!$B$4*(1-Assumptions!$B$6),G742&lt;Assumptions!$B$4),1,0)</f>
        <v>0</v>
      </c>
      <c r="O742" s="13">
        <f>IF(AND(G742&gt;=Assumptions!$B$7,MOD(G742,Assumptions!$B$7)=0),1,0)</f>
        <v>0</v>
      </c>
      <c r="P742" s="13">
        <f t="shared" si="57"/>
        <v>0</v>
      </c>
      <c r="Q742" s="13">
        <f t="shared" si="58"/>
        <v>0</v>
      </c>
      <c r="R742" s="13">
        <f>L742*Assumptions!$B$11+M742*Assumptions!$B$12+N742*Assumptions!$B$13+O742*Assumptions!$B$14+P742*Assumptions!$B$15+Q742*Assumptions!$B$16</f>
        <v>0</v>
      </c>
      <c r="S742" s="13" t="str">
        <f>IF(R742&gt;=Assumptions!$B$20,"High",IF(R742&gt;=Assumptions!$B$21,"Medium",IF(R742&gt;=1,"Low","Clear")))</f>
        <v>Clear</v>
      </c>
      <c r="T742" s="13" t="str">
        <f t="shared" si="59"/>
        <v/>
      </c>
    </row>
    <row r="743" spans="1:20" x14ac:dyDescent="0.35">
      <c r="A743" s="13" t="s">
        <v>3052</v>
      </c>
      <c r="B743" s="13" t="s">
        <v>774</v>
      </c>
      <c r="C743" s="13" t="s">
        <v>775</v>
      </c>
      <c r="D743" s="13" t="s">
        <v>3053</v>
      </c>
      <c r="E743" s="14">
        <v>45930</v>
      </c>
      <c r="F743" s="14">
        <v>45964</v>
      </c>
      <c r="G743" s="15">
        <v>34703.96</v>
      </c>
      <c r="H743" s="13" t="s">
        <v>3054</v>
      </c>
      <c r="I743" s="13" t="s">
        <v>3055</v>
      </c>
      <c r="J743" s="13" t="s">
        <v>170</v>
      </c>
      <c r="K743" s="13">
        <f t="shared" si="55"/>
        <v>3</v>
      </c>
      <c r="L743" s="13">
        <f t="shared" si="56"/>
        <v>0</v>
      </c>
      <c r="M743" s="13">
        <f>IF(AND(L743=0,COUNTIFS($B$2:$B$1534,B743,$G$2:$G$1534,G743,$E$2:$E$1534,"&gt;="&amp;(E743-Assumptions!$B$5),$E$2:$E$1534,"&lt;="&amp;(E743+Assumptions!$B$5))&gt;1),1,0)</f>
        <v>0</v>
      </c>
      <c r="N743" s="13">
        <f>IF(AND(G743&gt;=Assumptions!$B$4*(1-Assumptions!$B$6),G743&lt;Assumptions!$B$4),1,0)</f>
        <v>0</v>
      </c>
      <c r="O743" s="13">
        <f>IF(AND(G743&gt;=Assumptions!$B$7,MOD(G743,Assumptions!$B$7)=0),1,0)</f>
        <v>0</v>
      </c>
      <c r="P743" s="13">
        <f t="shared" si="57"/>
        <v>0</v>
      </c>
      <c r="Q743" s="13">
        <f t="shared" si="58"/>
        <v>0</v>
      </c>
      <c r="R743" s="13">
        <f>L743*Assumptions!$B$11+M743*Assumptions!$B$12+N743*Assumptions!$B$13+O743*Assumptions!$B$14+P743*Assumptions!$B$15+Q743*Assumptions!$B$16</f>
        <v>0</v>
      </c>
      <c r="S743" s="13" t="str">
        <f>IF(R743&gt;=Assumptions!$B$20,"High",IF(R743&gt;=Assumptions!$B$21,"Medium",IF(R743&gt;=1,"Low","Clear")))</f>
        <v>Clear</v>
      </c>
      <c r="T743" s="13" t="str">
        <f t="shared" si="59"/>
        <v/>
      </c>
    </row>
    <row r="744" spans="1:20" x14ac:dyDescent="0.35">
      <c r="A744" s="13" t="s">
        <v>3056</v>
      </c>
      <c r="B744" s="13" t="s">
        <v>234</v>
      </c>
      <c r="C744" s="13" t="s">
        <v>235</v>
      </c>
      <c r="D744" s="13" t="s">
        <v>3057</v>
      </c>
      <c r="E744" s="14">
        <v>45939</v>
      </c>
      <c r="F744" s="14">
        <v>45964</v>
      </c>
      <c r="G744" s="15">
        <v>114937.86</v>
      </c>
      <c r="H744" s="13" t="s">
        <v>3058</v>
      </c>
      <c r="I744" s="13" t="s">
        <v>3059</v>
      </c>
      <c r="J744" s="13" t="s">
        <v>111</v>
      </c>
      <c r="K744" s="13">
        <f t="shared" si="55"/>
        <v>1</v>
      </c>
      <c r="L744" s="13">
        <f t="shared" si="56"/>
        <v>0</v>
      </c>
      <c r="M744" s="13">
        <f>IF(AND(L744=0,COUNTIFS($B$2:$B$1534,B744,$G$2:$G$1534,G744,$E$2:$E$1534,"&gt;="&amp;(E744-Assumptions!$B$5),$E$2:$E$1534,"&lt;="&amp;(E744+Assumptions!$B$5))&gt;1),1,0)</f>
        <v>0</v>
      </c>
      <c r="N744" s="13">
        <f>IF(AND(G744&gt;=Assumptions!$B$4*(1-Assumptions!$B$6),G744&lt;Assumptions!$B$4),1,0)</f>
        <v>0</v>
      </c>
      <c r="O744" s="13">
        <f>IF(AND(G744&gt;=Assumptions!$B$7,MOD(G744,Assumptions!$B$7)=0),1,0)</f>
        <v>0</v>
      </c>
      <c r="P744" s="13">
        <f t="shared" si="57"/>
        <v>0</v>
      </c>
      <c r="Q744" s="13">
        <f t="shared" si="58"/>
        <v>0</v>
      </c>
      <c r="R744" s="13">
        <f>L744*Assumptions!$B$11+M744*Assumptions!$B$12+N744*Assumptions!$B$13+O744*Assumptions!$B$14+P744*Assumptions!$B$15+Q744*Assumptions!$B$16</f>
        <v>0</v>
      </c>
      <c r="S744" s="13" t="str">
        <f>IF(R744&gt;=Assumptions!$B$20,"High",IF(R744&gt;=Assumptions!$B$21,"Medium",IF(R744&gt;=1,"Low","Clear")))</f>
        <v>Clear</v>
      </c>
      <c r="T744" s="13" t="str">
        <f t="shared" si="59"/>
        <v/>
      </c>
    </row>
    <row r="745" spans="1:20" x14ac:dyDescent="0.35">
      <c r="A745" s="13" t="s">
        <v>3060</v>
      </c>
      <c r="B745" s="13" t="s">
        <v>329</v>
      </c>
      <c r="C745" s="13" t="s">
        <v>330</v>
      </c>
      <c r="D745" s="13" t="s">
        <v>3061</v>
      </c>
      <c r="E745" s="14">
        <v>45941</v>
      </c>
      <c r="F745" s="14">
        <v>45964</v>
      </c>
      <c r="G745" s="15">
        <v>22243.35</v>
      </c>
      <c r="H745" s="13" t="s">
        <v>3062</v>
      </c>
      <c r="I745" s="13" t="s">
        <v>3063</v>
      </c>
      <c r="J745" s="13" t="s">
        <v>91</v>
      </c>
      <c r="K745" s="13">
        <f t="shared" si="55"/>
        <v>2</v>
      </c>
      <c r="L745" s="13">
        <f t="shared" si="56"/>
        <v>0</v>
      </c>
      <c r="M745" s="13">
        <f>IF(AND(L745=0,COUNTIFS($B$2:$B$1534,B745,$G$2:$G$1534,G745,$E$2:$E$1534,"&gt;="&amp;(E745-Assumptions!$B$5),$E$2:$E$1534,"&lt;="&amp;(E745+Assumptions!$B$5))&gt;1),1,0)</f>
        <v>0</v>
      </c>
      <c r="N745" s="13">
        <f>IF(AND(G745&gt;=Assumptions!$B$4*(1-Assumptions!$B$6),G745&lt;Assumptions!$B$4),1,0)</f>
        <v>0</v>
      </c>
      <c r="O745" s="13">
        <f>IF(AND(G745&gt;=Assumptions!$B$7,MOD(G745,Assumptions!$B$7)=0),1,0)</f>
        <v>0</v>
      </c>
      <c r="P745" s="13">
        <f t="shared" si="57"/>
        <v>0</v>
      </c>
      <c r="Q745" s="13">
        <f t="shared" si="58"/>
        <v>0</v>
      </c>
      <c r="R745" s="13">
        <f>L745*Assumptions!$B$11+M745*Assumptions!$B$12+N745*Assumptions!$B$13+O745*Assumptions!$B$14+P745*Assumptions!$B$15+Q745*Assumptions!$B$16</f>
        <v>0</v>
      </c>
      <c r="S745" s="13" t="str">
        <f>IF(R745&gt;=Assumptions!$B$20,"High",IF(R745&gt;=Assumptions!$B$21,"Medium",IF(R745&gt;=1,"Low","Clear")))</f>
        <v>Clear</v>
      </c>
      <c r="T745" s="13" t="str">
        <f t="shared" si="59"/>
        <v/>
      </c>
    </row>
    <row r="746" spans="1:20" x14ac:dyDescent="0.35">
      <c r="A746" s="13" t="s">
        <v>3064</v>
      </c>
      <c r="B746" s="13" t="s">
        <v>155</v>
      </c>
      <c r="C746" s="13" t="s">
        <v>156</v>
      </c>
      <c r="D746" s="13" t="s">
        <v>3065</v>
      </c>
      <c r="E746" s="14">
        <v>45937</v>
      </c>
      <c r="F746" s="14">
        <v>45964</v>
      </c>
      <c r="G746" s="15">
        <v>6077.96</v>
      </c>
      <c r="H746" s="13" t="s">
        <v>3066</v>
      </c>
      <c r="I746" s="13" t="s">
        <v>3067</v>
      </c>
      <c r="J746" s="13" t="s">
        <v>98</v>
      </c>
      <c r="K746" s="13">
        <f t="shared" si="55"/>
        <v>6</v>
      </c>
      <c r="L746" s="13">
        <f t="shared" si="56"/>
        <v>0</v>
      </c>
      <c r="M746" s="13">
        <f>IF(AND(L746=0,COUNTIFS($B$2:$B$1534,B746,$G$2:$G$1534,G746,$E$2:$E$1534,"&gt;="&amp;(E746-Assumptions!$B$5),$E$2:$E$1534,"&lt;="&amp;(E746+Assumptions!$B$5))&gt;1),1,0)</f>
        <v>0</v>
      </c>
      <c r="N746" s="13">
        <f>IF(AND(G746&gt;=Assumptions!$B$4*(1-Assumptions!$B$6),G746&lt;Assumptions!$B$4),1,0)</f>
        <v>0</v>
      </c>
      <c r="O746" s="13">
        <f>IF(AND(G746&gt;=Assumptions!$B$7,MOD(G746,Assumptions!$B$7)=0),1,0)</f>
        <v>0</v>
      </c>
      <c r="P746" s="13">
        <f t="shared" si="57"/>
        <v>0</v>
      </c>
      <c r="Q746" s="13">
        <f t="shared" si="58"/>
        <v>0</v>
      </c>
      <c r="R746" s="13">
        <f>L746*Assumptions!$B$11+M746*Assumptions!$B$12+N746*Assumptions!$B$13+O746*Assumptions!$B$14+P746*Assumptions!$B$15+Q746*Assumptions!$B$16</f>
        <v>0</v>
      </c>
      <c r="S746" s="13" t="str">
        <f>IF(R746&gt;=Assumptions!$B$20,"High",IF(R746&gt;=Assumptions!$B$21,"Medium",IF(R746&gt;=1,"Low","Clear")))</f>
        <v>Clear</v>
      </c>
      <c r="T746" s="13" t="str">
        <f t="shared" si="59"/>
        <v/>
      </c>
    </row>
    <row r="747" spans="1:20" x14ac:dyDescent="0.35">
      <c r="A747" s="13" t="s">
        <v>3068</v>
      </c>
      <c r="B747" s="13" t="s">
        <v>476</v>
      </c>
      <c r="C747" s="13" t="s">
        <v>477</v>
      </c>
      <c r="D747" s="13" t="s">
        <v>3069</v>
      </c>
      <c r="E747" s="14">
        <v>45940</v>
      </c>
      <c r="F747" s="14">
        <v>45964</v>
      </c>
      <c r="G747" s="15">
        <v>49614.84</v>
      </c>
      <c r="H747" s="13" t="s">
        <v>3070</v>
      </c>
      <c r="I747" s="13" t="s">
        <v>3071</v>
      </c>
      <c r="J747" s="13" t="s">
        <v>98</v>
      </c>
      <c r="K747" s="13">
        <f t="shared" si="55"/>
        <v>4</v>
      </c>
      <c r="L747" s="13">
        <f t="shared" si="56"/>
        <v>0</v>
      </c>
      <c r="M747" s="13">
        <f>IF(AND(L747=0,COUNTIFS($B$2:$B$1534,B747,$G$2:$G$1534,G747,$E$2:$E$1534,"&gt;="&amp;(E747-Assumptions!$B$5),$E$2:$E$1534,"&lt;="&amp;(E747+Assumptions!$B$5))&gt;1),1,0)</f>
        <v>0</v>
      </c>
      <c r="N747" s="13">
        <f>IF(AND(G747&gt;=Assumptions!$B$4*(1-Assumptions!$B$6),G747&lt;Assumptions!$B$4),1,0)</f>
        <v>1</v>
      </c>
      <c r="O747" s="13">
        <f>IF(AND(G747&gt;=Assumptions!$B$7,MOD(G747,Assumptions!$B$7)=0),1,0)</f>
        <v>0</v>
      </c>
      <c r="P747" s="13">
        <f t="shared" si="57"/>
        <v>0</v>
      </c>
      <c r="Q747" s="13">
        <f t="shared" si="58"/>
        <v>0</v>
      </c>
      <c r="R747" s="13">
        <f>L747*Assumptions!$B$11+M747*Assumptions!$B$12+N747*Assumptions!$B$13+O747*Assumptions!$B$14+P747*Assumptions!$B$15+Q747*Assumptions!$B$16</f>
        <v>3</v>
      </c>
      <c r="S747" s="13" t="str">
        <f>IF(R747&gt;=Assumptions!$B$20,"High",IF(R747&gt;=Assumptions!$B$21,"Medium",IF(R747&gt;=1,"Low","Clear")))</f>
        <v>Medium</v>
      </c>
      <c r="T747" s="13" t="str">
        <f t="shared" si="59"/>
        <v xml:space="preserve">Just below limit; </v>
      </c>
    </row>
    <row r="748" spans="1:20" x14ac:dyDescent="0.35">
      <c r="A748" s="13" t="s">
        <v>3072</v>
      </c>
      <c r="B748" s="13" t="s">
        <v>438</v>
      </c>
      <c r="C748" s="13" t="s">
        <v>439</v>
      </c>
      <c r="D748" s="13" t="s">
        <v>3073</v>
      </c>
      <c r="E748" s="14">
        <v>45939</v>
      </c>
      <c r="F748" s="14">
        <v>45964</v>
      </c>
      <c r="G748" s="15">
        <v>8901.64</v>
      </c>
      <c r="H748" s="13" t="s">
        <v>3074</v>
      </c>
      <c r="I748" s="13" t="s">
        <v>3075</v>
      </c>
      <c r="J748" s="13" t="s">
        <v>136</v>
      </c>
      <c r="K748" s="13">
        <f t="shared" si="55"/>
        <v>8</v>
      </c>
      <c r="L748" s="13">
        <f t="shared" si="56"/>
        <v>0</v>
      </c>
      <c r="M748" s="13">
        <f>IF(AND(L748=0,COUNTIFS($B$2:$B$1534,B748,$G$2:$G$1534,G748,$E$2:$E$1534,"&gt;="&amp;(E748-Assumptions!$B$5),$E$2:$E$1534,"&lt;="&amp;(E748+Assumptions!$B$5))&gt;1),1,0)</f>
        <v>0</v>
      </c>
      <c r="N748" s="13">
        <f>IF(AND(G748&gt;=Assumptions!$B$4*(1-Assumptions!$B$6),G748&lt;Assumptions!$B$4),1,0)</f>
        <v>0</v>
      </c>
      <c r="O748" s="13">
        <f>IF(AND(G748&gt;=Assumptions!$B$7,MOD(G748,Assumptions!$B$7)=0),1,0)</f>
        <v>0</v>
      </c>
      <c r="P748" s="13">
        <f t="shared" si="57"/>
        <v>0</v>
      </c>
      <c r="Q748" s="13">
        <f t="shared" si="58"/>
        <v>0</v>
      </c>
      <c r="R748" s="13">
        <f>L748*Assumptions!$B$11+M748*Assumptions!$B$12+N748*Assumptions!$B$13+O748*Assumptions!$B$14+P748*Assumptions!$B$15+Q748*Assumptions!$B$16</f>
        <v>0</v>
      </c>
      <c r="S748" s="13" t="str">
        <f>IF(R748&gt;=Assumptions!$B$20,"High",IF(R748&gt;=Assumptions!$B$21,"Medium",IF(R748&gt;=1,"Low","Clear")))</f>
        <v>Clear</v>
      </c>
      <c r="T748" s="13" t="str">
        <f t="shared" si="59"/>
        <v/>
      </c>
    </row>
    <row r="749" spans="1:20" x14ac:dyDescent="0.35">
      <c r="A749" s="13" t="s">
        <v>3076</v>
      </c>
      <c r="B749" s="13" t="s">
        <v>556</v>
      </c>
      <c r="C749" s="13" t="s">
        <v>557</v>
      </c>
      <c r="D749" s="13" t="s">
        <v>3077</v>
      </c>
      <c r="E749" s="14">
        <v>45940</v>
      </c>
      <c r="F749" s="14">
        <v>45964</v>
      </c>
      <c r="G749" s="15">
        <v>1046.78</v>
      </c>
      <c r="H749" s="13" t="s">
        <v>3078</v>
      </c>
      <c r="I749" s="13" t="s">
        <v>3079</v>
      </c>
      <c r="J749" s="13" t="s">
        <v>98</v>
      </c>
      <c r="K749" s="13">
        <f t="shared" si="55"/>
        <v>1</v>
      </c>
      <c r="L749" s="13">
        <f t="shared" si="56"/>
        <v>0</v>
      </c>
      <c r="M749" s="13">
        <f>IF(AND(L749=0,COUNTIFS($B$2:$B$1534,B749,$G$2:$G$1534,G749,$E$2:$E$1534,"&gt;="&amp;(E749-Assumptions!$B$5),$E$2:$E$1534,"&lt;="&amp;(E749+Assumptions!$B$5))&gt;1),1,0)</f>
        <v>0</v>
      </c>
      <c r="N749" s="13">
        <f>IF(AND(G749&gt;=Assumptions!$B$4*(1-Assumptions!$B$6),G749&lt;Assumptions!$B$4),1,0)</f>
        <v>0</v>
      </c>
      <c r="O749" s="13">
        <f>IF(AND(G749&gt;=Assumptions!$B$7,MOD(G749,Assumptions!$B$7)=0),1,0)</f>
        <v>0</v>
      </c>
      <c r="P749" s="13">
        <f t="shared" si="57"/>
        <v>0</v>
      </c>
      <c r="Q749" s="13">
        <f t="shared" si="58"/>
        <v>0</v>
      </c>
      <c r="R749" s="13">
        <f>L749*Assumptions!$B$11+M749*Assumptions!$B$12+N749*Assumptions!$B$13+O749*Assumptions!$B$14+P749*Assumptions!$B$15+Q749*Assumptions!$B$16</f>
        <v>0</v>
      </c>
      <c r="S749" s="13" t="str">
        <f>IF(R749&gt;=Assumptions!$B$20,"High",IF(R749&gt;=Assumptions!$B$21,"Medium",IF(R749&gt;=1,"Low","Clear")))</f>
        <v>Clear</v>
      </c>
      <c r="T749" s="13" t="str">
        <f t="shared" si="59"/>
        <v/>
      </c>
    </row>
    <row r="750" spans="1:20" x14ac:dyDescent="0.35">
      <c r="A750" s="13" t="s">
        <v>3080</v>
      </c>
      <c r="B750" s="13" t="s">
        <v>293</v>
      </c>
      <c r="C750" s="13" t="s">
        <v>294</v>
      </c>
      <c r="D750" s="13" t="s">
        <v>3081</v>
      </c>
      <c r="E750" s="14">
        <v>45928</v>
      </c>
      <c r="F750" s="14">
        <v>45965</v>
      </c>
      <c r="G750" s="15">
        <v>10366.73</v>
      </c>
      <c r="H750" s="13" t="s">
        <v>3082</v>
      </c>
      <c r="I750" s="13" t="s">
        <v>3083</v>
      </c>
      <c r="J750" s="13" t="s">
        <v>136</v>
      </c>
      <c r="K750" s="13">
        <f t="shared" si="55"/>
        <v>1</v>
      </c>
      <c r="L750" s="13">
        <f t="shared" si="56"/>
        <v>0</v>
      </c>
      <c r="M750" s="13">
        <f>IF(AND(L750=0,COUNTIFS($B$2:$B$1534,B750,$G$2:$G$1534,G750,$E$2:$E$1534,"&gt;="&amp;(E750-Assumptions!$B$5),$E$2:$E$1534,"&lt;="&amp;(E750+Assumptions!$B$5))&gt;1),1,0)</f>
        <v>0</v>
      </c>
      <c r="N750" s="13">
        <f>IF(AND(G750&gt;=Assumptions!$B$4*(1-Assumptions!$B$6),G750&lt;Assumptions!$B$4),1,0)</f>
        <v>0</v>
      </c>
      <c r="O750" s="13">
        <f>IF(AND(G750&gt;=Assumptions!$B$7,MOD(G750,Assumptions!$B$7)=0),1,0)</f>
        <v>0</v>
      </c>
      <c r="P750" s="13">
        <f t="shared" si="57"/>
        <v>0</v>
      </c>
      <c r="Q750" s="13">
        <f t="shared" si="58"/>
        <v>0</v>
      </c>
      <c r="R750" s="13">
        <f>L750*Assumptions!$B$11+M750*Assumptions!$B$12+N750*Assumptions!$B$13+O750*Assumptions!$B$14+P750*Assumptions!$B$15+Q750*Assumptions!$B$16</f>
        <v>0</v>
      </c>
      <c r="S750" s="13" t="str">
        <f>IF(R750&gt;=Assumptions!$B$20,"High",IF(R750&gt;=Assumptions!$B$21,"Medium",IF(R750&gt;=1,"Low","Clear")))</f>
        <v>Clear</v>
      </c>
      <c r="T750" s="13" t="str">
        <f t="shared" si="59"/>
        <v/>
      </c>
    </row>
    <row r="751" spans="1:20" x14ac:dyDescent="0.35">
      <c r="A751" s="13" t="s">
        <v>3084</v>
      </c>
      <c r="B751" s="13" t="s">
        <v>212</v>
      </c>
      <c r="C751" s="13" t="s">
        <v>213</v>
      </c>
      <c r="D751" s="13" t="s">
        <v>3085</v>
      </c>
      <c r="E751" s="14">
        <v>45933</v>
      </c>
      <c r="F751" s="14">
        <v>45965</v>
      </c>
      <c r="G751" s="15">
        <v>705344.58</v>
      </c>
      <c r="H751" s="13" t="s">
        <v>3086</v>
      </c>
      <c r="I751" s="13" t="s">
        <v>3087</v>
      </c>
      <c r="J751" s="13" t="s">
        <v>143</v>
      </c>
      <c r="K751" s="13">
        <f t="shared" si="55"/>
        <v>7</v>
      </c>
      <c r="L751" s="13">
        <f t="shared" si="56"/>
        <v>0</v>
      </c>
      <c r="M751" s="13">
        <f>IF(AND(L751=0,COUNTIFS($B$2:$B$1534,B751,$G$2:$G$1534,G751,$E$2:$E$1534,"&gt;="&amp;(E751-Assumptions!$B$5),$E$2:$E$1534,"&lt;="&amp;(E751+Assumptions!$B$5))&gt;1),1,0)</f>
        <v>0</v>
      </c>
      <c r="N751" s="13">
        <f>IF(AND(G751&gt;=Assumptions!$B$4*(1-Assumptions!$B$6),G751&lt;Assumptions!$B$4),1,0)</f>
        <v>0</v>
      </c>
      <c r="O751" s="13">
        <f>IF(AND(G751&gt;=Assumptions!$B$7,MOD(G751,Assumptions!$B$7)=0),1,0)</f>
        <v>0</v>
      </c>
      <c r="P751" s="13">
        <f t="shared" si="57"/>
        <v>0</v>
      </c>
      <c r="Q751" s="13">
        <f t="shared" si="58"/>
        <v>0</v>
      </c>
      <c r="R751" s="13">
        <f>L751*Assumptions!$B$11+M751*Assumptions!$B$12+N751*Assumptions!$B$13+O751*Assumptions!$B$14+P751*Assumptions!$B$15+Q751*Assumptions!$B$16</f>
        <v>0</v>
      </c>
      <c r="S751" s="13" t="str">
        <f>IF(R751&gt;=Assumptions!$B$20,"High",IF(R751&gt;=Assumptions!$B$21,"Medium",IF(R751&gt;=1,"Low","Clear")))</f>
        <v>Clear</v>
      </c>
      <c r="T751" s="13" t="str">
        <f t="shared" si="59"/>
        <v/>
      </c>
    </row>
    <row r="752" spans="1:20" x14ac:dyDescent="0.35">
      <c r="A752" s="13" t="s">
        <v>3088</v>
      </c>
      <c r="B752" s="13" t="s">
        <v>317</v>
      </c>
      <c r="C752" s="13" t="s">
        <v>318</v>
      </c>
      <c r="D752" s="13" t="s">
        <v>3089</v>
      </c>
      <c r="E752" s="14">
        <v>45930</v>
      </c>
      <c r="F752" s="14">
        <v>45965</v>
      </c>
      <c r="G752" s="15">
        <v>100007.15</v>
      </c>
      <c r="H752" s="13" t="s">
        <v>3090</v>
      </c>
      <c r="I752" s="13" t="s">
        <v>3091</v>
      </c>
      <c r="J752" s="13" t="s">
        <v>91</v>
      </c>
      <c r="K752" s="13">
        <f t="shared" si="55"/>
        <v>1</v>
      </c>
      <c r="L752" s="13">
        <f t="shared" si="56"/>
        <v>0</v>
      </c>
      <c r="M752" s="13">
        <f>IF(AND(L752=0,COUNTIFS($B$2:$B$1534,B752,$G$2:$G$1534,G752,$E$2:$E$1534,"&gt;="&amp;(E752-Assumptions!$B$5),$E$2:$E$1534,"&lt;="&amp;(E752+Assumptions!$B$5))&gt;1),1,0)</f>
        <v>0</v>
      </c>
      <c r="N752" s="13">
        <f>IF(AND(G752&gt;=Assumptions!$B$4*(1-Assumptions!$B$6),G752&lt;Assumptions!$B$4),1,0)</f>
        <v>0</v>
      </c>
      <c r="O752" s="13">
        <f>IF(AND(G752&gt;=Assumptions!$B$7,MOD(G752,Assumptions!$B$7)=0),1,0)</f>
        <v>0</v>
      </c>
      <c r="P752" s="13">
        <f t="shared" si="57"/>
        <v>0</v>
      </c>
      <c r="Q752" s="13">
        <f t="shared" si="58"/>
        <v>0</v>
      </c>
      <c r="R752" s="13">
        <f>L752*Assumptions!$B$11+M752*Assumptions!$B$12+N752*Assumptions!$B$13+O752*Assumptions!$B$14+P752*Assumptions!$B$15+Q752*Assumptions!$B$16</f>
        <v>0</v>
      </c>
      <c r="S752" s="13" t="str">
        <f>IF(R752&gt;=Assumptions!$B$20,"High",IF(R752&gt;=Assumptions!$B$21,"Medium",IF(R752&gt;=1,"Low","Clear")))</f>
        <v>Clear</v>
      </c>
      <c r="T752" s="13" t="str">
        <f t="shared" si="59"/>
        <v/>
      </c>
    </row>
    <row r="753" spans="1:20" x14ac:dyDescent="0.35">
      <c r="A753" s="13" t="s">
        <v>3092</v>
      </c>
      <c r="B753" s="13" t="s">
        <v>357</v>
      </c>
      <c r="C753" s="13" t="s">
        <v>358</v>
      </c>
      <c r="D753" s="13" t="s">
        <v>3093</v>
      </c>
      <c r="E753" s="14">
        <v>45925</v>
      </c>
      <c r="F753" s="14">
        <v>45965</v>
      </c>
      <c r="G753" s="15">
        <v>21426.09</v>
      </c>
      <c r="H753" s="13" t="s">
        <v>3002</v>
      </c>
      <c r="I753" s="13" t="s">
        <v>3003</v>
      </c>
      <c r="J753" s="13" t="s">
        <v>98</v>
      </c>
      <c r="K753" s="13">
        <f t="shared" si="55"/>
        <v>2</v>
      </c>
      <c r="L753" s="13">
        <f t="shared" si="56"/>
        <v>0</v>
      </c>
      <c r="M753" s="13">
        <f>IF(AND(L753=0,COUNTIFS($B$2:$B$1534,B753,$G$2:$G$1534,G753,$E$2:$E$1534,"&gt;="&amp;(E753-Assumptions!$B$5),$E$2:$E$1534,"&lt;="&amp;(E753+Assumptions!$B$5))&gt;1),1,0)</f>
        <v>1</v>
      </c>
      <c r="N753" s="13">
        <f>IF(AND(G753&gt;=Assumptions!$B$4*(1-Assumptions!$B$6),G753&lt;Assumptions!$B$4),1,0)</f>
        <v>0</v>
      </c>
      <c r="O753" s="13">
        <f>IF(AND(G753&gt;=Assumptions!$B$7,MOD(G753,Assumptions!$B$7)=0),1,0)</f>
        <v>0</v>
      </c>
      <c r="P753" s="13">
        <f t="shared" si="57"/>
        <v>0</v>
      </c>
      <c r="Q753" s="13">
        <f t="shared" si="58"/>
        <v>0</v>
      </c>
      <c r="R753" s="13">
        <f>L753*Assumptions!$B$11+M753*Assumptions!$B$12+N753*Assumptions!$B$13+O753*Assumptions!$B$14+P753*Assumptions!$B$15+Q753*Assumptions!$B$16</f>
        <v>3</v>
      </c>
      <c r="S753" s="13" t="str">
        <f>IF(R753&gt;=Assumptions!$B$20,"High",IF(R753&gt;=Assumptions!$B$21,"Medium",IF(R753&gt;=1,"Low","Clear")))</f>
        <v>Medium</v>
      </c>
      <c r="T753" s="13" t="str">
        <f t="shared" si="59"/>
        <v xml:space="preserve">Near-duplicate; </v>
      </c>
    </row>
    <row r="754" spans="1:20" x14ac:dyDescent="0.35">
      <c r="A754" s="13" t="s">
        <v>3094</v>
      </c>
      <c r="B754" s="13" t="s">
        <v>409</v>
      </c>
      <c r="C754" s="13" t="s">
        <v>410</v>
      </c>
      <c r="D754" s="13" t="s">
        <v>3095</v>
      </c>
      <c r="E754" s="14">
        <v>45939</v>
      </c>
      <c r="F754" s="14">
        <v>45966</v>
      </c>
      <c r="G754" s="15">
        <v>1214.96</v>
      </c>
      <c r="H754" s="13" t="s">
        <v>3096</v>
      </c>
      <c r="I754" s="13" t="s">
        <v>3097</v>
      </c>
      <c r="J754" s="13" t="s">
        <v>170</v>
      </c>
      <c r="K754" s="13">
        <f t="shared" si="55"/>
        <v>1</v>
      </c>
      <c r="L754" s="13">
        <f t="shared" si="56"/>
        <v>0</v>
      </c>
      <c r="M754" s="13">
        <f>IF(AND(L754=0,COUNTIFS($B$2:$B$1534,B754,$G$2:$G$1534,G754,$E$2:$E$1534,"&gt;="&amp;(E754-Assumptions!$B$5),$E$2:$E$1534,"&lt;="&amp;(E754+Assumptions!$B$5))&gt;1),1,0)</f>
        <v>0</v>
      </c>
      <c r="N754" s="13">
        <f>IF(AND(G754&gt;=Assumptions!$B$4*(1-Assumptions!$B$6),G754&lt;Assumptions!$B$4),1,0)</f>
        <v>0</v>
      </c>
      <c r="O754" s="13">
        <f>IF(AND(G754&gt;=Assumptions!$B$7,MOD(G754,Assumptions!$B$7)=0),1,0)</f>
        <v>0</v>
      </c>
      <c r="P754" s="13">
        <f t="shared" si="57"/>
        <v>0</v>
      </c>
      <c r="Q754" s="13">
        <f t="shared" si="58"/>
        <v>0</v>
      </c>
      <c r="R754" s="13">
        <f>L754*Assumptions!$B$11+M754*Assumptions!$B$12+N754*Assumptions!$B$13+O754*Assumptions!$B$14+P754*Assumptions!$B$15+Q754*Assumptions!$B$16</f>
        <v>0</v>
      </c>
      <c r="S754" s="13" t="str">
        <f>IF(R754&gt;=Assumptions!$B$20,"High",IF(R754&gt;=Assumptions!$B$21,"Medium",IF(R754&gt;=1,"Low","Clear")))</f>
        <v>Clear</v>
      </c>
      <c r="T754" s="13" t="str">
        <f t="shared" si="59"/>
        <v/>
      </c>
    </row>
    <row r="755" spans="1:20" x14ac:dyDescent="0.35">
      <c r="A755" s="13" t="s">
        <v>3098</v>
      </c>
      <c r="B755" s="13" t="s">
        <v>228</v>
      </c>
      <c r="C755" s="13" t="s">
        <v>229</v>
      </c>
      <c r="D755" s="13" t="s">
        <v>3099</v>
      </c>
      <c r="E755" s="14">
        <v>45929</v>
      </c>
      <c r="F755" s="14">
        <v>45966</v>
      </c>
      <c r="G755" s="15">
        <v>449163.13</v>
      </c>
      <c r="H755" s="13" t="s">
        <v>3100</v>
      </c>
      <c r="I755" s="13" t="s">
        <v>3101</v>
      </c>
      <c r="J755" s="13" t="s">
        <v>136</v>
      </c>
      <c r="K755" s="13">
        <f t="shared" si="55"/>
        <v>4</v>
      </c>
      <c r="L755" s="13">
        <f t="shared" si="56"/>
        <v>0</v>
      </c>
      <c r="M755" s="13">
        <f>IF(AND(L755=0,COUNTIFS($B$2:$B$1534,B755,$G$2:$G$1534,G755,$E$2:$E$1534,"&gt;="&amp;(E755-Assumptions!$B$5),$E$2:$E$1534,"&lt;="&amp;(E755+Assumptions!$B$5))&gt;1),1,0)</f>
        <v>0</v>
      </c>
      <c r="N755" s="13">
        <f>IF(AND(G755&gt;=Assumptions!$B$4*(1-Assumptions!$B$6),G755&lt;Assumptions!$B$4),1,0)</f>
        <v>0</v>
      </c>
      <c r="O755" s="13">
        <f>IF(AND(G755&gt;=Assumptions!$B$7,MOD(G755,Assumptions!$B$7)=0),1,0)</f>
        <v>0</v>
      </c>
      <c r="P755" s="13">
        <f t="shared" si="57"/>
        <v>0</v>
      </c>
      <c r="Q755" s="13">
        <f t="shared" si="58"/>
        <v>0</v>
      </c>
      <c r="R755" s="13">
        <f>L755*Assumptions!$B$11+M755*Assumptions!$B$12+N755*Assumptions!$B$13+O755*Assumptions!$B$14+P755*Assumptions!$B$15+Q755*Assumptions!$B$16</f>
        <v>0</v>
      </c>
      <c r="S755" s="13" t="str">
        <f>IF(R755&gt;=Assumptions!$B$20,"High",IF(R755&gt;=Assumptions!$B$21,"Medium",IF(R755&gt;=1,"Low","Clear")))</f>
        <v>Clear</v>
      </c>
      <c r="T755" s="13" t="str">
        <f t="shared" si="59"/>
        <v/>
      </c>
    </row>
    <row r="756" spans="1:20" x14ac:dyDescent="0.35">
      <c r="A756" s="13" t="s">
        <v>3102</v>
      </c>
      <c r="B756" s="13" t="s">
        <v>252</v>
      </c>
      <c r="C756" s="13" t="s">
        <v>253</v>
      </c>
      <c r="D756" s="13" t="s">
        <v>3103</v>
      </c>
      <c r="E756" s="14">
        <v>45940</v>
      </c>
      <c r="F756" s="14">
        <v>45966</v>
      </c>
      <c r="G756" s="15">
        <v>84356.14</v>
      </c>
      <c r="H756" s="13" t="s">
        <v>3104</v>
      </c>
      <c r="I756" s="13" t="s">
        <v>3105</v>
      </c>
      <c r="J756" s="13" t="s">
        <v>98</v>
      </c>
      <c r="K756" s="13">
        <f t="shared" si="55"/>
        <v>8</v>
      </c>
      <c r="L756" s="13">
        <f t="shared" si="56"/>
        <v>0</v>
      </c>
      <c r="M756" s="13">
        <f>IF(AND(L756=0,COUNTIFS($B$2:$B$1534,B756,$G$2:$G$1534,G756,$E$2:$E$1534,"&gt;="&amp;(E756-Assumptions!$B$5),$E$2:$E$1534,"&lt;="&amp;(E756+Assumptions!$B$5))&gt;1),1,0)</f>
        <v>0</v>
      </c>
      <c r="N756" s="13">
        <f>IF(AND(G756&gt;=Assumptions!$B$4*(1-Assumptions!$B$6),G756&lt;Assumptions!$B$4),1,0)</f>
        <v>0</v>
      </c>
      <c r="O756" s="13">
        <f>IF(AND(G756&gt;=Assumptions!$B$7,MOD(G756,Assumptions!$B$7)=0),1,0)</f>
        <v>0</v>
      </c>
      <c r="P756" s="13">
        <f t="shared" si="57"/>
        <v>0</v>
      </c>
      <c r="Q756" s="13">
        <f t="shared" si="58"/>
        <v>0</v>
      </c>
      <c r="R756" s="13">
        <f>L756*Assumptions!$B$11+M756*Assumptions!$B$12+N756*Assumptions!$B$13+O756*Assumptions!$B$14+P756*Assumptions!$B$15+Q756*Assumptions!$B$16</f>
        <v>0</v>
      </c>
      <c r="S756" s="13" t="str">
        <f>IF(R756&gt;=Assumptions!$B$20,"High",IF(R756&gt;=Assumptions!$B$21,"Medium",IF(R756&gt;=1,"Low","Clear")))</f>
        <v>Clear</v>
      </c>
      <c r="T756" s="13" t="str">
        <f t="shared" si="59"/>
        <v/>
      </c>
    </row>
    <row r="757" spans="1:20" x14ac:dyDescent="0.35">
      <c r="A757" s="13" t="s">
        <v>3106</v>
      </c>
      <c r="B757" s="13" t="s">
        <v>774</v>
      </c>
      <c r="C757" s="13" t="s">
        <v>775</v>
      </c>
      <c r="D757" s="13" t="s">
        <v>3107</v>
      </c>
      <c r="E757" s="14">
        <v>45937</v>
      </c>
      <c r="F757" s="14">
        <v>45966</v>
      </c>
      <c r="G757" s="15">
        <v>2973.31</v>
      </c>
      <c r="H757" s="13" t="s">
        <v>3108</v>
      </c>
      <c r="I757" s="13" t="s">
        <v>3109</v>
      </c>
      <c r="J757" s="13" t="s">
        <v>91</v>
      </c>
      <c r="K757" s="13">
        <f t="shared" si="55"/>
        <v>2</v>
      </c>
      <c r="L757" s="13">
        <f t="shared" si="56"/>
        <v>0</v>
      </c>
      <c r="M757" s="13">
        <f>IF(AND(L757=0,COUNTIFS($B$2:$B$1534,B757,$G$2:$G$1534,G757,$E$2:$E$1534,"&gt;="&amp;(E757-Assumptions!$B$5),$E$2:$E$1534,"&lt;="&amp;(E757+Assumptions!$B$5))&gt;1),1,0)</f>
        <v>0</v>
      </c>
      <c r="N757" s="13">
        <f>IF(AND(G757&gt;=Assumptions!$B$4*(1-Assumptions!$B$6),G757&lt;Assumptions!$B$4),1,0)</f>
        <v>0</v>
      </c>
      <c r="O757" s="13">
        <f>IF(AND(G757&gt;=Assumptions!$B$7,MOD(G757,Assumptions!$B$7)=0),1,0)</f>
        <v>0</v>
      </c>
      <c r="P757" s="13">
        <f t="shared" si="57"/>
        <v>0</v>
      </c>
      <c r="Q757" s="13">
        <f t="shared" si="58"/>
        <v>0</v>
      </c>
      <c r="R757" s="13">
        <f>L757*Assumptions!$B$11+M757*Assumptions!$B$12+N757*Assumptions!$B$13+O757*Assumptions!$B$14+P757*Assumptions!$B$15+Q757*Assumptions!$B$16</f>
        <v>0</v>
      </c>
      <c r="S757" s="13" t="str">
        <f>IF(R757&gt;=Assumptions!$B$20,"High",IF(R757&gt;=Assumptions!$B$21,"Medium",IF(R757&gt;=1,"Low","Clear")))</f>
        <v>Clear</v>
      </c>
      <c r="T757" s="13" t="str">
        <f t="shared" si="59"/>
        <v/>
      </c>
    </row>
    <row r="758" spans="1:20" x14ac:dyDescent="0.35">
      <c r="A758" s="13" t="s">
        <v>3110</v>
      </c>
      <c r="B758" s="13" t="s">
        <v>234</v>
      </c>
      <c r="C758" s="13" t="s">
        <v>235</v>
      </c>
      <c r="D758" s="13" t="s">
        <v>3111</v>
      </c>
      <c r="E758" s="14">
        <v>45946</v>
      </c>
      <c r="F758" s="14">
        <v>45966</v>
      </c>
      <c r="G758" s="15">
        <v>679845.29</v>
      </c>
      <c r="H758" s="13" t="s">
        <v>3112</v>
      </c>
      <c r="I758" s="13" t="s">
        <v>3113</v>
      </c>
      <c r="J758" s="13" t="s">
        <v>143</v>
      </c>
      <c r="K758" s="13">
        <f t="shared" si="55"/>
        <v>6</v>
      </c>
      <c r="L758" s="13">
        <f t="shared" si="56"/>
        <v>0</v>
      </c>
      <c r="M758" s="13">
        <f>IF(AND(L758=0,COUNTIFS($B$2:$B$1534,B758,$G$2:$G$1534,G758,$E$2:$E$1534,"&gt;="&amp;(E758-Assumptions!$B$5),$E$2:$E$1534,"&lt;="&amp;(E758+Assumptions!$B$5))&gt;1),1,0)</f>
        <v>0</v>
      </c>
      <c r="N758" s="13">
        <f>IF(AND(G758&gt;=Assumptions!$B$4*(1-Assumptions!$B$6),G758&lt;Assumptions!$B$4),1,0)</f>
        <v>0</v>
      </c>
      <c r="O758" s="13">
        <f>IF(AND(G758&gt;=Assumptions!$B$7,MOD(G758,Assumptions!$B$7)=0),1,0)</f>
        <v>0</v>
      </c>
      <c r="P758" s="13">
        <f t="shared" si="57"/>
        <v>0</v>
      </c>
      <c r="Q758" s="13">
        <f t="shared" si="58"/>
        <v>0</v>
      </c>
      <c r="R758" s="13">
        <f>L758*Assumptions!$B$11+M758*Assumptions!$B$12+N758*Assumptions!$B$13+O758*Assumptions!$B$14+P758*Assumptions!$B$15+Q758*Assumptions!$B$16</f>
        <v>0</v>
      </c>
      <c r="S758" s="13" t="str">
        <f>IF(R758&gt;=Assumptions!$B$20,"High",IF(R758&gt;=Assumptions!$B$21,"Medium",IF(R758&gt;=1,"Low","Clear")))</f>
        <v>Clear</v>
      </c>
      <c r="T758" s="13" t="str">
        <f t="shared" si="59"/>
        <v/>
      </c>
    </row>
    <row r="759" spans="1:20" x14ac:dyDescent="0.35">
      <c r="A759" s="13" t="s">
        <v>3114</v>
      </c>
      <c r="B759" s="13" t="s">
        <v>206</v>
      </c>
      <c r="C759" s="13" t="s">
        <v>207</v>
      </c>
      <c r="D759" s="13" t="s">
        <v>3115</v>
      </c>
      <c r="E759" s="14">
        <v>45943</v>
      </c>
      <c r="F759" s="14">
        <v>45966</v>
      </c>
      <c r="G759" s="15">
        <v>14375.66</v>
      </c>
      <c r="H759" s="13" t="s">
        <v>3116</v>
      </c>
      <c r="I759" s="13" t="s">
        <v>3117</v>
      </c>
      <c r="J759" s="13" t="s">
        <v>111</v>
      </c>
      <c r="K759" s="13">
        <f t="shared" si="55"/>
        <v>1</v>
      </c>
      <c r="L759" s="13">
        <f t="shared" si="56"/>
        <v>0</v>
      </c>
      <c r="M759" s="13">
        <f>IF(AND(L759=0,COUNTIFS($B$2:$B$1534,B759,$G$2:$G$1534,G759,$E$2:$E$1534,"&gt;="&amp;(E759-Assumptions!$B$5),$E$2:$E$1534,"&lt;="&amp;(E759+Assumptions!$B$5))&gt;1),1,0)</f>
        <v>0</v>
      </c>
      <c r="N759" s="13">
        <f>IF(AND(G759&gt;=Assumptions!$B$4*(1-Assumptions!$B$6),G759&lt;Assumptions!$B$4),1,0)</f>
        <v>0</v>
      </c>
      <c r="O759" s="13">
        <f>IF(AND(G759&gt;=Assumptions!$B$7,MOD(G759,Assumptions!$B$7)=0),1,0)</f>
        <v>0</v>
      </c>
      <c r="P759" s="13">
        <f t="shared" si="57"/>
        <v>0</v>
      </c>
      <c r="Q759" s="13">
        <f t="shared" si="58"/>
        <v>0</v>
      </c>
      <c r="R759" s="13">
        <f>L759*Assumptions!$B$11+M759*Assumptions!$B$12+N759*Assumptions!$B$13+O759*Assumptions!$B$14+P759*Assumptions!$B$15+Q759*Assumptions!$B$16</f>
        <v>0</v>
      </c>
      <c r="S759" s="13" t="str">
        <f>IF(R759&gt;=Assumptions!$B$20,"High",IF(R759&gt;=Assumptions!$B$21,"Medium",IF(R759&gt;=1,"Low","Clear")))</f>
        <v>Clear</v>
      </c>
      <c r="T759" s="13" t="str">
        <f t="shared" si="59"/>
        <v/>
      </c>
    </row>
    <row r="760" spans="1:20" x14ac:dyDescent="0.35">
      <c r="A760" s="13" t="s">
        <v>3118</v>
      </c>
      <c r="B760" s="13" t="s">
        <v>212</v>
      </c>
      <c r="C760" s="13" t="s">
        <v>213</v>
      </c>
      <c r="D760" s="13" t="s">
        <v>3119</v>
      </c>
      <c r="E760" s="14">
        <v>45934</v>
      </c>
      <c r="F760" s="14">
        <v>45966</v>
      </c>
      <c r="G760" s="15">
        <v>6900.63</v>
      </c>
      <c r="H760" s="13" t="s">
        <v>3120</v>
      </c>
      <c r="I760" s="13" t="s">
        <v>3121</v>
      </c>
      <c r="J760" s="13" t="s">
        <v>143</v>
      </c>
      <c r="K760" s="13">
        <f t="shared" si="55"/>
        <v>6</v>
      </c>
      <c r="L760" s="13">
        <f t="shared" si="56"/>
        <v>0</v>
      </c>
      <c r="M760" s="13">
        <f>IF(AND(L760=0,COUNTIFS($B$2:$B$1534,B760,$G$2:$G$1534,G760,$E$2:$E$1534,"&gt;="&amp;(E760-Assumptions!$B$5),$E$2:$E$1534,"&lt;="&amp;(E760+Assumptions!$B$5))&gt;1),1,0)</f>
        <v>0</v>
      </c>
      <c r="N760" s="13">
        <f>IF(AND(G760&gt;=Assumptions!$B$4*(1-Assumptions!$B$6),G760&lt;Assumptions!$B$4),1,0)</f>
        <v>0</v>
      </c>
      <c r="O760" s="13">
        <f>IF(AND(G760&gt;=Assumptions!$B$7,MOD(G760,Assumptions!$B$7)=0),1,0)</f>
        <v>0</v>
      </c>
      <c r="P760" s="13">
        <f t="shared" si="57"/>
        <v>0</v>
      </c>
      <c r="Q760" s="13">
        <f t="shared" si="58"/>
        <v>0</v>
      </c>
      <c r="R760" s="13">
        <f>L760*Assumptions!$B$11+M760*Assumptions!$B$12+N760*Assumptions!$B$13+O760*Assumptions!$B$14+P760*Assumptions!$B$15+Q760*Assumptions!$B$16</f>
        <v>0</v>
      </c>
      <c r="S760" s="13" t="str">
        <f>IF(R760&gt;=Assumptions!$B$20,"High",IF(R760&gt;=Assumptions!$B$21,"Medium",IF(R760&gt;=1,"Low","Clear")))</f>
        <v>Clear</v>
      </c>
      <c r="T760" s="13" t="str">
        <f t="shared" si="59"/>
        <v/>
      </c>
    </row>
    <row r="761" spans="1:20" x14ac:dyDescent="0.35">
      <c r="A761" s="13" t="s">
        <v>3122</v>
      </c>
      <c r="B761" s="13" t="s">
        <v>317</v>
      </c>
      <c r="C761" s="13" t="s">
        <v>318</v>
      </c>
      <c r="D761" s="13" t="s">
        <v>3123</v>
      </c>
      <c r="E761" s="14">
        <v>45941</v>
      </c>
      <c r="F761" s="14">
        <v>45966</v>
      </c>
      <c r="G761" s="15">
        <v>25830.95</v>
      </c>
      <c r="H761" s="13" t="s">
        <v>3124</v>
      </c>
      <c r="I761" s="13" t="s">
        <v>3125</v>
      </c>
      <c r="J761" s="13" t="s">
        <v>91</v>
      </c>
      <c r="K761" s="13">
        <f t="shared" si="55"/>
        <v>2</v>
      </c>
      <c r="L761" s="13">
        <f t="shared" si="56"/>
        <v>0</v>
      </c>
      <c r="M761" s="13">
        <f>IF(AND(L761=0,COUNTIFS($B$2:$B$1534,B761,$G$2:$G$1534,G761,$E$2:$E$1534,"&gt;="&amp;(E761-Assumptions!$B$5),$E$2:$E$1534,"&lt;="&amp;(E761+Assumptions!$B$5))&gt;1),1,0)</f>
        <v>0</v>
      </c>
      <c r="N761" s="13">
        <f>IF(AND(G761&gt;=Assumptions!$B$4*(1-Assumptions!$B$6),G761&lt;Assumptions!$B$4),1,0)</f>
        <v>0</v>
      </c>
      <c r="O761" s="13">
        <f>IF(AND(G761&gt;=Assumptions!$B$7,MOD(G761,Assumptions!$B$7)=0),1,0)</f>
        <v>0</v>
      </c>
      <c r="P761" s="13">
        <f t="shared" si="57"/>
        <v>0</v>
      </c>
      <c r="Q761" s="13">
        <f t="shared" si="58"/>
        <v>0</v>
      </c>
      <c r="R761" s="13">
        <f>L761*Assumptions!$B$11+M761*Assumptions!$B$12+N761*Assumptions!$B$13+O761*Assumptions!$B$14+P761*Assumptions!$B$15+Q761*Assumptions!$B$16</f>
        <v>0</v>
      </c>
      <c r="S761" s="13" t="str">
        <f>IF(R761&gt;=Assumptions!$B$20,"High",IF(R761&gt;=Assumptions!$B$21,"Medium",IF(R761&gt;=1,"Low","Clear")))</f>
        <v>Clear</v>
      </c>
      <c r="T761" s="13" t="str">
        <f t="shared" si="59"/>
        <v/>
      </c>
    </row>
    <row r="762" spans="1:20" x14ac:dyDescent="0.35">
      <c r="A762" s="13" t="s">
        <v>3126</v>
      </c>
      <c r="B762" s="13" t="s">
        <v>476</v>
      </c>
      <c r="C762" s="13" t="s">
        <v>477</v>
      </c>
      <c r="D762" s="13" t="s">
        <v>3127</v>
      </c>
      <c r="E762" s="14">
        <v>45934</v>
      </c>
      <c r="F762" s="14">
        <v>45966</v>
      </c>
      <c r="G762" s="15">
        <v>576341.16</v>
      </c>
      <c r="H762" s="13" t="s">
        <v>3128</v>
      </c>
      <c r="I762" s="13" t="s">
        <v>3129</v>
      </c>
      <c r="J762" s="13" t="s">
        <v>91</v>
      </c>
      <c r="K762" s="13">
        <f t="shared" si="55"/>
        <v>5</v>
      </c>
      <c r="L762" s="13">
        <f t="shared" si="56"/>
        <v>0</v>
      </c>
      <c r="M762" s="13">
        <f>IF(AND(L762=0,COUNTIFS($B$2:$B$1534,B762,$G$2:$G$1534,G762,$E$2:$E$1534,"&gt;="&amp;(E762-Assumptions!$B$5),$E$2:$E$1534,"&lt;="&amp;(E762+Assumptions!$B$5))&gt;1),1,0)</f>
        <v>0</v>
      </c>
      <c r="N762" s="13">
        <f>IF(AND(G762&gt;=Assumptions!$B$4*(1-Assumptions!$B$6),G762&lt;Assumptions!$B$4),1,0)</f>
        <v>0</v>
      </c>
      <c r="O762" s="13">
        <f>IF(AND(G762&gt;=Assumptions!$B$7,MOD(G762,Assumptions!$B$7)=0),1,0)</f>
        <v>0</v>
      </c>
      <c r="P762" s="13">
        <f t="shared" si="57"/>
        <v>0</v>
      </c>
      <c r="Q762" s="13">
        <f t="shared" si="58"/>
        <v>0</v>
      </c>
      <c r="R762" s="13">
        <f>L762*Assumptions!$B$11+M762*Assumptions!$B$12+N762*Assumptions!$B$13+O762*Assumptions!$B$14+P762*Assumptions!$B$15+Q762*Assumptions!$B$16</f>
        <v>0</v>
      </c>
      <c r="S762" s="13" t="str">
        <f>IF(R762&gt;=Assumptions!$B$20,"High",IF(R762&gt;=Assumptions!$B$21,"Medium",IF(R762&gt;=1,"Low","Clear")))</f>
        <v>Clear</v>
      </c>
      <c r="T762" s="13" t="str">
        <f t="shared" si="59"/>
        <v/>
      </c>
    </row>
    <row r="763" spans="1:20" x14ac:dyDescent="0.35">
      <c r="A763" s="13" t="s">
        <v>3130</v>
      </c>
      <c r="B763" s="13" t="s">
        <v>391</v>
      </c>
      <c r="C763" s="13" t="s">
        <v>392</v>
      </c>
      <c r="D763" s="13" t="s">
        <v>3131</v>
      </c>
      <c r="E763" s="14">
        <v>45931</v>
      </c>
      <c r="F763" s="14">
        <v>45967</v>
      </c>
      <c r="G763" s="15">
        <v>2081.64</v>
      </c>
      <c r="H763" s="13" t="s">
        <v>3132</v>
      </c>
      <c r="I763" s="13" t="s">
        <v>3133</v>
      </c>
      <c r="J763" s="13" t="s">
        <v>91</v>
      </c>
      <c r="K763" s="13">
        <f t="shared" si="55"/>
        <v>2</v>
      </c>
      <c r="L763" s="13">
        <f t="shared" si="56"/>
        <v>0</v>
      </c>
      <c r="M763" s="13">
        <f>IF(AND(L763=0,COUNTIFS($B$2:$B$1534,B763,$G$2:$G$1534,G763,$E$2:$E$1534,"&gt;="&amp;(E763-Assumptions!$B$5),$E$2:$E$1534,"&lt;="&amp;(E763+Assumptions!$B$5))&gt;1),1,0)</f>
        <v>0</v>
      </c>
      <c r="N763" s="13">
        <f>IF(AND(G763&gt;=Assumptions!$B$4*(1-Assumptions!$B$6),G763&lt;Assumptions!$B$4),1,0)</f>
        <v>0</v>
      </c>
      <c r="O763" s="13">
        <f>IF(AND(G763&gt;=Assumptions!$B$7,MOD(G763,Assumptions!$B$7)=0),1,0)</f>
        <v>0</v>
      </c>
      <c r="P763" s="13">
        <f t="shared" si="57"/>
        <v>0</v>
      </c>
      <c r="Q763" s="13">
        <f t="shared" si="58"/>
        <v>0</v>
      </c>
      <c r="R763" s="13">
        <f>L763*Assumptions!$B$11+M763*Assumptions!$B$12+N763*Assumptions!$B$13+O763*Assumptions!$B$14+P763*Assumptions!$B$15+Q763*Assumptions!$B$16</f>
        <v>0</v>
      </c>
      <c r="S763" s="13" t="str">
        <f>IF(R763&gt;=Assumptions!$B$20,"High",IF(R763&gt;=Assumptions!$B$21,"Medium",IF(R763&gt;=1,"Low","Clear")))</f>
        <v>Clear</v>
      </c>
      <c r="T763" s="13" t="str">
        <f t="shared" si="59"/>
        <v/>
      </c>
    </row>
    <row r="764" spans="1:20" x14ac:dyDescent="0.35">
      <c r="A764" s="13" t="s">
        <v>3134</v>
      </c>
      <c r="B764" s="13" t="s">
        <v>252</v>
      </c>
      <c r="C764" s="13" t="s">
        <v>253</v>
      </c>
      <c r="D764" s="13" t="s">
        <v>3135</v>
      </c>
      <c r="E764" s="14">
        <v>45935</v>
      </c>
      <c r="F764" s="14">
        <v>45967</v>
      </c>
      <c r="G764" s="15">
        <v>4676.49</v>
      </c>
      <c r="H764" s="13" t="s">
        <v>3136</v>
      </c>
      <c r="I764" s="13" t="s">
        <v>3137</v>
      </c>
      <c r="J764" s="13" t="s">
        <v>143</v>
      </c>
      <c r="K764" s="13">
        <f t="shared" si="55"/>
        <v>4</v>
      </c>
      <c r="L764" s="13">
        <f t="shared" si="56"/>
        <v>0</v>
      </c>
      <c r="M764" s="13">
        <f>IF(AND(L764=0,COUNTIFS($B$2:$B$1534,B764,$G$2:$G$1534,G764,$E$2:$E$1534,"&gt;="&amp;(E764-Assumptions!$B$5),$E$2:$E$1534,"&lt;="&amp;(E764+Assumptions!$B$5))&gt;1),1,0)</f>
        <v>0</v>
      </c>
      <c r="N764" s="13">
        <f>IF(AND(G764&gt;=Assumptions!$B$4*(1-Assumptions!$B$6),G764&lt;Assumptions!$B$4),1,0)</f>
        <v>0</v>
      </c>
      <c r="O764" s="13">
        <f>IF(AND(G764&gt;=Assumptions!$B$7,MOD(G764,Assumptions!$B$7)=0),1,0)</f>
        <v>0</v>
      </c>
      <c r="P764" s="13">
        <f t="shared" si="57"/>
        <v>0</v>
      </c>
      <c r="Q764" s="13">
        <f t="shared" si="58"/>
        <v>0</v>
      </c>
      <c r="R764" s="13">
        <f>L764*Assumptions!$B$11+M764*Assumptions!$B$12+N764*Assumptions!$B$13+O764*Assumptions!$B$14+P764*Assumptions!$B$15+Q764*Assumptions!$B$16</f>
        <v>0</v>
      </c>
      <c r="S764" s="13" t="str">
        <f>IF(R764&gt;=Assumptions!$B$20,"High",IF(R764&gt;=Assumptions!$B$21,"Medium",IF(R764&gt;=1,"Low","Clear")))</f>
        <v>Clear</v>
      </c>
      <c r="T764" s="13" t="str">
        <f t="shared" si="59"/>
        <v/>
      </c>
    </row>
    <row r="765" spans="1:20" x14ac:dyDescent="0.35">
      <c r="A765" s="13" t="s">
        <v>3138</v>
      </c>
      <c r="B765" s="13" t="s">
        <v>93</v>
      </c>
      <c r="C765" s="13" t="s">
        <v>94</v>
      </c>
      <c r="D765" s="13" t="s">
        <v>3139</v>
      </c>
      <c r="E765" s="14">
        <v>45934</v>
      </c>
      <c r="F765" s="14">
        <v>45967</v>
      </c>
      <c r="G765" s="15">
        <v>1621.52</v>
      </c>
      <c r="H765" s="13" t="s">
        <v>3140</v>
      </c>
      <c r="I765" s="13" t="s">
        <v>3141</v>
      </c>
      <c r="J765" s="13" t="s">
        <v>91</v>
      </c>
      <c r="K765" s="13">
        <f t="shared" si="55"/>
        <v>1</v>
      </c>
      <c r="L765" s="13">
        <f t="shared" si="56"/>
        <v>0</v>
      </c>
      <c r="M765" s="13">
        <f>IF(AND(L765=0,COUNTIFS($B$2:$B$1534,B765,$G$2:$G$1534,G765,$E$2:$E$1534,"&gt;="&amp;(E765-Assumptions!$B$5),$E$2:$E$1534,"&lt;="&amp;(E765+Assumptions!$B$5))&gt;1),1,0)</f>
        <v>0</v>
      </c>
      <c r="N765" s="13">
        <f>IF(AND(G765&gt;=Assumptions!$B$4*(1-Assumptions!$B$6),G765&lt;Assumptions!$B$4),1,0)</f>
        <v>0</v>
      </c>
      <c r="O765" s="13">
        <f>IF(AND(G765&gt;=Assumptions!$B$7,MOD(G765,Assumptions!$B$7)=0),1,0)</f>
        <v>0</v>
      </c>
      <c r="P765" s="13">
        <f t="shared" si="57"/>
        <v>0</v>
      </c>
      <c r="Q765" s="13">
        <f t="shared" si="58"/>
        <v>0</v>
      </c>
      <c r="R765" s="13">
        <f>L765*Assumptions!$B$11+M765*Assumptions!$B$12+N765*Assumptions!$B$13+O765*Assumptions!$B$14+P765*Assumptions!$B$15+Q765*Assumptions!$B$16</f>
        <v>0</v>
      </c>
      <c r="S765" s="13" t="str">
        <f>IF(R765&gt;=Assumptions!$B$20,"High",IF(R765&gt;=Assumptions!$B$21,"Medium",IF(R765&gt;=1,"Low","Clear")))</f>
        <v>Clear</v>
      </c>
      <c r="T765" s="13" t="str">
        <f t="shared" si="59"/>
        <v/>
      </c>
    </row>
    <row r="766" spans="1:20" x14ac:dyDescent="0.35">
      <c r="A766" s="13" t="s">
        <v>3142</v>
      </c>
      <c r="B766" s="13" t="s">
        <v>680</v>
      </c>
      <c r="C766" s="13" t="s">
        <v>681</v>
      </c>
      <c r="D766" s="13" t="s">
        <v>3143</v>
      </c>
      <c r="E766" s="14">
        <v>45937</v>
      </c>
      <c r="F766" s="14">
        <v>45967</v>
      </c>
      <c r="G766" s="15">
        <v>17449.8</v>
      </c>
      <c r="H766" s="13" t="s">
        <v>3144</v>
      </c>
      <c r="I766" s="13" t="s">
        <v>3145</v>
      </c>
      <c r="J766" s="13" t="s">
        <v>136</v>
      </c>
      <c r="K766" s="13">
        <f t="shared" si="55"/>
        <v>1</v>
      </c>
      <c r="L766" s="13">
        <f t="shared" si="56"/>
        <v>0</v>
      </c>
      <c r="M766" s="13">
        <f>IF(AND(L766=0,COUNTIFS($B$2:$B$1534,B766,$G$2:$G$1534,G766,$E$2:$E$1534,"&gt;="&amp;(E766-Assumptions!$B$5),$E$2:$E$1534,"&lt;="&amp;(E766+Assumptions!$B$5))&gt;1),1,0)</f>
        <v>0</v>
      </c>
      <c r="N766" s="13">
        <f>IF(AND(G766&gt;=Assumptions!$B$4*(1-Assumptions!$B$6),G766&lt;Assumptions!$B$4),1,0)</f>
        <v>0</v>
      </c>
      <c r="O766" s="13">
        <f>IF(AND(G766&gt;=Assumptions!$B$7,MOD(G766,Assumptions!$B$7)=0),1,0)</f>
        <v>0</v>
      </c>
      <c r="P766" s="13">
        <f t="shared" si="57"/>
        <v>0</v>
      </c>
      <c r="Q766" s="13">
        <f t="shared" si="58"/>
        <v>0</v>
      </c>
      <c r="R766" s="13">
        <f>L766*Assumptions!$B$11+M766*Assumptions!$B$12+N766*Assumptions!$B$13+O766*Assumptions!$B$14+P766*Assumptions!$B$15+Q766*Assumptions!$B$16</f>
        <v>0</v>
      </c>
      <c r="S766" s="13" t="str">
        <f>IF(R766&gt;=Assumptions!$B$20,"High",IF(R766&gt;=Assumptions!$B$21,"Medium",IF(R766&gt;=1,"Low","Clear")))</f>
        <v>Clear</v>
      </c>
      <c r="T766" s="13" t="str">
        <f t="shared" si="59"/>
        <v/>
      </c>
    </row>
    <row r="767" spans="1:20" x14ac:dyDescent="0.35">
      <c r="A767" s="13" t="s">
        <v>3146</v>
      </c>
      <c r="B767" s="13" t="s">
        <v>234</v>
      </c>
      <c r="C767" s="13" t="s">
        <v>235</v>
      </c>
      <c r="D767" s="13" t="s">
        <v>3147</v>
      </c>
      <c r="E767" s="14">
        <v>45935</v>
      </c>
      <c r="F767" s="14">
        <v>45967</v>
      </c>
      <c r="G767" s="15">
        <v>12525.99</v>
      </c>
      <c r="H767" s="13" t="s">
        <v>1839</v>
      </c>
      <c r="I767" s="13" t="s">
        <v>1840</v>
      </c>
      <c r="J767" s="13" t="s">
        <v>91</v>
      </c>
      <c r="K767" s="13">
        <f t="shared" si="55"/>
        <v>1</v>
      </c>
      <c r="L767" s="13">
        <f t="shared" si="56"/>
        <v>0</v>
      </c>
      <c r="M767" s="13">
        <f>IF(AND(L767=0,COUNTIFS($B$2:$B$1534,B767,$G$2:$G$1534,G767,$E$2:$E$1534,"&gt;="&amp;(E767-Assumptions!$B$5),$E$2:$E$1534,"&lt;="&amp;(E767+Assumptions!$B$5))&gt;1),1,0)</f>
        <v>0</v>
      </c>
      <c r="N767" s="13">
        <f>IF(AND(G767&gt;=Assumptions!$B$4*(1-Assumptions!$B$6),G767&lt;Assumptions!$B$4),1,0)</f>
        <v>0</v>
      </c>
      <c r="O767" s="13">
        <f>IF(AND(G767&gt;=Assumptions!$B$7,MOD(G767,Assumptions!$B$7)=0),1,0)</f>
        <v>0</v>
      </c>
      <c r="P767" s="13">
        <f t="shared" si="57"/>
        <v>0</v>
      </c>
      <c r="Q767" s="13">
        <f t="shared" si="58"/>
        <v>0</v>
      </c>
      <c r="R767" s="13">
        <f>L767*Assumptions!$B$11+M767*Assumptions!$B$12+N767*Assumptions!$B$13+O767*Assumptions!$B$14+P767*Assumptions!$B$15+Q767*Assumptions!$B$16</f>
        <v>0</v>
      </c>
      <c r="S767" s="13" t="str">
        <f>IF(R767&gt;=Assumptions!$B$20,"High",IF(R767&gt;=Assumptions!$B$21,"Medium",IF(R767&gt;=1,"Low","Clear")))</f>
        <v>Clear</v>
      </c>
      <c r="T767" s="13" t="str">
        <f t="shared" si="59"/>
        <v/>
      </c>
    </row>
    <row r="768" spans="1:20" x14ac:dyDescent="0.35">
      <c r="A768" s="13" t="s">
        <v>3148</v>
      </c>
      <c r="B768" s="13" t="s">
        <v>218</v>
      </c>
      <c r="C768" s="13" t="s">
        <v>219</v>
      </c>
      <c r="D768" s="13" t="s">
        <v>3149</v>
      </c>
      <c r="E768" s="14">
        <v>45939</v>
      </c>
      <c r="F768" s="14">
        <v>45967</v>
      </c>
      <c r="G768" s="15">
        <v>174562.03</v>
      </c>
      <c r="H768" s="13" t="s">
        <v>3150</v>
      </c>
      <c r="I768" s="13" t="s">
        <v>3151</v>
      </c>
      <c r="J768" s="13" t="s">
        <v>170</v>
      </c>
      <c r="K768" s="13">
        <f t="shared" si="55"/>
        <v>1</v>
      </c>
      <c r="L768" s="13">
        <f t="shared" si="56"/>
        <v>0</v>
      </c>
      <c r="M768" s="13">
        <f>IF(AND(L768=0,COUNTIFS($B$2:$B$1534,B768,$G$2:$G$1534,G768,$E$2:$E$1534,"&gt;="&amp;(E768-Assumptions!$B$5),$E$2:$E$1534,"&lt;="&amp;(E768+Assumptions!$B$5))&gt;1),1,0)</f>
        <v>0</v>
      </c>
      <c r="N768" s="13">
        <f>IF(AND(G768&gt;=Assumptions!$B$4*(1-Assumptions!$B$6),G768&lt;Assumptions!$B$4),1,0)</f>
        <v>0</v>
      </c>
      <c r="O768" s="13">
        <f>IF(AND(G768&gt;=Assumptions!$B$7,MOD(G768,Assumptions!$B$7)=0),1,0)</f>
        <v>0</v>
      </c>
      <c r="P768" s="13">
        <f t="shared" si="57"/>
        <v>0</v>
      </c>
      <c r="Q768" s="13">
        <f t="shared" si="58"/>
        <v>0</v>
      </c>
      <c r="R768" s="13">
        <f>L768*Assumptions!$B$11+M768*Assumptions!$B$12+N768*Assumptions!$B$13+O768*Assumptions!$B$14+P768*Assumptions!$B$15+Q768*Assumptions!$B$16</f>
        <v>0</v>
      </c>
      <c r="S768" s="13" t="str">
        <f>IF(R768&gt;=Assumptions!$B$20,"High",IF(R768&gt;=Assumptions!$B$21,"Medium",IF(R768&gt;=1,"Low","Clear")))</f>
        <v>Clear</v>
      </c>
      <c r="T768" s="13" t="str">
        <f t="shared" si="59"/>
        <v/>
      </c>
    </row>
    <row r="769" spans="1:20" x14ac:dyDescent="0.35">
      <c r="A769" s="13" t="s">
        <v>3152</v>
      </c>
      <c r="B769" s="13" t="s">
        <v>339</v>
      </c>
      <c r="C769" s="13" t="s">
        <v>340</v>
      </c>
      <c r="D769" s="13" t="s">
        <v>3153</v>
      </c>
      <c r="E769" s="14">
        <v>45935</v>
      </c>
      <c r="F769" s="14">
        <v>45967</v>
      </c>
      <c r="G769" s="15">
        <v>8773.17</v>
      </c>
      <c r="H769" s="13" t="s">
        <v>3154</v>
      </c>
      <c r="I769" s="13" t="s">
        <v>3155</v>
      </c>
      <c r="J769" s="13" t="s">
        <v>111</v>
      </c>
      <c r="K769" s="13">
        <f t="shared" si="55"/>
        <v>8</v>
      </c>
      <c r="L769" s="13">
        <f t="shared" si="56"/>
        <v>0</v>
      </c>
      <c r="M769" s="13">
        <f>IF(AND(L769=0,COUNTIFS($B$2:$B$1534,B769,$G$2:$G$1534,G769,$E$2:$E$1534,"&gt;="&amp;(E769-Assumptions!$B$5),$E$2:$E$1534,"&lt;="&amp;(E769+Assumptions!$B$5))&gt;1),1,0)</f>
        <v>0</v>
      </c>
      <c r="N769" s="13">
        <f>IF(AND(G769&gt;=Assumptions!$B$4*(1-Assumptions!$B$6),G769&lt;Assumptions!$B$4),1,0)</f>
        <v>0</v>
      </c>
      <c r="O769" s="13">
        <f>IF(AND(G769&gt;=Assumptions!$B$7,MOD(G769,Assumptions!$B$7)=0),1,0)</f>
        <v>0</v>
      </c>
      <c r="P769" s="13">
        <f t="shared" si="57"/>
        <v>0</v>
      </c>
      <c r="Q769" s="13">
        <f t="shared" si="58"/>
        <v>0</v>
      </c>
      <c r="R769" s="13">
        <f>L769*Assumptions!$B$11+M769*Assumptions!$B$12+N769*Assumptions!$B$13+O769*Assumptions!$B$14+P769*Assumptions!$B$15+Q769*Assumptions!$B$16</f>
        <v>0</v>
      </c>
      <c r="S769" s="13" t="str">
        <f>IF(R769&gt;=Assumptions!$B$20,"High",IF(R769&gt;=Assumptions!$B$21,"Medium",IF(R769&gt;=1,"Low","Clear")))</f>
        <v>Clear</v>
      </c>
      <c r="T769" s="13" t="str">
        <f t="shared" si="59"/>
        <v/>
      </c>
    </row>
    <row r="770" spans="1:20" x14ac:dyDescent="0.35">
      <c r="A770" s="13" t="s">
        <v>3156</v>
      </c>
      <c r="B770" s="13" t="s">
        <v>279</v>
      </c>
      <c r="C770" s="13" t="s">
        <v>280</v>
      </c>
      <c r="D770" s="13" t="s">
        <v>3157</v>
      </c>
      <c r="E770" s="14">
        <v>45944</v>
      </c>
      <c r="F770" s="14">
        <v>45968</v>
      </c>
      <c r="G770" s="15">
        <v>131600.47</v>
      </c>
      <c r="H770" s="13" t="s">
        <v>3158</v>
      </c>
      <c r="I770" s="13" t="s">
        <v>3159</v>
      </c>
      <c r="J770" s="13" t="s">
        <v>98</v>
      </c>
      <c r="K770" s="13">
        <f t="shared" ref="K770:K833" si="60">VALUE(LEFT(TEXT(G770,"0"),1))</f>
        <v>1</v>
      </c>
      <c r="L770" s="13">
        <f t="shared" ref="L770:L833" si="61">IF(COUNTIFS($B$2:$B$1534,B770,$D$2:$D$1534,D770)&gt;1,1,0)</f>
        <v>0</v>
      </c>
      <c r="M770" s="13">
        <f>IF(AND(L770=0,COUNTIFS($B$2:$B$1534,B770,$G$2:$G$1534,G770,$E$2:$E$1534,"&gt;="&amp;(E770-Assumptions!$B$5),$E$2:$E$1534,"&lt;="&amp;(E770+Assumptions!$B$5))&gt;1),1,0)</f>
        <v>0</v>
      </c>
      <c r="N770" s="13">
        <f>IF(AND(G770&gt;=Assumptions!$B$4*(1-Assumptions!$B$6),G770&lt;Assumptions!$B$4),1,0)</f>
        <v>0</v>
      </c>
      <c r="O770" s="13">
        <f>IF(AND(G770&gt;=Assumptions!$B$7,MOD(G770,Assumptions!$B$7)=0),1,0)</f>
        <v>0</v>
      </c>
      <c r="P770" s="13">
        <f t="shared" ref="P770:P833" si="62">IF(OR(H770="",I770=""),1,0)</f>
        <v>0</v>
      </c>
      <c r="Q770" s="13">
        <f t="shared" ref="Q770:Q833" si="63">IF(WEEKDAY(F770,2)&gt;5,1,0)</f>
        <v>0</v>
      </c>
      <c r="R770" s="13">
        <f>L770*Assumptions!$B$11+M770*Assumptions!$B$12+N770*Assumptions!$B$13+O770*Assumptions!$B$14+P770*Assumptions!$B$15+Q770*Assumptions!$B$16</f>
        <v>0</v>
      </c>
      <c r="S770" s="13" t="str">
        <f>IF(R770&gt;=Assumptions!$B$20,"High",IF(R770&gt;=Assumptions!$B$21,"Medium",IF(R770&gt;=1,"Low","Clear")))</f>
        <v>Clear</v>
      </c>
      <c r="T770" s="13" t="str">
        <f t="shared" ref="T770:T833" si="64">IF(R770=0,"",IF(L770=1,"Duplicate invoice; ","")&amp;IF(M770=1,"Near-duplicate; ","")&amp;IF(N770=1,"Just below limit; ","")&amp;IF(O770=1,"Round amount; ","")&amp;IF(P770=1,"No PO/GRN; ","")&amp;IF(Q770=1,"Weekend payment; ",""))</f>
        <v/>
      </c>
    </row>
    <row r="771" spans="1:20" x14ac:dyDescent="0.35">
      <c r="A771" s="13" t="s">
        <v>3160</v>
      </c>
      <c r="B771" s="13" t="s">
        <v>218</v>
      </c>
      <c r="C771" s="13" t="s">
        <v>219</v>
      </c>
      <c r="D771" s="13" t="s">
        <v>3161</v>
      </c>
      <c r="E771" s="14">
        <v>45941</v>
      </c>
      <c r="F771" s="14">
        <v>45968</v>
      </c>
      <c r="G771" s="15">
        <v>6150.93</v>
      </c>
      <c r="H771" s="13" t="s">
        <v>3162</v>
      </c>
      <c r="I771" s="13" t="s">
        <v>3163</v>
      </c>
      <c r="J771" s="13" t="s">
        <v>143</v>
      </c>
      <c r="K771" s="13">
        <f t="shared" si="60"/>
        <v>6</v>
      </c>
      <c r="L771" s="13">
        <f t="shared" si="61"/>
        <v>0</v>
      </c>
      <c r="M771" s="13">
        <f>IF(AND(L771=0,COUNTIFS($B$2:$B$1534,B771,$G$2:$G$1534,G771,$E$2:$E$1534,"&gt;="&amp;(E771-Assumptions!$B$5),$E$2:$E$1534,"&lt;="&amp;(E771+Assumptions!$B$5))&gt;1),1,0)</f>
        <v>0</v>
      </c>
      <c r="N771" s="13">
        <f>IF(AND(G771&gt;=Assumptions!$B$4*(1-Assumptions!$B$6),G771&lt;Assumptions!$B$4),1,0)</f>
        <v>0</v>
      </c>
      <c r="O771" s="13">
        <f>IF(AND(G771&gt;=Assumptions!$B$7,MOD(G771,Assumptions!$B$7)=0),1,0)</f>
        <v>0</v>
      </c>
      <c r="P771" s="13">
        <f t="shared" si="62"/>
        <v>0</v>
      </c>
      <c r="Q771" s="13">
        <f t="shared" si="63"/>
        <v>0</v>
      </c>
      <c r="R771" s="13">
        <f>L771*Assumptions!$B$11+M771*Assumptions!$B$12+N771*Assumptions!$B$13+O771*Assumptions!$B$14+P771*Assumptions!$B$15+Q771*Assumptions!$B$16</f>
        <v>0</v>
      </c>
      <c r="S771" s="13" t="str">
        <f>IF(R771&gt;=Assumptions!$B$20,"High",IF(R771&gt;=Assumptions!$B$21,"Medium",IF(R771&gt;=1,"Low","Clear")))</f>
        <v>Clear</v>
      </c>
      <c r="T771" s="13" t="str">
        <f t="shared" si="64"/>
        <v/>
      </c>
    </row>
    <row r="772" spans="1:20" x14ac:dyDescent="0.35">
      <c r="A772" s="13" t="s">
        <v>3164</v>
      </c>
      <c r="B772" s="13" t="s">
        <v>155</v>
      </c>
      <c r="C772" s="13" t="s">
        <v>156</v>
      </c>
      <c r="D772" s="13" t="s">
        <v>3165</v>
      </c>
      <c r="E772" s="14">
        <v>45937</v>
      </c>
      <c r="F772" s="14">
        <v>45968</v>
      </c>
      <c r="G772" s="15">
        <v>21469.3</v>
      </c>
      <c r="H772" s="13" t="s">
        <v>3166</v>
      </c>
      <c r="I772" s="13" t="s">
        <v>3167</v>
      </c>
      <c r="J772" s="13" t="s">
        <v>143</v>
      </c>
      <c r="K772" s="13">
        <f t="shared" si="60"/>
        <v>2</v>
      </c>
      <c r="L772" s="13">
        <f t="shared" si="61"/>
        <v>0</v>
      </c>
      <c r="M772" s="13">
        <f>IF(AND(L772=0,COUNTIFS($B$2:$B$1534,B772,$G$2:$G$1534,G772,$E$2:$E$1534,"&gt;="&amp;(E772-Assumptions!$B$5),$E$2:$E$1534,"&lt;="&amp;(E772+Assumptions!$B$5))&gt;1),1,0)</f>
        <v>0</v>
      </c>
      <c r="N772" s="13">
        <f>IF(AND(G772&gt;=Assumptions!$B$4*(1-Assumptions!$B$6),G772&lt;Assumptions!$B$4),1,0)</f>
        <v>0</v>
      </c>
      <c r="O772" s="13">
        <f>IF(AND(G772&gt;=Assumptions!$B$7,MOD(G772,Assumptions!$B$7)=0),1,0)</f>
        <v>0</v>
      </c>
      <c r="P772" s="13">
        <f t="shared" si="62"/>
        <v>0</v>
      </c>
      <c r="Q772" s="13">
        <f t="shared" si="63"/>
        <v>0</v>
      </c>
      <c r="R772" s="13">
        <f>L772*Assumptions!$B$11+M772*Assumptions!$B$12+N772*Assumptions!$B$13+O772*Assumptions!$B$14+P772*Assumptions!$B$15+Q772*Assumptions!$B$16</f>
        <v>0</v>
      </c>
      <c r="S772" s="13" t="str">
        <f>IF(R772&gt;=Assumptions!$B$20,"High",IF(R772&gt;=Assumptions!$B$21,"Medium",IF(R772&gt;=1,"Low","Clear")))</f>
        <v>Clear</v>
      </c>
      <c r="T772" s="13" t="str">
        <f t="shared" si="64"/>
        <v/>
      </c>
    </row>
    <row r="773" spans="1:20" x14ac:dyDescent="0.35">
      <c r="A773" s="13" t="s">
        <v>3168</v>
      </c>
      <c r="B773" s="13" t="s">
        <v>293</v>
      </c>
      <c r="C773" s="13" t="s">
        <v>294</v>
      </c>
      <c r="D773" s="13" t="s">
        <v>3169</v>
      </c>
      <c r="E773" s="14">
        <v>45932</v>
      </c>
      <c r="F773" s="14">
        <v>45971</v>
      </c>
      <c r="G773" s="15">
        <v>60458.84</v>
      </c>
      <c r="H773" s="13" t="s">
        <v>3170</v>
      </c>
      <c r="I773" s="13" t="s">
        <v>3171</v>
      </c>
      <c r="J773" s="13" t="s">
        <v>143</v>
      </c>
      <c r="K773" s="13">
        <f t="shared" si="60"/>
        <v>6</v>
      </c>
      <c r="L773" s="13">
        <f t="shared" si="61"/>
        <v>0</v>
      </c>
      <c r="M773" s="13">
        <f>IF(AND(L773=0,COUNTIFS($B$2:$B$1534,B773,$G$2:$G$1534,G773,$E$2:$E$1534,"&gt;="&amp;(E773-Assumptions!$B$5),$E$2:$E$1534,"&lt;="&amp;(E773+Assumptions!$B$5))&gt;1),1,0)</f>
        <v>0</v>
      </c>
      <c r="N773" s="13">
        <f>IF(AND(G773&gt;=Assumptions!$B$4*(1-Assumptions!$B$6),G773&lt;Assumptions!$B$4),1,0)</f>
        <v>0</v>
      </c>
      <c r="O773" s="13">
        <f>IF(AND(G773&gt;=Assumptions!$B$7,MOD(G773,Assumptions!$B$7)=0),1,0)</f>
        <v>0</v>
      </c>
      <c r="P773" s="13">
        <f t="shared" si="62"/>
        <v>0</v>
      </c>
      <c r="Q773" s="13">
        <f t="shared" si="63"/>
        <v>0</v>
      </c>
      <c r="R773" s="13">
        <f>L773*Assumptions!$B$11+M773*Assumptions!$B$12+N773*Assumptions!$B$13+O773*Assumptions!$B$14+P773*Assumptions!$B$15+Q773*Assumptions!$B$16</f>
        <v>0</v>
      </c>
      <c r="S773" s="13" t="str">
        <f>IF(R773&gt;=Assumptions!$B$20,"High",IF(R773&gt;=Assumptions!$B$21,"Medium",IF(R773&gt;=1,"Low","Clear")))</f>
        <v>Clear</v>
      </c>
      <c r="T773" s="13" t="str">
        <f t="shared" si="64"/>
        <v/>
      </c>
    </row>
    <row r="774" spans="1:20" x14ac:dyDescent="0.35">
      <c r="A774" s="13" t="s">
        <v>3172</v>
      </c>
      <c r="B774" s="13" t="s">
        <v>188</v>
      </c>
      <c r="C774" s="13" t="s">
        <v>189</v>
      </c>
      <c r="D774" s="13" t="s">
        <v>3173</v>
      </c>
      <c r="E774" s="14">
        <v>45932</v>
      </c>
      <c r="F774" s="14">
        <v>45971</v>
      </c>
      <c r="G774" s="15">
        <v>169993.5</v>
      </c>
      <c r="H774" s="13" t="s">
        <v>3174</v>
      </c>
      <c r="I774" s="13" t="s">
        <v>3175</v>
      </c>
      <c r="J774" s="13" t="s">
        <v>136</v>
      </c>
      <c r="K774" s="13">
        <f t="shared" si="60"/>
        <v>1</v>
      </c>
      <c r="L774" s="13">
        <f t="shared" si="61"/>
        <v>0</v>
      </c>
      <c r="M774" s="13">
        <f>IF(AND(L774=0,COUNTIFS($B$2:$B$1534,B774,$G$2:$G$1534,G774,$E$2:$E$1534,"&gt;="&amp;(E774-Assumptions!$B$5),$E$2:$E$1534,"&lt;="&amp;(E774+Assumptions!$B$5))&gt;1),1,0)</f>
        <v>0</v>
      </c>
      <c r="N774" s="13">
        <f>IF(AND(G774&gt;=Assumptions!$B$4*(1-Assumptions!$B$6),G774&lt;Assumptions!$B$4),1,0)</f>
        <v>0</v>
      </c>
      <c r="O774" s="13">
        <f>IF(AND(G774&gt;=Assumptions!$B$7,MOD(G774,Assumptions!$B$7)=0),1,0)</f>
        <v>0</v>
      </c>
      <c r="P774" s="13">
        <f t="shared" si="62"/>
        <v>0</v>
      </c>
      <c r="Q774" s="13">
        <f t="shared" si="63"/>
        <v>0</v>
      </c>
      <c r="R774" s="13">
        <f>L774*Assumptions!$B$11+M774*Assumptions!$B$12+N774*Assumptions!$B$13+O774*Assumptions!$B$14+P774*Assumptions!$B$15+Q774*Assumptions!$B$16</f>
        <v>0</v>
      </c>
      <c r="S774" s="13" t="str">
        <f>IF(R774&gt;=Assumptions!$B$20,"High",IF(R774&gt;=Assumptions!$B$21,"Medium",IF(R774&gt;=1,"Low","Clear")))</f>
        <v>Clear</v>
      </c>
      <c r="T774" s="13" t="str">
        <f t="shared" si="64"/>
        <v/>
      </c>
    </row>
    <row r="775" spans="1:20" x14ac:dyDescent="0.35">
      <c r="A775" s="13" t="s">
        <v>3176</v>
      </c>
      <c r="B775" s="13" t="s">
        <v>188</v>
      </c>
      <c r="C775" s="13" t="s">
        <v>189</v>
      </c>
      <c r="D775" s="13" t="s">
        <v>3177</v>
      </c>
      <c r="E775" s="14">
        <v>45949</v>
      </c>
      <c r="F775" s="14">
        <v>45971</v>
      </c>
      <c r="G775" s="15">
        <v>95615.55</v>
      </c>
      <c r="H775" s="13" t="s">
        <v>3178</v>
      </c>
      <c r="I775" s="13" t="s">
        <v>3179</v>
      </c>
      <c r="J775" s="13" t="s">
        <v>91</v>
      </c>
      <c r="K775" s="13">
        <f t="shared" si="60"/>
        <v>9</v>
      </c>
      <c r="L775" s="13">
        <f t="shared" si="61"/>
        <v>0</v>
      </c>
      <c r="M775" s="13">
        <f>IF(AND(L775=0,COUNTIFS($B$2:$B$1534,B775,$G$2:$G$1534,G775,$E$2:$E$1534,"&gt;="&amp;(E775-Assumptions!$B$5),$E$2:$E$1534,"&lt;="&amp;(E775+Assumptions!$B$5))&gt;1),1,0)</f>
        <v>0</v>
      </c>
      <c r="N775" s="13">
        <f>IF(AND(G775&gt;=Assumptions!$B$4*(1-Assumptions!$B$6),G775&lt;Assumptions!$B$4),1,0)</f>
        <v>0</v>
      </c>
      <c r="O775" s="13">
        <f>IF(AND(G775&gt;=Assumptions!$B$7,MOD(G775,Assumptions!$B$7)=0),1,0)</f>
        <v>0</v>
      </c>
      <c r="P775" s="13">
        <f t="shared" si="62"/>
        <v>0</v>
      </c>
      <c r="Q775" s="13">
        <f t="shared" si="63"/>
        <v>0</v>
      </c>
      <c r="R775" s="13">
        <f>L775*Assumptions!$B$11+M775*Assumptions!$B$12+N775*Assumptions!$B$13+O775*Assumptions!$B$14+P775*Assumptions!$B$15+Q775*Assumptions!$B$16</f>
        <v>0</v>
      </c>
      <c r="S775" s="13" t="str">
        <f>IF(R775&gt;=Assumptions!$B$20,"High",IF(R775&gt;=Assumptions!$B$21,"Medium",IF(R775&gt;=1,"Low","Clear")))</f>
        <v>Clear</v>
      </c>
      <c r="T775" s="13" t="str">
        <f t="shared" si="64"/>
        <v/>
      </c>
    </row>
    <row r="776" spans="1:20" x14ac:dyDescent="0.35">
      <c r="A776" s="13" t="s">
        <v>3180</v>
      </c>
      <c r="B776" s="13" t="s">
        <v>131</v>
      </c>
      <c r="C776" s="13" t="s">
        <v>132</v>
      </c>
      <c r="D776" s="13" t="s">
        <v>3181</v>
      </c>
      <c r="E776" s="14">
        <v>45938</v>
      </c>
      <c r="F776" s="14">
        <v>45971</v>
      </c>
      <c r="G776" s="15">
        <v>12076.2</v>
      </c>
      <c r="H776" s="13" t="s">
        <v>3182</v>
      </c>
      <c r="I776" s="13" t="s">
        <v>3183</v>
      </c>
      <c r="J776" s="13" t="s">
        <v>143</v>
      </c>
      <c r="K776" s="13">
        <f t="shared" si="60"/>
        <v>1</v>
      </c>
      <c r="L776" s="13">
        <f t="shared" si="61"/>
        <v>0</v>
      </c>
      <c r="M776" s="13">
        <f>IF(AND(L776=0,COUNTIFS($B$2:$B$1534,B776,$G$2:$G$1534,G776,$E$2:$E$1534,"&gt;="&amp;(E776-Assumptions!$B$5),$E$2:$E$1534,"&lt;="&amp;(E776+Assumptions!$B$5))&gt;1),1,0)</f>
        <v>0</v>
      </c>
      <c r="N776" s="13">
        <f>IF(AND(G776&gt;=Assumptions!$B$4*(1-Assumptions!$B$6),G776&lt;Assumptions!$B$4),1,0)</f>
        <v>0</v>
      </c>
      <c r="O776" s="13">
        <f>IF(AND(G776&gt;=Assumptions!$B$7,MOD(G776,Assumptions!$B$7)=0),1,0)</f>
        <v>0</v>
      </c>
      <c r="P776" s="13">
        <f t="shared" si="62"/>
        <v>0</v>
      </c>
      <c r="Q776" s="13">
        <f t="shared" si="63"/>
        <v>0</v>
      </c>
      <c r="R776" s="13">
        <f>L776*Assumptions!$B$11+M776*Assumptions!$B$12+N776*Assumptions!$B$13+O776*Assumptions!$B$14+P776*Assumptions!$B$15+Q776*Assumptions!$B$16</f>
        <v>0</v>
      </c>
      <c r="S776" s="13" t="str">
        <f>IF(R776&gt;=Assumptions!$B$20,"High",IF(R776&gt;=Assumptions!$B$21,"Medium",IF(R776&gt;=1,"Low","Clear")))</f>
        <v>Clear</v>
      </c>
      <c r="T776" s="13" t="str">
        <f t="shared" si="64"/>
        <v/>
      </c>
    </row>
    <row r="777" spans="1:20" x14ac:dyDescent="0.35">
      <c r="A777" s="13" t="s">
        <v>3184</v>
      </c>
      <c r="B777" s="13" t="s">
        <v>119</v>
      </c>
      <c r="C777" s="13" t="s">
        <v>120</v>
      </c>
      <c r="D777" s="13" t="s">
        <v>3185</v>
      </c>
      <c r="E777" s="14">
        <v>45929</v>
      </c>
      <c r="F777" s="14">
        <v>45971</v>
      </c>
      <c r="G777" s="15">
        <v>8071.95</v>
      </c>
      <c r="H777" s="13" t="s">
        <v>3186</v>
      </c>
      <c r="I777" s="13" t="s">
        <v>3187</v>
      </c>
      <c r="J777" s="13" t="s">
        <v>111</v>
      </c>
      <c r="K777" s="13">
        <f t="shared" si="60"/>
        <v>8</v>
      </c>
      <c r="L777" s="13">
        <f t="shared" si="61"/>
        <v>0</v>
      </c>
      <c r="M777" s="13">
        <f>IF(AND(L777=0,COUNTIFS($B$2:$B$1534,B777,$G$2:$G$1534,G777,$E$2:$E$1534,"&gt;="&amp;(E777-Assumptions!$B$5),$E$2:$E$1534,"&lt;="&amp;(E777+Assumptions!$B$5))&gt;1),1,0)</f>
        <v>0</v>
      </c>
      <c r="N777" s="13">
        <f>IF(AND(G777&gt;=Assumptions!$B$4*(1-Assumptions!$B$6),G777&lt;Assumptions!$B$4),1,0)</f>
        <v>0</v>
      </c>
      <c r="O777" s="13">
        <f>IF(AND(G777&gt;=Assumptions!$B$7,MOD(G777,Assumptions!$B$7)=0),1,0)</f>
        <v>0</v>
      </c>
      <c r="P777" s="13">
        <f t="shared" si="62"/>
        <v>0</v>
      </c>
      <c r="Q777" s="13">
        <f t="shared" si="63"/>
        <v>0</v>
      </c>
      <c r="R777" s="13">
        <f>L777*Assumptions!$B$11+M777*Assumptions!$B$12+N777*Assumptions!$B$13+O777*Assumptions!$B$14+P777*Assumptions!$B$15+Q777*Assumptions!$B$16</f>
        <v>0</v>
      </c>
      <c r="S777" s="13" t="str">
        <f>IF(R777&gt;=Assumptions!$B$20,"High",IF(R777&gt;=Assumptions!$B$21,"Medium",IF(R777&gt;=1,"Low","Clear")))</f>
        <v>Clear</v>
      </c>
      <c r="T777" s="13" t="str">
        <f t="shared" si="64"/>
        <v/>
      </c>
    </row>
    <row r="778" spans="1:20" x14ac:dyDescent="0.35">
      <c r="A778" s="13" t="s">
        <v>3188</v>
      </c>
      <c r="B778" s="13" t="s">
        <v>317</v>
      </c>
      <c r="C778" s="13" t="s">
        <v>318</v>
      </c>
      <c r="D778" s="13" t="s">
        <v>3189</v>
      </c>
      <c r="E778" s="14">
        <v>45934</v>
      </c>
      <c r="F778" s="14">
        <v>45971</v>
      </c>
      <c r="G778" s="15">
        <v>253097.54</v>
      </c>
      <c r="H778" s="13" t="s">
        <v>3190</v>
      </c>
      <c r="I778" s="13" t="s">
        <v>3191</v>
      </c>
      <c r="J778" s="13" t="s">
        <v>111</v>
      </c>
      <c r="K778" s="13">
        <f t="shared" si="60"/>
        <v>2</v>
      </c>
      <c r="L778" s="13">
        <f t="shared" si="61"/>
        <v>0</v>
      </c>
      <c r="M778" s="13">
        <f>IF(AND(L778=0,COUNTIFS($B$2:$B$1534,B778,$G$2:$G$1534,G778,$E$2:$E$1534,"&gt;="&amp;(E778-Assumptions!$B$5),$E$2:$E$1534,"&lt;="&amp;(E778+Assumptions!$B$5))&gt;1),1,0)</f>
        <v>0</v>
      </c>
      <c r="N778" s="13">
        <f>IF(AND(G778&gt;=Assumptions!$B$4*(1-Assumptions!$B$6),G778&lt;Assumptions!$B$4),1,0)</f>
        <v>0</v>
      </c>
      <c r="O778" s="13">
        <f>IF(AND(G778&gt;=Assumptions!$B$7,MOD(G778,Assumptions!$B$7)=0),1,0)</f>
        <v>0</v>
      </c>
      <c r="P778" s="13">
        <f t="shared" si="62"/>
        <v>0</v>
      </c>
      <c r="Q778" s="13">
        <f t="shared" si="63"/>
        <v>0</v>
      </c>
      <c r="R778" s="13">
        <f>L778*Assumptions!$B$11+M778*Assumptions!$B$12+N778*Assumptions!$B$13+O778*Assumptions!$B$14+P778*Assumptions!$B$15+Q778*Assumptions!$B$16</f>
        <v>0</v>
      </c>
      <c r="S778" s="13" t="str">
        <f>IF(R778&gt;=Assumptions!$B$20,"High",IF(R778&gt;=Assumptions!$B$21,"Medium",IF(R778&gt;=1,"Low","Clear")))</f>
        <v>Clear</v>
      </c>
      <c r="T778" s="13" t="str">
        <f t="shared" si="64"/>
        <v/>
      </c>
    </row>
    <row r="779" spans="1:20" x14ac:dyDescent="0.35">
      <c r="A779" s="13" t="s">
        <v>3192</v>
      </c>
      <c r="B779" s="13" t="s">
        <v>317</v>
      </c>
      <c r="C779" s="13" t="s">
        <v>318</v>
      </c>
      <c r="D779" s="13" t="s">
        <v>3193</v>
      </c>
      <c r="E779" s="14">
        <v>45943</v>
      </c>
      <c r="F779" s="14">
        <v>45971</v>
      </c>
      <c r="G779" s="15">
        <v>701581.33</v>
      </c>
      <c r="H779" s="13" t="s">
        <v>3194</v>
      </c>
      <c r="I779" s="13" t="s">
        <v>3195</v>
      </c>
      <c r="J779" s="13" t="s">
        <v>98</v>
      </c>
      <c r="K779" s="13">
        <f t="shared" si="60"/>
        <v>7</v>
      </c>
      <c r="L779" s="13">
        <f t="shared" si="61"/>
        <v>0</v>
      </c>
      <c r="M779" s="13">
        <f>IF(AND(L779=0,COUNTIFS($B$2:$B$1534,B779,$G$2:$G$1534,G779,$E$2:$E$1534,"&gt;="&amp;(E779-Assumptions!$B$5),$E$2:$E$1534,"&lt;="&amp;(E779+Assumptions!$B$5))&gt;1),1,0)</f>
        <v>0</v>
      </c>
      <c r="N779" s="13">
        <f>IF(AND(G779&gt;=Assumptions!$B$4*(1-Assumptions!$B$6),G779&lt;Assumptions!$B$4),1,0)</f>
        <v>0</v>
      </c>
      <c r="O779" s="13">
        <f>IF(AND(G779&gt;=Assumptions!$B$7,MOD(G779,Assumptions!$B$7)=0),1,0)</f>
        <v>0</v>
      </c>
      <c r="P779" s="13">
        <f t="shared" si="62"/>
        <v>0</v>
      </c>
      <c r="Q779" s="13">
        <f t="shared" si="63"/>
        <v>0</v>
      </c>
      <c r="R779" s="13">
        <f>L779*Assumptions!$B$11+M779*Assumptions!$B$12+N779*Assumptions!$B$13+O779*Assumptions!$B$14+P779*Assumptions!$B$15+Q779*Assumptions!$B$16</f>
        <v>0</v>
      </c>
      <c r="S779" s="13" t="str">
        <f>IF(R779&gt;=Assumptions!$B$20,"High",IF(R779&gt;=Assumptions!$B$21,"Medium",IF(R779&gt;=1,"Low","Clear")))</f>
        <v>Clear</v>
      </c>
      <c r="T779" s="13" t="str">
        <f t="shared" si="64"/>
        <v/>
      </c>
    </row>
    <row r="780" spans="1:20" x14ac:dyDescent="0.35">
      <c r="A780" s="13" t="s">
        <v>3196</v>
      </c>
      <c r="B780" s="13" t="s">
        <v>323</v>
      </c>
      <c r="C780" s="13" t="s">
        <v>324</v>
      </c>
      <c r="D780" s="13" t="s">
        <v>3197</v>
      </c>
      <c r="E780" s="14">
        <v>45939</v>
      </c>
      <c r="F780" s="14">
        <v>45971</v>
      </c>
      <c r="G780" s="15">
        <v>22162.12</v>
      </c>
      <c r="H780" s="13" t="s">
        <v>3198</v>
      </c>
      <c r="I780" s="13" t="s">
        <v>3199</v>
      </c>
      <c r="J780" s="13" t="s">
        <v>111</v>
      </c>
      <c r="K780" s="13">
        <f t="shared" si="60"/>
        <v>2</v>
      </c>
      <c r="L780" s="13">
        <f t="shared" si="61"/>
        <v>1</v>
      </c>
      <c r="M780" s="13">
        <f>IF(AND(L780=0,COUNTIFS($B$2:$B$1534,B780,$G$2:$G$1534,G780,$E$2:$E$1534,"&gt;="&amp;(E780-Assumptions!$B$5),$E$2:$E$1534,"&lt;="&amp;(E780+Assumptions!$B$5))&gt;1),1,0)</f>
        <v>0</v>
      </c>
      <c r="N780" s="13">
        <f>IF(AND(G780&gt;=Assumptions!$B$4*(1-Assumptions!$B$6),G780&lt;Assumptions!$B$4),1,0)</f>
        <v>0</v>
      </c>
      <c r="O780" s="13">
        <f>IF(AND(G780&gt;=Assumptions!$B$7,MOD(G780,Assumptions!$B$7)=0),1,0)</f>
        <v>0</v>
      </c>
      <c r="P780" s="13">
        <f t="shared" si="62"/>
        <v>0</v>
      </c>
      <c r="Q780" s="13">
        <f t="shared" si="63"/>
        <v>0</v>
      </c>
      <c r="R780" s="13">
        <f>L780*Assumptions!$B$11+M780*Assumptions!$B$12+N780*Assumptions!$B$13+O780*Assumptions!$B$14+P780*Assumptions!$B$15+Q780*Assumptions!$B$16</f>
        <v>5</v>
      </c>
      <c r="S780" s="13" t="str">
        <f>IF(R780&gt;=Assumptions!$B$20,"High",IF(R780&gt;=Assumptions!$B$21,"Medium",IF(R780&gt;=1,"Low","Clear")))</f>
        <v>High</v>
      </c>
      <c r="T780" s="13" t="str">
        <f t="shared" si="64"/>
        <v xml:space="preserve">Duplicate invoice; </v>
      </c>
    </row>
    <row r="781" spans="1:20" x14ac:dyDescent="0.35">
      <c r="A781" s="13" t="s">
        <v>3200</v>
      </c>
      <c r="B781" s="13" t="s">
        <v>329</v>
      </c>
      <c r="C781" s="13" t="s">
        <v>330</v>
      </c>
      <c r="D781" s="13" t="s">
        <v>3201</v>
      </c>
      <c r="E781" s="14">
        <v>45940</v>
      </c>
      <c r="F781" s="14">
        <v>45971</v>
      </c>
      <c r="G781" s="15">
        <v>23822.87</v>
      </c>
      <c r="H781" s="13" t="s">
        <v>3202</v>
      </c>
      <c r="I781" s="13" t="s">
        <v>3203</v>
      </c>
      <c r="J781" s="13" t="s">
        <v>170</v>
      </c>
      <c r="K781" s="13">
        <f t="shared" si="60"/>
        <v>2</v>
      </c>
      <c r="L781" s="13">
        <f t="shared" si="61"/>
        <v>0</v>
      </c>
      <c r="M781" s="13">
        <f>IF(AND(L781=0,COUNTIFS($B$2:$B$1534,B781,$G$2:$G$1534,G781,$E$2:$E$1534,"&gt;="&amp;(E781-Assumptions!$B$5),$E$2:$E$1534,"&lt;="&amp;(E781+Assumptions!$B$5))&gt;1),1,0)</f>
        <v>0</v>
      </c>
      <c r="N781" s="13">
        <f>IF(AND(G781&gt;=Assumptions!$B$4*(1-Assumptions!$B$6),G781&lt;Assumptions!$B$4),1,0)</f>
        <v>0</v>
      </c>
      <c r="O781" s="13">
        <f>IF(AND(G781&gt;=Assumptions!$B$7,MOD(G781,Assumptions!$B$7)=0),1,0)</f>
        <v>0</v>
      </c>
      <c r="P781" s="13">
        <f t="shared" si="62"/>
        <v>0</v>
      </c>
      <c r="Q781" s="13">
        <f t="shared" si="63"/>
        <v>0</v>
      </c>
      <c r="R781" s="13">
        <f>L781*Assumptions!$B$11+M781*Assumptions!$B$12+N781*Assumptions!$B$13+O781*Assumptions!$B$14+P781*Assumptions!$B$15+Q781*Assumptions!$B$16</f>
        <v>0</v>
      </c>
      <c r="S781" s="13" t="str">
        <f>IF(R781&gt;=Assumptions!$B$20,"High",IF(R781&gt;=Assumptions!$B$21,"Medium",IF(R781&gt;=1,"Low","Clear")))</f>
        <v>Clear</v>
      </c>
      <c r="T781" s="13" t="str">
        <f t="shared" si="64"/>
        <v/>
      </c>
    </row>
    <row r="782" spans="1:20" x14ac:dyDescent="0.35">
      <c r="A782" s="13" t="s">
        <v>3204</v>
      </c>
      <c r="B782" s="13" t="s">
        <v>161</v>
      </c>
      <c r="C782" s="13" t="s">
        <v>162</v>
      </c>
      <c r="D782" s="13" t="s">
        <v>3205</v>
      </c>
      <c r="E782" s="14">
        <v>45942</v>
      </c>
      <c r="F782" s="14">
        <v>45971</v>
      </c>
      <c r="G782" s="15">
        <v>930186.54</v>
      </c>
      <c r="H782" s="13" t="s">
        <v>3206</v>
      </c>
      <c r="I782" s="13" t="s">
        <v>3207</v>
      </c>
      <c r="J782" s="13" t="s">
        <v>143</v>
      </c>
      <c r="K782" s="13">
        <f t="shared" si="60"/>
        <v>9</v>
      </c>
      <c r="L782" s="13">
        <f t="shared" si="61"/>
        <v>0</v>
      </c>
      <c r="M782" s="13">
        <f>IF(AND(L782=0,COUNTIFS($B$2:$B$1534,B782,$G$2:$G$1534,G782,$E$2:$E$1534,"&gt;="&amp;(E782-Assumptions!$B$5),$E$2:$E$1534,"&lt;="&amp;(E782+Assumptions!$B$5))&gt;1),1,0)</f>
        <v>0</v>
      </c>
      <c r="N782" s="13">
        <f>IF(AND(G782&gt;=Assumptions!$B$4*(1-Assumptions!$B$6),G782&lt;Assumptions!$B$4),1,0)</f>
        <v>0</v>
      </c>
      <c r="O782" s="13">
        <f>IF(AND(G782&gt;=Assumptions!$B$7,MOD(G782,Assumptions!$B$7)=0),1,0)</f>
        <v>0</v>
      </c>
      <c r="P782" s="13">
        <f t="shared" si="62"/>
        <v>0</v>
      </c>
      <c r="Q782" s="13">
        <f t="shared" si="63"/>
        <v>0</v>
      </c>
      <c r="R782" s="13">
        <f>L782*Assumptions!$B$11+M782*Assumptions!$B$12+N782*Assumptions!$B$13+O782*Assumptions!$B$14+P782*Assumptions!$B$15+Q782*Assumptions!$B$16</f>
        <v>0</v>
      </c>
      <c r="S782" s="13" t="str">
        <f>IF(R782&gt;=Assumptions!$B$20,"High",IF(R782&gt;=Assumptions!$B$21,"Medium",IF(R782&gt;=1,"Low","Clear")))</f>
        <v>Clear</v>
      </c>
      <c r="T782" s="13" t="str">
        <f t="shared" si="64"/>
        <v/>
      </c>
    </row>
    <row r="783" spans="1:20" x14ac:dyDescent="0.35">
      <c r="A783" s="13" t="s">
        <v>3208</v>
      </c>
      <c r="B783" s="13" t="s">
        <v>438</v>
      </c>
      <c r="C783" s="13" t="s">
        <v>439</v>
      </c>
      <c r="D783" s="13" t="s">
        <v>3209</v>
      </c>
      <c r="E783" s="14">
        <v>45935</v>
      </c>
      <c r="F783" s="14">
        <v>45971</v>
      </c>
      <c r="G783" s="15">
        <v>1004.98</v>
      </c>
      <c r="H783" s="13" t="s">
        <v>3210</v>
      </c>
      <c r="I783" s="13" t="s">
        <v>3211</v>
      </c>
      <c r="J783" s="13" t="s">
        <v>98</v>
      </c>
      <c r="K783" s="13">
        <f t="shared" si="60"/>
        <v>1</v>
      </c>
      <c r="L783" s="13">
        <f t="shared" si="61"/>
        <v>0</v>
      </c>
      <c r="M783" s="13">
        <f>IF(AND(L783=0,COUNTIFS($B$2:$B$1534,B783,$G$2:$G$1534,G783,$E$2:$E$1534,"&gt;="&amp;(E783-Assumptions!$B$5),$E$2:$E$1534,"&lt;="&amp;(E783+Assumptions!$B$5))&gt;1),1,0)</f>
        <v>0</v>
      </c>
      <c r="N783" s="13">
        <f>IF(AND(G783&gt;=Assumptions!$B$4*(1-Assumptions!$B$6),G783&lt;Assumptions!$B$4),1,0)</f>
        <v>0</v>
      </c>
      <c r="O783" s="13">
        <f>IF(AND(G783&gt;=Assumptions!$B$7,MOD(G783,Assumptions!$B$7)=0),1,0)</f>
        <v>0</v>
      </c>
      <c r="P783" s="13">
        <f t="shared" si="62"/>
        <v>0</v>
      </c>
      <c r="Q783" s="13">
        <f t="shared" si="63"/>
        <v>0</v>
      </c>
      <c r="R783" s="13">
        <f>L783*Assumptions!$B$11+M783*Assumptions!$B$12+N783*Assumptions!$B$13+O783*Assumptions!$B$14+P783*Assumptions!$B$15+Q783*Assumptions!$B$16</f>
        <v>0</v>
      </c>
      <c r="S783" s="13" t="str">
        <f>IF(R783&gt;=Assumptions!$B$20,"High",IF(R783&gt;=Assumptions!$B$21,"Medium",IF(R783&gt;=1,"Low","Clear")))</f>
        <v>Clear</v>
      </c>
      <c r="T783" s="13" t="str">
        <f t="shared" si="64"/>
        <v/>
      </c>
    </row>
    <row r="784" spans="1:20" x14ac:dyDescent="0.35">
      <c r="A784" s="13" t="s">
        <v>3212</v>
      </c>
      <c r="B784" s="13" t="s">
        <v>357</v>
      </c>
      <c r="C784" s="13" t="s">
        <v>358</v>
      </c>
      <c r="D784" s="13" t="s">
        <v>3213</v>
      </c>
      <c r="E784" s="14">
        <v>45933</v>
      </c>
      <c r="F784" s="14">
        <v>45971</v>
      </c>
      <c r="G784" s="15">
        <v>33313.65</v>
      </c>
      <c r="H784" s="13" t="s">
        <v>3214</v>
      </c>
      <c r="I784" s="13" t="s">
        <v>3215</v>
      </c>
      <c r="J784" s="13" t="s">
        <v>136</v>
      </c>
      <c r="K784" s="13">
        <f t="shared" si="60"/>
        <v>3</v>
      </c>
      <c r="L784" s="13">
        <f t="shared" si="61"/>
        <v>1</v>
      </c>
      <c r="M784" s="13">
        <f>IF(AND(L784=0,COUNTIFS($B$2:$B$1534,B784,$G$2:$G$1534,G784,$E$2:$E$1534,"&gt;="&amp;(E784-Assumptions!$B$5),$E$2:$E$1534,"&lt;="&amp;(E784+Assumptions!$B$5))&gt;1),1,0)</f>
        <v>0</v>
      </c>
      <c r="N784" s="13">
        <f>IF(AND(G784&gt;=Assumptions!$B$4*(1-Assumptions!$B$6),G784&lt;Assumptions!$B$4),1,0)</f>
        <v>0</v>
      </c>
      <c r="O784" s="13">
        <f>IF(AND(G784&gt;=Assumptions!$B$7,MOD(G784,Assumptions!$B$7)=0),1,0)</f>
        <v>0</v>
      </c>
      <c r="P784" s="13">
        <f t="shared" si="62"/>
        <v>0</v>
      </c>
      <c r="Q784" s="13">
        <f t="shared" si="63"/>
        <v>0</v>
      </c>
      <c r="R784" s="13">
        <f>L784*Assumptions!$B$11+M784*Assumptions!$B$12+N784*Assumptions!$B$13+O784*Assumptions!$B$14+P784*Assumptions!$B$15+Q784*Assumptions!$B$16</f>
        <v>5</v>
      </c>
      <c r="S784" s="13" t="str">
        <f>IF(R784&gt;=Assumptions!$B$20,"High",IF(R784&gt;=Assumptions!$B$21,"Medium",IF(R784&gt;=1,"Low","Clear")))</f>
        <v>High</v>
      </c>
      <c r="T784" s="13" t="str">
        <f t="shared" si="64"/>
        <v xml:space="preserve">Duplicate invoice; </v>
      </c>
    </row>
    <row r="785" spans="1:20" x14ac:dyDescent="0.35">
      <c r="A785" s="13" t="s">
        <v>3216</v>
      </c>
      <c r="B785" s="13" t="s">
        <v>409</v>
      </c>
      <c r="C785" s="13" t="s">
        <v>410</v>
      </c>
      <c r="D785" s="13" t="s">
        <v>3217</v>
      </c>
      <c r="E785" s="14">
        <v>45935</v>
      </c>
      <c r="F785" s="14">
        <v>45972</v>
      </c>
      <c r="G785" s="15">
        <v>363099.99</v>
      </c>
      <c r="H785" s="13" t="s">
        <v>3218</v>
      </c>
      <c r="I785" s="13" t="s">
        <v>3219</v>
      </c>
      <c r="J785" s="13" t="s">
        <v>98</v>
      </c>
      <c r="K785" s="13">
        <f t="shared" si="60"/>
        <v>3</v>
      </c>
      <c r="L785" s="13">
        <f t="shared" si="61"/>
        <v>0</v>
      </c>
      <c r="M785" s="13">
        <f>IF(AND(L785=0,COUNTIFS($B$2:$B$1534,B785,$G$2:$G$1534,G785,$E$2:$E$1534,"&gt;="&amp;(E785-Assumptions!$B$5),$E$2:$E$1534,"&lt;="&amp;(E785+Assumptions!$B$5))&gt;1),1,0)</f>
        <v>0</v>
      </c>
      <c r="N785" s="13">
        <f>IF(AND(G785&gt;=Assumptions!$B$4*(1-Assumptions!$B$6),G785&lt;Assumptions!$B$4),1,0)</f>
        <v>0</v>
      </c>
      <c r="O785" s="13">
        <f>IF(AND(G785&gt;=Assumptions!$B$7,MOD(G785,Assumptions!$B$7)=0),1,0)</f>
        <v>0</v>
      </c>
      <c r="P785" s="13">
        <f t="shared" si="62"/>
        <v>0</v>
      </c>
      <c r="Q785" s="13">
        <f t="shared" si="63"/>
        <v>0</v>
      </c>
      <c r="R785" s="13">
        <f>L785*Assumptions!$B$11+M785*Assumptions!$B$12+N785*Assumptions!$B$13+O785*Assumptions!$B$14+P785*Assumptions!$B$15+Q785*Assumptions!$B$16</f>
        <v>0</v>
      </c>
      <c r="S785" s="13" t="str">
        <f>IF(R785&gt;=Assumptions!$B$20,"High",IF(R785&gt;=Assumptions!$B$21,"Medium",IF(R785&gt;=1,"Low","Clear")))</f>
        <v>Clear</v>
      </c>
      <c r="T785" s="13" t="str">
        <f t="shared" si="64"/>
        <v/>
      </c>
    </row>
    <row r="786" spans="1:20" x14ac:dyDescent="0.35">
      <c r="A786" s="13" t="s">
        <v>3220</v>
      </c>
      <c r="B786" s="13" t="s">
        <v>200</v>
      </c>
      <c r="C786" s="13" t="s">
        <v>201</v>
      </c>
      <c r="D786" s="13" t="s">
        <v>3221</v>
      </c>
      <c r="E786" s="14">
        <v>45943</v>
      </c>
      <c r="F786" s="14">
        <v>45972</v>
      </c>
      <c r="G786" s="15">
        <v>45877.61</v>
      </c>
      <c r="H786" s="13" t="s">
        <v>3222</v>
      </c>
      <c r="I786" s="13" t="s">
        <v>3223</v>
      </c>
      <c r="J786" s="13" t="s">
        <v>91</v>
      </c>
      <c r="K786" s="13">
        <f t="shared" si="60"/>
        <v>4</v>
      </c>
      <c r="L786" s="13">
        <f t="shared" si="61"/>
        <v>0</v>
      </c>
      <c r="M786" s="13">
        <f>IF(AND(L786=0,COUNTIFS($B$2:$B$1534,B786,$G$2:$G$1534,G786,$E$2:$E$1534,"&gt;="&amp;(E786-Assumptions!$B$5),$E$2:$E$1534,"&lt;="&amp;(E786+Assumptions!$B$5))&gt;1),1,0)</f>
        <v>0</v>
      </c>
      <c r="N786" s="13">
        <f>IF(AND(G786&gt;=Assumptions!$B$4*(1-Assumptions!$B$6),G786&lt;Assumptions!$B$4),1,0)</f>
        <v>0</v>
      </c>
      <c r="O786" s="13">
        <f>IF(AND(G786&gt;=Assumptions!$B$7,MOD(G786,Assumptions!$B$7)=0),1,0)</f>
        <v>0</v>
      </c>
      <c r="P786" s="13">
        <f t="shared" si="62"/>
        <v>0</v>
      </c>
      <c r="Q786" s="13">
        <f t="shared" si="63"/>
        <v>0</v>
      </c>
      <c r="R786" s="13">
        <f>L786*Assumptions!$B$11+M786*Assumptions!$B$12+N786*Assumptions!$B$13+O786*Assumptions!$B$14+P786*Assumptions!$B$15+Q786*Assumptions!$B$16</f>
        <v>0</v>
      </c>
      <c r="S786" s="13" t="str">
        <f>IF(R786&gt;=Assumptions!$B$20,"High",IF(R786&gt;=Assumptions!$B$21,"Medium",IF(R786&gt;=1,"Low","Clear")))</f>
        <v>Clear</v>
      </c>
      <c r="T786" s="13" t="str">
        <f t="shared" si="64"/>
        <v/>
      </c>
    </row>
    <row r="787" spans="1:20" x14ac:dyDescent="0.35">
      <c r="A787" s="13" t="s">
        <v>3224</v>
      </c>
      <c r="B787" s="13" t="s">
        <v>234</v>
      </c>
      <c r="C787" s="13" t="s">
        <v>235</v>
      </c>
      <c r="D787" s="13" t="s">
        <v>3225</v>
      </c>
      <c r="E787" s="14">
        <v>45942</v>
      </c>
      <c r="F787" s="14">
        <v>45972</v>
      </c>
      <c r="G787" s="15">
        <v>4315</v>
      </c>
      <c r="H787" s="13" t="s">
        <v>3226</v>
      </c>
      <c r="I787" s="13" t="s">
        <v>3227</v>
      </c>
      <c r="J787" s="13" t="s">
        <v>98</v>
      </c>
      <c r="K787" s="13">
        <f t="shared" si="60"/>
        <v>4</v>
      </c>
      <c r="L787" s="13">
        <f t="shared" si="61"/>
        <v>0</v>
      </c>
      <c r="M787" s="13">
        <f>IF(AND(L787=0,COUNTIFS($B$2:$B$1534,B787,$G$2:$G$1534,G787,$E$2:$E$1534,"&gt;="&amp;(E787-Assumptions!$B$5),$E$2:$E$1534,"&lt;="&amp;(E787+Assumptions!$B$5))&gt;1),1,0)</f>
        <v>0</v>
      </c>
      <c r="N787" s="13">
        <f>IF(AND(G787&gt;=Assumptions!$B$4*(1-Assumptions!$B$6),G787&lt;Assumptions!$B$4),1,0)</f>
        <v>0</v>
      </c>
      <c r="O787" s="13">
        <f>IF(AND(G787&gt;=Assumptions!$B$7,MOD(G787,Assumptions!$B$7)=0),1,0)</f>
        <v>0</v>
      </c>
      <c r="P787" s="13">
        <f t="shared" si="62"/>
        <v>0</v>
      </c>
      <c r="Q787" s="13">
        <f t="shared" si="63"/>
        <v>0</v>
      </c>
      <c r="R787" s="13">
        <f>L787*Assumptions!$B$11+M787*Assumptions!$B$12+N787*Assumptions!$B$13+O787*Assumptions!$B$14+P787*Assumptions!$B$15+Q787*Assumptions!$B$16</f>
        <v>0</v>
      </c>
      <c r="S787" s="13" t="str">
        <f>IF(R787&gt;=Assumptions!$B$20,"High",IF(R787&gt;=Assumptions!$B$21,"Medium",IF(R787&gt;=1,"Low","Clear")))</f>
        <v>Clear</v>
      </c>
      <c r="T787" s="13" t="str">
        <f t="shared" si="64"/>
        <v/>
      </c>
    </row>
    <row r="788" spans="1:20" x14ac:dyDescent="0.35">
      <c r="A788" s="13" t="s">
        <v>3228</v>
      </c>
      <c r="B788" s="13" t="s">
        <v>100</v>
      </c>
      <c r="C788" s="13" t="s">
        <v>101</v>
      </c>
      <c r="D788" s="13" t="s">
        <v>3229</v>
      </c>
      <c r="E788" s="14">
        <v>45938</v>
      </c>
      <c r="F788" s="14">
        <v>45972</v>
      </c>
      <c r="G788" s="15">
        <v>123254.96</v>
      </c>
      <c r="H788" s="13" t="s">
        <v>3230</v>
      </c>
      <c r="I788" s="13" t="s">
        <v>3231</v>
      </c>
      <c r="J788" s="13" t="s">
        <v>111</v>
      </c>
      <c r="K788" s="13">
        <f t="shared" si="60"/>
        <v>1</v>
      </c>
      <c r="L788" s="13">
        <f t="shared" si="61"/>
        <v>0</v>
      </c>
      <c r="M788" s="13">
        <f>IF(AND(L788=0,COUNTIFS($B$2:$B$1534,B788,$G$2:$G$1534,G788,$E$2:$E$1534,"&gt;="&amp;(E788-Assumptions!$B$5),$E$2:$E$1534,"&lt;="&amp;(E788+Assumptions!$B$5))&gt;1),1,0)</f>
        <v>0</v>
      </c>
      <c r="N788" s="13">
        <f>IF(AND(G788&gt;=Assumptions!$B$4*(1-Assumptions!$B$6),G788&lt;Assumptions!$B$4),1,0)</f>
        <v>0</v>
      </c>
      <c r="O788" s="13">
        <f>IF(AND(G788&gt;=Assumptions!$B$7,MOD(G788,Assumptions!$B$7)=0),1,0)</f>
        <v>0</v>
      </c>
      <c r="P788" s="13">
        <f t="shared" si="62"/>
        <v>0</v>
      </c>
      <c r="Q788" s="13">
        <f t="shared" si="63"/>
        <v>0</v>
      </c>
      <c r="R788" s="13">
        <f>L788*Assumptions!$B$11+M788*Assumptions!$B$12+N788*Assumptions!$B$13+O788*Assumptions!$B$14+P788*Assumptions!$B$15+Q788*Assumptions!$B$16</f>
        <v>0</v>
      </c>
      <c r="S788" s="13" t="str">
        <f>IF(R788&gt;=Assumptions!$B$20,"High",IF(R788&gt;=Assumptions!$B$21,"Medium",IF(R788&gt;=1,"Low","Clear")))</f>
        <v>Clear</v>
      </c>
      <c r="T788" s="13" t="str">
        <f t="shared" si="64"/>
        <v/>
      </c>
    </row>
    <row r="789" spans="1:20" x14ac:dyDescent="0.35">
      <c r="A789" s="13" t="s">
        <v>3232</v>
      </c>
      <c r="B789" s="13" t="s">
        <v>131</v>
      </c>
      <c r="C789" s="13" t="s">
        <v>132</v>
      </c>
      <c r="D789" s="13" t="s">
        <v>3233</v>
      </c>
      <c r="E789" s="14">
        <v>45951</v>
      </c>
      <c r="F789" s="14">
        <v>45973</v>
      </c>
      <c r="G789" s="15">
        <v>13156.94</v>
      </c>
      <c r="H789" s="13" t="s">
        <v>3234</v>
      </c>
      <c r="I789" s="13" t="s">
        <v>3235</v>
      </c>
      <c r="J789" s="13" t="s">
        <v>91</v>
      </c>
      <c r="K789" s="13">
        <f t="shared" si="60"/>
        <v>1</v>
      </c>
      <c r="L789" s="13">
        <f t="shared" si="61"/>
        <v>0</v>
      </c>
      <c r="M789" s="13">
        <f>IF(AND(L789=0,COUNTIFS($B$2:$B$1534,B789,$G$2:$G$1534,G789,$E$2:$E$1534,"&gt;="&amp;(E789-Assumptions!$B$5),$E$2:$E$1534,"&lt;="&amp;(E789+Assumptions!$B$5))&gt;1),1,0)</f>
        <v>0</v>
      </c>
      <c r="N789" s="13">
        <f>IF(AND(G789&gt;=Assumptions!$B$4*(1-Assumptions!$B$6),G789&lt;Assumptions!$B$4),1,0)</f>
        <v>0</v>
      </c>
      <c r="O789" s="13">
        <f>IF(AND(G789&gt;=Assumptions!$B$7,MOD(G789,Assumptions!$B$7)=0),1,0)</f>
        <v>0</v>
      </c>
      <c r="P789" s="13">
        <f t="shared" si="62"/>
        <v>0</v>
      </c>
      <c r="Q789" s="13">
        <f t="shared" si="63"/>
        <v>0</v>
      </c>
      <c r="R789" s="13">
        <f>L789*Assumptions!$B$11+M789*Assumptions!$B$12+N789*Assumptions!$B$13+O789*Assumptions!$B$14+P789*Assumptions!$B$15+Q789*Assumptions!$B$16</f>
        <v>0</v>
      </c>
      <c r="S789" s="13" t="str">
        <f>IF(R789&gt;=Assumptions!$B$20,"High",IF(R789&gt;=Assumptions!$B$21,"Medium",IF(R789&gt;=1,"Low","Clear")))</f>
        <v>Clear</v>
      </c>
      <c r="T789" s="13" t="str">
        <f t="shared" si="64"/>
        <v/>
      </c>
    </row>
    <row r="790" spans="1:20" x14ac:dyDescent="0.35">
      <c r="A790" s="13" t="s">
        <v>3236</v>
      </c>
      <c r="B790" s="13" t="s">
        <v>307</v>
      </c>
      <c r="C790" s="13" t="s">
        <v>308</v>
      </c>
      <c r="D790" s="13" t="s">
        <v>3237</v>
      </c>
      <c r="E790" s="14">
        <v>45949</v>
      </c>
      <c r="F790" s="14">
        <v>45973</v>
      </c>
      <c r="G790" s="15">
        <v>1833.94</v>
      </c>
      <c r="H790" s="13" t="s">
        <v>3238</v>
      </c>
      <c r="I790" s="13" t="s">
        <v>3239</v>
      </c>
      <c r="J790" s="13" t="s">
        <v>136</v>
      </c>
      <c r="K790" s="13">
        <f t="shared" si="60"/>
        <v>1</v>
      </c>
      <c r="L790" s="13">
        <f t="shared" si="61"/>
        <v>0</v>
      </c>
      <c r="M790" s="13">
        <f>IF(AND(L790=0,COUNTIFS($B$2:$B$1534,B790,$G$2:$G$1534,G790,$E$2:$E$1534,"&gt;="&amp;(E790-Assumptions!$B$5),$E$2:$E$1534,"&lt;="&amp;(E790+Assumptions!$B$5))&gt;1),1,0)</f>
        <v>0</v>
      </c>
      <c r="N790" s="13">
        <f>IF(AND(G790&gt;=Assumptions!$B$4*(1-Assumptions!$B$6),G790&lt;Assumptions!$B$4),1,0)</f>
        <v>0</v>
      </c>
      <c r="O790" s="13">
        <f>IF(AND(G790&gt;=Assumptions!$B$7,MOD(G790,Assumptions!$B$7)=0),1,0)</f>
        <v>0</v>
      </c>
      <c r="P790" s="13">
        <f t="shared" si="62"/>
        <v>0</v>
      </c>
      <c r="Q790" s="13">
        <f t="shared" si="63"/>
        <v>0</v>
      </c>
      <c r="R790" s="13">
        <f>L790*Assumptions!$B$11+M790*Assumptions!$B$12+N790*Assumptions!$B$13+O790*Assumptions!$B$14+P790*Assumptions!$B$15+Q790*Assumptions!$B$16</f>
        <v>0</v>
      </c>
      <c r="S790" s="13" t="str">
        <f>IF(R790&gt;=Assumptions!$B$20,"High",IF(R790&gt;=Assumptions!$B$21,"Medium",IF(R790&gt;=1,"Low","Clear")))</f>
        <v>Clear</v>
      </c>
      <c r="T790" s="13" t="str">
        <f t="shared" si="64"/>
        <v/>
      </c>
    </row>
    <row r="791" spans="1:20" x14ac:dyDescent="0.35">
      <c r="A791" s="13" t="s">
        <v>3240</v>
      </c>
      <c r="B791" s="13" t="s">
        <v>323</v>
      </c>
      <c r="C791" s="13" t="s">
        <v>324</v>
      </c>
      <c r="D791" s="13" t="s">
        <v>3241</v>
      </c>
      <c r="E791" s="14">
        <v>45946</v>
      </c>
      <c r="F791" s="14">
        <v>45973</v>
      </c>
      <c r="G791" s="15">
        <v>502034.14</v>
      </c>
      <c r="H791" s="13" t="s">
        <v>3242</v>
      </c>
      <c r="I791" s="13" t="s">
        <v>3243</v>
      </c>
      <c r="J791" s="13" t="s">
        <v>111</v>
      </c>
      <c r="K791" s="13">
        <f t="shared" si="60"/>
        <v>5</v>
      </c>
      <c r="L791" s="13">
        <f t="shared" si="61"/>
        <v>0</v>
      </c>
      <c r="M791" s="13">
        <f>IF(AND(L791=0,COUNTIFS($B$2:$B$1534,B791,$G$2:$G$1534,G791,$E$2:$E$1534,"&gt;="&amp;(E791-Assumptions!$B$5),$E$2:$E$1534,"&lt;="&amp;(E791+Assumptions!$B$5))&gt;1),1,0)</f>
        <v>0</v>
      </c>
      <c r="N791" s="13">
        <f>IF(AND(G791&gt;=Assumptions!$B$4*(1-Assumptions!$B$6),G791&lt;Assumptions!$B$4),1,0)</f>
        <v>0</v>
      </c>
      <c r="O791" s="13">
        <f>IF(AND(G791&gt;=Assumptions!$B$7,MOD(G791,Assumptions!$B$7)=0),1,0)</f>
        <v>0</v>
      </c>
      <c r="P791" s="13">
        <f t="shared" si="62"/>
        <v>0</v>
      </c>
      <c r="Q791" s="13">
        <f t="shared" si="63"/>
        <v>0</v>
      </c>
      <c r="R791" s="13">
        <f>L791*Assumptions!$B$11+M791*Assumptions!$B$12+N791*Assumptions!$B$13+O791*Assumptions!$B$14+P791*Assumptions!$B$15+Q791*Assumptions!$B$16</f>
        <v>0</v>
      </c>
      <c r="S791" s="13" t="str">
        <f>IF(R791&gt;=Assumptions!$B$20,"High",IF(R791&gt;=Assumptions!$B$21,"Medium",IF(R791&gt;=1,"Low","Clear")))</f>
        <v>Clear</v>
      </c>
      <c r="T791" s="13" t="str">
        <f t="shared" si="64"/>
        <v/>
      </c>
    </row>
    <row r="792" spans="1:20" x14ac:dyDescent="0.35">
      <c r="A792" s="13" t="s">
        <v>3244</v>
      </c>
      <c r="B792" s="13" t="s">
        <v>357</v>
      </c>
      <c r="C792" s="13" t="s">
        <v>358</v>
      </c>
      <c r="D792" s="13" t="s">
        <v>3245</v>
      </c>
      <c r="E792" s="14">
        <v>45942</v>
      </c>
      <c r="F792" s="14">
        <v>45973</v>
      </c>
      <c r="G792" s="15">
        <v>68245.69</v>
      </c>
      <c r="H792" s="13" t="s">
        <v>3246</v>
      </c>
      <c r="I792" s="13" t="s">
        <v>3247</v>
      </c>
      <c r="J792" s="13" t="s">
        <v>98</v>
      </c>
      <c r="K792" s="13">
        <f t="shared" si="60"/>
        <v>6</v>
      </c>
      <c r="L792" s="13">
        <f t="shared" si="61"/>
        <v>0</v>
      </c>
      <c r="M792" s="13">
        <f>IF(AND(L792=0,COUNTIFS($B$2:$B$1534,B792,$G$2:$G$1534,G792,$E$2:$E$1534,"&gt;="&amp;(E792-Assumptions!$B$5),$E$2:$E$1534,"&lt;="&amp;(E792+Assumptions!$B$5))&gt;1),1,0)</f>
        <v>0</v>
      </c>
      <c r="N792" s="13">
        <f>IF(AND(G792&gt;=Assumptions!$B$4*(1-Assumptions!$B$6),G792&lt;Assumptions!$B$4),1,0)</f>
        <v>0</v>
      </c>
      <c r="O792" s="13">
        <f>IF(AND(G792&gt;=Assumptions!$B$7,MOD(G792,Assumptions!$B$7)=0),1,0)</f>
        <v>0</v>
      </c>
      <c r="P792" s="13">
        <f t="shared" si="62"/>
        <v>0</v>
      </c>
      <c r="Q792" s="13">
        <f t="shared" si="63"/>
        <v>0</v>
      </c>
      <c r="R792" s="13">
        <f>L792*Assumptions!$B$11+M792*Assumptions!$B$12+N792*Assumptions!$B$13+O792*Assumptions!$B$14+P792*Assumptions!$B$15+Q792*Assumptions!$B$16</f>
        <v>0</v>
      </c>
      <c r="S792" s="13" t="str">
        <f>IF(R792&gt;=Assumptions!$B$20,"High",IF(R792&gt;=Assumptions!$B$21,"Medium",IF(R792&gt;=1,"Low","Clear")))</f>
        <v>Clear</v>
      </c>
      <c r="T792" s="13" t="str">
        <f t="shared" si="64"/>
        <v/>
      </c>
    </row>
    <row r="793" spans="1:20" x14ac:dyDescent="0.35">
      <c r="A793" s="13" t="s">
        <v>3248</v>
      </c>
      <c r="B793" s="13" t="s">
        <v>391</v>
      </c>
      <c r="C793" s="13" t="s">
        <v>392</v>
      </c>
      <c r="D793" s="13" t="s">
        <v>3249</v>
      </c>
      <c r="E793" s="14">
        <v>45946</v>
      </c>
      <c r="F793" s="14">
        <v>45974</v>
      </c>
      <c r="G793" s="15">
        <v>97486.6</v>
      </c>
      <c r="H793" s="13" t="s">
        <v>3250</v>
      </c>
      <c r="I793" s="13" t="s">
        <v>3251</v>
      </c>
      <c r="J793" s="13" t="s">
        <v>111</v>
      </c>
      <c r="K793" s="13">
        <f t="shared" si="60"/>
        <v>9</v>
      </c>
      <c r="L793" s="13">
        <f t="shared" si="61"/>
        <v>0</v>
      </c>
      <c r="M793" s="13">
        <f>IF(AND(L793=0,COUNTIFS($B$2:$B$1534,B793,$G$2:$G$1534,G793,$E$2:$E$1534,"&gt;="&amp;(E793-Assumptions!$B$5),$E$2:$E$1534,"&lt;="&amp;(E793+Assumptions!$B$5))&gt;1),1,0)</f>
        <v>0</v>
      </c>
      <c r="N793" s="13">
        <f>IF(AND(G793&gt;=Assumptions!$B$4*(1-Assumptions!$B$6),G793&lt;Assumptions!$B$4),1,0)</f>
        <v>0</v>
      </c>
      <c r="O793" s="13">
        <f>IF(AND(G793&gt;=Assumptions!$B$7,MOD(G793,Assumptions!$B$7)=0),1,0)</f>
        <v>0</v>
      </c>
      <c r="P793" s="13">
        <f t="shared" si="62"/>
        <v>0</v>
      </c>
      <c r="Q793" s="13">
        <f t="shared" si="63"/>
        <v>0</v>
      </c>
      <c r="R793" s="13">
        <f>L793*Assumptions!$B$11+M793*Assumptions!$B$12+N793*Assumptions!$B$13+O793*Assumptions!$B$14+P793*Assumptions!$B$15+Q793*Assumptions!$B$16</f>
        <v>0</v>
      </c>
      <c r="S793" s="13" t="str">
        <f>IF(R793&gt;=Assumptions!$B$20,"High",IF(R793&gt;=Assumptions!$B$21,"Medium",IF(R793&gt;=1,"Low","Clear")))</f>
        <v>Clear</v>
      </c>
      <c r="T793" s="13" t="str">
        <f t="shared" si="64"/>
        <v/>
      </c>
    </row>
    <row r="794" spans="1:20" x14ac:dyDescent="0.35">
      <c r="A794" s="13" t="s">
        <v>3252</v>
      </c>
      <c r="B794" s="13" t="s">
        <v>86</v>
      </c>
      <c r="C794" s="13" t="s">
        <v>87</v>
      </c>
      <c r="D794" s="13" t="s">
        <v>3253</v>
      </c>
      <c r="E794" s="14">
        <v>45954</v>
      </c>
      <c r="F794" s="14">
        <v>45974</v>
      </c>
      <c r="G794" s="15">
        <v>4844.57</v>
      </c>
      <c r="H794" s="13" t="s">
        <v>3254</v>
      </c>
      <c r="I794" s="13" t="s">
        <v>3255</v>
      </c>
      <c r="J794" s="13" t="s">
        <v>143</v>
      </c>
      <c r="K794" s="13">
        <f t="shared" si="60"/>
        <v>4</v>
      </c>
      <c r="L794" s="13">
        <f t="shared" si="61"/>
        <v>0</v>
      </c>
      <c r="M794" s="13">
        <f>IF(AND(L794=0,COUNTIFS($B$2:$B$1534,B794,$G$2:$G$1534,G794,$E$2:$E$1534,"&gt;="&amp;(E794-Assumptions!$B$5),$E$2:$E$1534,"&lt;="&amp;(E794+Assumptions!$B$5))&gt;1),1,0)</f>
        <v>0</v>
      </c>
      <c r="N794" s="13">
        <f>IF(AND(G794&gt;=Assumptions!$B$4*(1-Assumptions!$B$6),G794&lt;Assumptions!$B$4),1,0)</f>
        <v>0</v>
      </c>
      <c r="O794" s="13">
        <f>IF(AND(G794&gt;=Assumptions!$B$7,MOD(G794,Assumptions!$B$7)=0),1,0)</f>
        <v>0</v>
      </c>
      <c r="P794" s="13">
        <f t="shared" si="62"/>
        <v>0</v>
      </c>
      <c r="Q794" s="13">
        <f t="shared" si="63"/>
        <v>0</v>
      </c>
      <c r="R794" s="13">
        <f>L794*Assumptions!$B$11+M794*Assumptions!$B$12+N794*Assumptions!$B$13+O794*Assumptions!$B$14+P794*Assumptions!$B$15+Q794*Assumptions!$B$16</f>
        <v>0</v>
      </c>
      <c r="S794" s="13" t="str">
        <f>IF(R794&gt;=Assumptions!$B$20,"High",IF(R794&gt;=Assumptions!$B$21,"Medium",IF(R794&gt;=1,"Low","Clear")))</f>
        <v>Clear</v>
      </c>
      <c r="T794" s="13" t="str">
        <f t="shared" si="64"/>
        <v/>
      </c>
    </row>
    <row r="795" spans="1:20" x14ac:dyDescent="0.35">
      <c r="A795" s="13" t="s">
        <v>3256</v>
      </c>
      <c r="B795" s="13" t="s">
        <v>86</v>
      </c>
      <c r="C795" s="13" t="s">
        <v>87</v>
      </c>
      <c r="D795" s="13" t="s">
        <v>3257</v>
      </c>
      <c r="E795" s="14">
        <v>45951</v>
      </c>
      <c r="F795" s="14">
        <v>45974</v>
      </c>
      <c r="G795" s="15">
        <v>1934.91</v>
      </c>
      <c r="H795" s="13" t="s">
        <v>3258</v>
      </c>
      <c r="I795" s="13" t="s">
        <v>3259</v>
      </c>
      <c r="J795" s="13" t="s">
        <v>111</v>
      </c>
      <c r="K795" s="13">
        <f t="shared" si="60"/>
        <v>1</v>
      </c>
      <c r="L795" s="13">
        <f t="shared" si="61"/>
        <v>0</v>
      </c>
      <c r="M795" s="13">
        <f>IF(AND(L795=0,COUNTIFS($B$2:$B$1534,B795,$G$2:$G$1534,G795,$E$2:$E$1534,"&gt;="&amp;(E795-Assumptions!$B$5),$E$2:$E$1534,"&lt;="&amp;(E795+Assumptions!$B$5))&gt;1),1,0)</f>
        <v>0</v>
      </c>
      <c r="N795" s="13">
        <f>IF(AND(G795&gt;=Assumptions!$B$4*(1-Assumptions!$B$6),G795&lt;Assumptions!$B$4),1,0)</f>
        <v>0</v>
      </c>
      <c r="O795" s="13">
        <f>IF(AND(G795&gt;=Assumptions!$B$7,MOD(G795,Assumptions!$B$7)=0),1,0)</f>
        <v>0</v>
      </c>
      <c r="P795" s="13">
        <f t="shared" si="62"/>
        <v>0</v>
      </c>
      <c r="Q795" s="13">
        <f t="shared" si="63"/>
        <v>0</v>
      </c>
      <c r="R795" s="13">
        <f>L795*Assumptions!$B$11+M795*Assumptions!$B$12+N795*Assumptions!$B$13+O795*Assumptions!$B$14+P795*Assumptions!$B$15+Q795*Assumptions!$B$16</f>
        <v>0</v>
      </c>
      <c r="S795" s="13" t="str">
        <f>IF(R795&gt;=Assumptions!$B$20,"High",IF(R795&gt;=Assumptions!$B$21,"Medium",IF(R795&gt;=1,"Low","Clear")))</f>
        <v>Clear</v>
      </c>
      <c r="T795" s="13" t="str">
        <f t="shared" si="64"/>
        <v/>
      </c>
    </row>
    <row r="796" spans="1:20" x14ac:dyDescent="0.35">
      <c r="A796" s="13" t="s">
        <v>3260</v>
      </c>
      <c r="B796" s="13" t="s">
        <v>93</v>
      </c>
      <c r="C796" s="13" t="s">
        <v>94</v>
      </c>
      <c r="D796" s="13" t="s">
        <v>3261</v>
      </c>
      <c r="E796" s="14">
        <v>45936</v>
      </c>
      <c r="F796" s="14">
        <v>45974</v>
      </c>
      <c r="G796" s="15">
        <v>898089.01</v>
      </c>
      <c r="H796" s="13" t="s">
        <v>3262</v>
      </c>
      <c r="I796" s="13" t="s">
        <v>3263</v>
      </c>
      <c r="J796" s="13" t="s">
        <v>98</v>
      </c>
      <c r="K796" s="13">
        <f t="shared" si="60"/>
        <v>8</v>
      </c>
      <c r="L796" s="13">
        <f t="shared" si="61"/>
        <v>0</v>
      </c>
      <c r="M796" s="13">
        <f>IF(AND(L796=0,COUNTIFS($B$2:$B$1534,B796,$G$2:$G$1534,G796,$E$2:$E$1534,"&gt;="&amp;(E796-Assumptions!$B$5),$E$2:$E$1534,"&lt;="&amp;(E796+Assumptions!$B$5))&gt;1),1,0)</f>
        <v>0</v>
      </c>
      <c r="N796" s="13">
        <f>IF(AND(G796&gt;=Assumptions!$B$4*(1-Assumptions!$B$6),G796&lt;Assumptions!$B$4),1,0)</f>
        <v>0</v>
      </c>
      <c r="O796" s="13">
        <f>IF(AND(G796&gt;=Assumptions!$B$7,MOD(G796,Assumptions!$B$7)=0),1,0)</f>
        <v>0</v>
      </c>
      <c r="P796" s="13">
        <f t="shared" si="62"/>
        <v>0</v>
      </c>
      <c r="Q796" s="13">
        <f t="shared" si="63"/>
        <v>0</v>
      </c>
      <c r="R796" s="13">
        <f>L796*Assumptions!$B$11+M796*Assumptions!$B$12+N796*Assumptions!$B$13+O796*Assumptions!$B$14+P796*Assumptions!$B$15+Q796*Assumptions!$B$16</f>
        <v>0</v>
      </c>
      <c r="S796" s="13" t="str">
        <f>IF(R796&gt;=Assumptions!$B$20,"High",IF(R796&gt;=Assumptions!$B$21,"Medium",IF(R796&gt;=1,"Low","Clear")))</f>
        <v>Clear</v>
      </c>
      <c r="T796" s="13" t="str">
        <f t="shared" si="64"/>
        <v/>
      </c>
    </row>
    <row r="797" spans="1:20" x14ac:dyDescent="0.35">
      <c r="A797" s="13" t="s">
        <v>3264</v>
      </c>
      <c r="B797" s="13" t="s">
        <v>206</v>
      </c>
      <c r="C797" s="13" t="s">
        <v>207</v>
      </c>
      <c r="D797" s="13" t="s">
        <v>3265</v>
      </c>
      <c r="E797" s="14">
        <v>45946</v>
      </c>
      <c r="F797" s="14">
        <v>45974</v>
      </c>
      <c r="G797" s="15">
        <v>3462.96</v>
      </c>
      <c r="H797" s="13" t="s">
        <v>3266</v>
      </c>
      <c r="I797" s="13" t="s">
        <v>3267</v>
      </c>
      <c r="J797" s="13" t="s">
        <v>143</v>
      </c>
      <c r="K797" s="13">
        <f t="shared" si="60"/>
        <v>3</v>
      </c>
      <c r="L797" s="13">
        <f t="shared" si="61"/>
        <v>0</v>
      </c>
      <c r="M797" s="13">
        <f>IF(AND(L797=0,COUNTIFS($B$2:$B$1534,B797,$G$2:$G$1534,G797,$E$2:$E$1534,"&gt;="&amp;(E797-Assumptions!$B$5),$E$2:$E$1534,"&lt;="&amp;(E797+Assumptions!$B$5))&gt;1),1,0)</f>
        <v>0</v>
      </c>
      <c r="N797" s="13">
        <f>IF(AND(G797&gt;=Assumptions!$B$4*(1-Assumptions!$B$6),G797&lt;Assumptions!$B$4),1,0)</f>
        <v>0</v>
      </c>
      <c r="O797" s="13">
        <f>IF(AND(G797&gt;=Assumptions!$B$7,MOD(G797,Assumptions!$B$7)=0),1,0)</f>
        <v>0</v>
      </c>
      <c r="P797" s="13">
        <f t="shared" si="62"/>
        <v>0</v>
      </c>
      <c r="Q797" s="13">
        <f t="shared" si="63"/>
        <v>0</v>
      </c>
      <c r="R797" s="13">
        <f>L797*Assumptions!$B$11+M797*Assumptions!$B$12+N797*Assumptions!$B$13+O797*Assumptions!$B$14+P797*Assumptions!$B$15+Q797*Assumptions!$B$16</f>
        <v>0</v>
      </c>
      <c r="S797" s="13" t="str">
        <f>IF(R797&gt;=Assumptions!$B$20,"High",IF(R797&gt;=Assumptions!$B$21,"Medium",IF(R797&gt;=1,"Low","Clear")))</f>
        <v>Clear</v>
      </c>
      <c r="T797" s="13" t="str">
        <f t="shared" si="64"/>
        <v/>
      </c>
    </row>
    <row r="798" spans="1:20" x14ac:dyDescent="0.35">
      <c r="A798" s="13" t="s">
        <v>3268</v>
      </c>
      <c r="B798" s="13" t="s">
        <v>138</v>
      </c>
      <c r="C798" s="13" t="s">
        <v>139</v>
      </c>
      <c r="D798" s="13" t="s">
        <v>3269</v>
      </c>
      <c r="E798" s="14">
        <v>45939</v>
      </c>
      <c r="F798" s="14">
        <v>45974</v>
      </c>
      <c r="G798" s="15">
        <v>36031.06</v>
      </c>
      <c r="H798" s="13" t="s">
        <v>3270</v>
      </c>
      <c r="I798" s="13" t="s">
        <v>3271</v>
      </c>
      <c r="J798" s="13" t="s">
        <v>136</v>
      </c>
      <c r="K798" s="13">
        <f t="shared" si="60"/>
        <v>3</v>
      </c>
      <c r="L798" s="13">
        <f t="shared" si="61"/>
        <v>0</v>
      </c>
      <c r="M798" s="13">
        <f>IF(AND(L798=0,COUNTIFS($B$2:$B$1534,B798,$G$2:$G$1534,G798,$E$2:$E$1534,"&gt;="&amp;(E798-Assumptions!$B$5),$E$2:$E$1534,"&lt;="&amp;(E798+Assumptions!$B$5))&gt;1),1,0)</f>
        <v>0</v>
      </c>
      <c r="N798" s="13">
        <f>IF(AND(G798&gt;=Assumptions!$B$4*(1-Assumptions!$B$6),G798&lt;Assumptions!$B$4),1,0)</f>
        <v>0</v>
      </c>
      <c r="O798" s="13">
        <f>IF(AND(G798&gt;=Assumptions!$B$7,MOD(G798,Assumptions!$B$7)=0),1,0)</f>
        <v>0</v>
      </c>
      <c r="P798" s="13">
        <f t="shared" si="62"/>
        <v>0</v>
      </c>
      <c r="Q798" s="13">
        <f t="shared" si="63"/>
        <v>0</v>
      </c>
      <c r="R798" s="13">
        <f>L798*Assumptions!$B$11+M798*Assumptions!$B$12+N798*Assumptions!$B$13+O798*Assumptions!$B$14+P798*Assumptions!$B$15+Q798*Assumptions!$B$16</f>
        <v>0</v>
      </c>
      <c r="S798" s="13" t="str">
        <f>IF(R798&gt;=Assumptions!$B$20,"High",IF(R798&gt;=Assumptions!$B$21,"Medium",IF(R798&gt;=1,"Low","Clear")))</f>
        <v>Clear</v>
      </c>
      <c r="T798" s="13" t="str">
        <f t="shared" si="64"/>
        <v/>
      </c>
    </row>
    <row r="799" spans="1:20" x14ac:dyDescent="0.35">
      <c r="A799" s="13" t="s">
        <v>3272</v>
      </c>
      <c r="B799" s="13" t="s">
        <v>293</v>
      </c>
      <c r="C799" s="13" t="s">
        <v>294</v>
      </c>
      <c r="D799" s="13" t="s">
        <v>3273</v>
      </c>
      <c r="E799" s="14">
        <v>45937</v>
      </c>
      <c r="F799" s="14">
        <v>45975</v>
      </c>
      <c r="G799" s="15">
        <v>45454.33</v>
      </c>
      <c r="H799" s="13" t="s">
        <v>3274</v>
      </c>
      <c r="I799" s="13" t="s">
        <v>3275</v>
      </c>
      <c r="J799" s="13" t="s">
        <v>111</v>
      </c>
      <c r="K799" s="13">
        <f t="shared" si="60"/>
        <v>4</v>
      </c>
      <c r="L799" s="13">
        <f t="shared" si="61"/>
        <v>0</v>
      </c>
      <c r="M799" s="13">
        <f>IF(AND(L799=0,COUNTIFS($B$2:$B$1534,B799,$G$2:$G$1534,G799,$E$2:$E$1534,"&gt;="&amp;(E799-Assumptions!$B$5),$E$2:$E$1534,"&lt;="&amp;(E799+Assumptions!$B$5))&gt;1),1,0)</f>
        <v>0</v>
      </c>
      <c r="N799" s="13">
        <f>IF(AND(G799&gt;=Assumptions!$B$4*(1-Assumptions!$B$6),G799&lt;Assumptions!$B$4),1,0)</f>
        <v>0</v>
      </c>
      <c r="O799" s="13">
        <f>IF(AND(G799&gt;=Assumptions!$B$7,MOD(G799,Assumptions!$B$7)=0),1,0)</f>
        <v>0</v>
      </c>
      <c r="P799" s="13">
        <f t="shared" si="62"/>
        <v>0</v>
      </c>
      <c r="Q799" s="13">
        <f t="shared" si="63"/>
        <v>0</v>
      </c>
      <c r="R799" s="13">
        <f>L799*Assumptions!$B$11+M799*Assumptions!$B$12+N799*Assumptions!$B$13+O799*Assumptions!$B$14+P799*Assumptions!$B$15+Q799*Assumptions!$B$16</f>
        <v>0</v>
      </c>
      <c r="S799" s="13" t="str">
        <f>IF(R799&gt;=Assumptions!$B$20,"High",IF(R799&gt;=Assumptions!$B$21,"Medium",IF(R799&gt;=1,"Low","Clear")))</f>
        <v>Clear</v>
      </c>
      <c r="T799" s="13" t="str">
        <f t="shared" si="64"/>
        <v/>
      </c>
    </row>
    <row r="800" spans="1:20" x14ac:dyDescent="0.35">
      <c r="A800" s="13" t="s">
        <v>3276</v>
      </c>
      <c r="B800" s="13" t="s">
        <v>188</v>
      </c>
      <c r="C800" s="13" t="s">
        <v>189</v>
      </c>
      <c r="D800" s="13" t="s">
        <v>3277</v>
      </c>
      <c r="E800" s="14">
        <v>45943</v>
      </c>
      <c r="F800" s="14">
        <v>45975</v>
      </c>
      <c r="G800" s="15">
        <v>17770.46</v>
      </c>
      <c r="H800" s="13" t="s">
        <v>3278</v>
      </c>
      <c r="I800" s="13" t="s">
        <v>3279</v>
      </c>
      <c r="J800" s="13" t="s">
        <v>91</v>
      </c>
      <c r="K800" s="13">
        <f t="shared" si="60"/>
        <v>1</v>
      </c>
      <c r="L800" s="13">
        <f t="shared" si="61"/>
        <v>0</v>
      </c>
      <c r="M800" s="13">
        <f>IF(AND(L800=0,COUNTIFS($B$2:$B$1534,B800,$G$2:$G$1534,G800,$E$2:$E$1534,"&gt;="&amp;(E800-Assumptions!$B$5),$E$2:$E$1534,"&lt;="&amp;(E800+Assumptions!$B$5))&gt;1),1,0)</f>
        <v>0</v>
      </c>
      <c r="N800" s="13">
        <f>IF(AND(G800&gt;=Assumptions!$B$4*(1-Assumptions!$B$6),G800&lt;Assumptions!$B$4),1,0)</f>
        <v>0</v>
      </c>
      <c r="O800" s="13">
        <f>IF(AND(G800&gt;=Assumptions!$B$7,MOD(G800,Assumptions!$B$7)=0),1,0)</f>
        <v>0</v>
      </c>
      <c r="P800" s="13">
        <f t="shared" si="62"/>
        <v>0</v>
      </c>
      <c r="Q800" s="13">
        <f t="shared" si="63"/>
        <v>0</v>
      </c>
      <c r="R800" s="13">
        <f>L800*Assumptions!$B$11+M800*Assumptions!$B$12+N800*Assumptions!$B$13+O800*Assumptions!$B$14+P800*Assumptions!$B$15+Q800*Assumptions!$B$16</f>
        <v>0</v>
      </c>
      <c r="S800" s="13" t="str">
        <f>IF(R800&gt;=Assumptions!$B$20,"High",IF(R800&gt;=Assumptions!$B$21,"Medium",IF(R800&gt;=1,"Low","Clear")))</f>
        <v>Clear</v>
      </c>
      <c r="T800" s="13" t="str">
        <f t="shared" si="64"/>
        <v/>
      </c>
    </row>
    <row r="801" spans="1:20" x14ac:dyDescent="0.35">
      <c r="A801" s="13" t="s">
        <v>3280</v>
      </c>
      <c r="B801" s="13" t="s">
        <v>409</v>
      </c>
      <c r="C801" s="13" t="s">
        <v>410</v>
      </c>
      <c r="D801" s="13" t="s">
        <v>3281</v>
      </c>
      <c r="E801" s="14">
        <v>45951</v>
      </c>
      <c r="F801" s="14">
        <v>45975</v>
      </c>
      <c r="G801" s="15">
        <v>5106.5</v>
      </c>
      <c r="H801" s="13" t="s">
        <v>3282</v>
      </c>
      <c r="I801" s="13" t="s">
        <v>3283</v>
      </c>
      <c r="J801" s="13" t="s">
        <v>111</v>
      </c>
      <c r="K801" s="13">
        <f t="shared" si="60"/>
        <v>5</v>
      </c>
      <c r="L801" s="13">
        <f t="shared" si="61"/>
        <v>0</v>
      </c>
      <c r="M801" s="13">
        <f>IF(AND(L801=0,COUNTIFS($B$2:$B$1534,B801,$G$2:$G$1534,G801,$E$2:$E$1534,"&gt;="&amp;(E801-Assumptions!$B$5),$E$2:$E$1534,"&lt;="&amp;(E801+Assumptions!$B$5))&gt;1),1,0)</f>
        <v>0</v>
      </c>
      <c r="N801" s="13">
        <f>IF(AND(G801&gt;=Assumptions!$B$4*(1-Assumptions!$B$6),G801&lt;Assumptions!$B$4),1,0)</f>
        <v>0</v>
      </c>
      <c r="O801" s="13">
        <f>IF(AND(G801&gt;=Assumptions!$B$7,MOD(G801,Assumptions!$B$7)=0),1,0)</f>
        <v>0</v>
      </c>
      <c r="P801" s="13">
        <f t="shared" si="62"/>
        <v>0</v>
      </c>
      <c r="Q801" s="13">
        <f t="shared" si="63"/>
        <v>0</v>
      </c>
      <c r="R801" s="13">
        <f>L801*Assumptions!$B$11+M801*Assumptions!$B$12+N801*Assumptions!$B$13+O801*Assumptions!$B$14+P801*Assumptions!$B$15+Q801*Assumptions!$B$16</f>
        <v>0</v>
      </c>
      <c r="S801" s="13" t="str">
        <f>IF(R801&gt;=Assumptions!$B$20,"High",IF(R801&gt;=Assumptions!$B$21,"Medium",IF(R801&gt;=1,"Low","Clear")))</f>
        <v>Clear</v>
      </c>
      <c r="T801" s="13" t="str">
        <f t="shared" si="64"/>
        <v/>
      </c>
    </row>
    <row r="802" spans="1:20" x14ac:dyDescent="0.35">
      <c r="A802" s="13" t="s">
        <v>3284</v>
      </c>
      <c r="B802" s="13" t="s">
        <v>228</v>
      </c>
      <c r="C802" s="13" t="s">
        <v>229</v>
      </c>
      <c r="D802" s="13" t="s">
        <v>3285</v>
      </c>
      <c r="E802" s="14">
        <v>45951</v>
      </c>
      <c r="F802" s="14">
        <v>45975</v>
      </c>
      <c r="G802" s="15">
        <v>49392.37</v>
      </c>
      <c r="H802" s="13" t="s">
        <v>3286</v>
      </c>
      <c r="I802" s="13" t="s">
        <v>3287</v>
      </c>
      <c r="J802" s="13" t="s">
        <v>98</v>
      </c>
      <c r="K802" s="13">
        <f t="shared" si="60"/>
        <v>4</v>
      </c>
      <c r="L802" s="13">
        <f t="shared" si="61"/>
        <v>0</v>
      </c>
      <c r="M802" s="13">
        <f>IF(AND(L802=0,COUNTIFS($B$2:$B$1534,B802,$G$2:$G$1534,G802,$E$2:$E$1534,"&gt;="&amp;(E802-Assumptions!$B$5),$E$2:$E$1534,"&lt;="&amp;(E802+Assumptions!$B$5))&gt;1),1,0)</f>
        <v>0</v>
      </c>
      <c r="N802" s="13">
        <f>IF(AND(G802&gt;=Assumptions!$B$4*(1-Assumptions!$B$6),G802&lt;Assumptions!$B$4),1,0)</f>
        <v>1</v>
      </c>
      <c r="O802" s="13">
        <f>IF(AND(G802&gt;=Assumptions!$B$7,MOD(G802,Assumptions!$B$7)=0),1,0)</f>
        <v>0</v>
      </c>
      <c r="P802" s="13">
        <f t="shared" si="62"/>
        <v>0</v>
      </c>
      <c r="Q802" s="13">
        <f t="shared" si="63"/>
        <v>0</v>
      </c>
      <c r="R802" s="13">
        <f>L802*Assumptions!$B$11+M802*Assumptions!$B$12+N802*Assumptions!$B$13+O802*Assumptions!$B$14+P802*Assumptions!$B$15+Q802*Assumptions!$B$16</f>
        <v>3</v>
      </c>
      <c r="S802" s="13" t="str">
        <f>IF(R802&gt;=Assumptions!$B$20,"High",IF(R802&gt;=Assumptions!$B$21,"Medium",IF(R802&gt;=1,"Low","Clear")))</f>
        <v>Medium</v>
      </c>
      <c r="T802" s="13" t="str">
        <f t="shared" si="64"/>
        <v xml:space="preserve">Just below limit; </v>
      </c>
    </row>
    <row r="803" spans="1:20" x14ac:dyDescent="0.35">
      <c r="A803" s="13" t="s">
        <v>3288</v>
      </c>
      <c r="B803" s="13" t="s">
        <v>670</v>
      </c>
      <c r="C803" s="13" t="s">
        <v>671</v>
      </c>
      <c r="D803" s="13" t="s">
        <v>3289</v>
      </c>
      <c r="E803" s="14">
        <v>45944</v>
      </c>
      <c r="F803" s="14">
        <v>45975</v>
      </c>
      <c r="G803" s="15">
        <v>24891.93</v>
      </c>
      <c r="H803" s="13" t="s">
        <v>3290</v>
      </c>
      <c r="I803" s="13" t="s">
        <v>3291</v>
      </c>
      <c r="J803" s="13" t="s">
        <v>170</v>
      </c>
      <c r="K803" s="13">
        <f t="shared" si="60"/>
        <v>2</v>
      </c>
      <c r="L803" s="13">
        <f t="shared" si="61"/>
        <v>0</v>
      </c>
      <c r="M803" s="13">
        <f>IF(AND(L803=0,COUNTIFS($B$2:$B$1534,B803,$G$2:$G$1534,G803,$E$2:$E$1534,"&gt;="&amp;(E803-Assumptions!$B$5),$E$2:$E$1534,"&lt;="&amp;(E803+Assumptions!$B$5))&gt;1),1,0)</f>
        <v>0</v>
      </c>
      <c r="N803" s="13">
        <f>IF(AND(G803&gt;=Assumptions!$B$4*(1-Assumptions!$B$6),G803&lt;Assumptions!$B$4),1,0)</f>
        <v>0</v>
      </c>
      <c r="O803" s="13">
        <f>IF(AND(G803&gt;=Assumptions!$B$7,MOD(G803,Assumptions!$B$7)=0),1,0)</f>
        <v>0</v>
      </c>
      <c r="P803" s="13">
        <f t="shared" si="62"/>
        <v>0</v>
      </c>
      <c r="Q803" s="13">
        <f t="shared" si="63"/>
        <v>0</v>
      </c>
      <c r="R803" s="13">
        <f>L803*Assumptions!$B$11+M803*Assumptions!$B$12+N803*Assumptions!$B$13+O803*Assumptions!$B$14+P803*Assumptions!$B$15+Q803*Assumptions!$B$16</f>
        <v>0</v>
      </c>
      <c r="S803" s="13" t="str">
        <f>IF(R803&gt;=Assumptions!$B$20,"High",IF(R803&gt;=Assumptions!$B$21,"Medium",IF(R803&gt;=1,"Low","Clear")))</f>
        <v>Clear</v>
      </c>
      <c r="T803" s="13" t="str">
        <f t="shared" si="64"/>
        <v/>
      </c>
    </row>
    <row r="804" spans="1:20" x14ac:dyDescent="0.35">
      <c r="A804" s="13" t="s">
        <v>3292</v>
      </c>
      <c r="B804" s="13" t="s">
        <v>670</v>
      </c>
      <c r="C804" s="13" t="s">
        <v>671</v>
      </c>
      <c r="D804" s="13" t="s">
        <v>3293</v>
      </c>
      <c r="E804" s="14">
        <v>45939</v>
      </c>
      <c r="F804" s="14">
        <v>45975</v>
      </c>
      <c r="G804" s="15">
        <v>158078.14000000001</v>
      </c>
      <c r="H804" s="13" t="s">
        <v>3294</v>
      </c>
      <c r="I804" s="13" t="s">
        <v>3295</v>
      </c>
      <c r="J804" s="13" t="s">
        <v>143</v>
      </c>
      <c r="K804" s="13">
        <f t="shared" si="60"/>
        <v>1</v>
      </c>
      <c r="L804" s="13">
        <f t="shared" si="61"/>
        <v>0</v>
      </c>
      <c r="M804" s="13">
        <f>IF(AND(L804=0,COUNTIFS($B$2:$B$1534,B804,$G$2:$G$1534,G804,$E$2:$E$1534,"&gt;="&amp;(E804-Assumptions!$B$5),$E$2:$E$1534,"&lt;="&amp;(E804+Assumptions!$B$5))&gt;1),1,0)</f>
        <v>0</v>
      </c>
      <c r="N804" s="13">
        <f>IF(AND(G804&gt;=Assumptions!$B$4*(1-Assumptions!$B$6),G804&lt;Assumptions!$B$4),1,0)</f>
        <v>0</v>
      </c>
      <c r="O804" s="13">
        <f>IF(AND(G804&gt;=Assumptions!$B$7,MOD(G804,Assumptions!$B$7)=0),1,0)</f>
        <v>0</v>
      </c>
      <c r="P804" s="13">
        <f t="shared" si="62"/>
        <v>0</v>
      </c>
      <c r="Q804" s="13">
        <f t="shared" si="63"/>
        <v>0</v>
      </c>
      <c r="R804" s="13">
        <f>L804*Assumptions!$B$11+M804*Assumptions!$B$12+N804*Assumptions!$B$13+O804*Assumptions!$B$14+P804*Assumptions!$B$15+Q804*Assumptions!$B$16</f>
        <v>0</v>
      </c>
      <c r="S804" s="13" t="str">
        <f>IF(R804&gt;=Assumptions!$B$20,"High",IF(R804&gt;=Assumptions!$B$21,"Medium",IF(R804&gt;=1,"Low","Clear")))</f>
        <v>Clear</v>
      </c>
      <c r="T804" s="13" t="str">
        <f t="shared" si="64"/>
        <v/>
      </c>
    </row>
    <row r="805" spans="1:20" x14ac:dyDescent="0.35">
      <c r="A805" s="13" t="s">
        <v>3296</v>
      </c>
      <c r="B805" s="13" t="s">
        <v>339</v>
      </c>
      <c r="C805" s="13" t="s">
        <v>340</v>
      </c>
      <c r="D805" s="13" t="s">
        <v>3297</v>
      </c>
      <c r="E805" s="14">
        <v>45939</v>
      </c>
      <c r="F805" s="14">
        <v>45975</v>
      </c>
      <c r="G805" s="15">
        <v>256123.96</v>
      </c>
      <c r="H805" s="13" t="s">
        <v>3298</v>
      </c>
      <c r="I805" s="13" t="s">
        <v>3299</v>
      </c>
      <c r="J805" s="13" t="s">
        <v>111</v>
      </c>
      <c r="K805" s="13">
        <f t="shared" si="60"/>
        <v>2</v>
      </c>
      <c r="L805" s="13">
        <f t="shared" si="61"/>
        <v>0</v>
      </c>
      <c r="M805" s="13">
        <f>IF(AND(L805=0,COUNTIFS($B$2:$B$1534,B805,$G$2:$G$1534,G805,$E$2:$E$1534,"&gt;="&amp;(E805-Assumptions!$B$5),$E$2:$E$1534,"&lt;="&amp;(E805+Assumptions!$B$5))&gt;1),1,0)</f>
        <v>0</v>
      </c>
      <c r="N805" s="13">
        <f>IF(AND(G805&gt;=Assumptions!$B$4*(1-Assumptions!$B$6),G805&lt;Assumptions!$B$4),1,0)</f>
        <v>0</v>
      </c>
      <c r="O805" s="13">
        <f>IF(AND(G805&gt;=Assumptions!$B$7,MOD(G805,Assumptions!$B$7)=0),1,0)</f>
        <v>0</v>
      </c>
      <c r="P805" s="13">
        <f t="shared" si="62"/>
        <v>0</v>
      </c>
      <c r="Q805" s="13">
        <f t="shared" si="63"/>
        <v>0</v>
      </c>
      <c r="R805" s="13">
        <f>L805*Assumptions!$B$11+M805*Assumptions!$B$12+N805*Assumptions!$B$13+O805*Assumptions!$B$14+P805*Assumptions!$B$15+Q805*Assumptions!$B$16</f>
        <v>0</v>
      </c>
      <c r="S805" s="13" t="str">
        <f>IF(R805&gt;=Assumptions!$B$20,"High",IF(R805&gt;=Assumptions!$B$21,"Medium",IF(R805&gt;=1,"Low","Clear")))</f>
        <v>Clear</v>
      </c>
      <c r="T805" s="13" t="str">
        <f t="shared" si="64"/>
        <v/>
      </c>
    </row>
    <row r="806" spans="1:20" x14ac:dyDescent="0.35">
      <c r="A806" s="13" t="s">
        <v>3300</v>
      </c>
      <c r="B806" s="13" t="s">
        <v>438</v>
      </c>
      <c r="C806" s="13" t="s">
        <v>439</v>
      </c>
      <c r="D806" s="13" t="s">
        <v>3301</v>
      </c>
      <c r="E806" s="14">
        <v>45941</v>
      </c>
      <c r="F806" s="14">
        <v>45975</v>
      </c>
      <c r="G806" s="15">
        <v>628864.05000000005</v>
      </c>
      <c r="H806" s="13" t="s">
        <v>3302</v>
      </c>
      <c r="I806" s="13" t="s">
        <v>3303</v>
      </c>
      <c r="J806" s="13" t="s">
        <v>91</v>
      </c>
      <c r="K806" s="13">
        <f t="shared" si="60"/>
        <v>6</v>
      </c>
      <c r="L806" s="13">
        <f t="shared" si="61"/>
        <v>0</v>
      </c>
      <c r="M806" s="13">
        <f>IF(AND(L806=0,COUNTIFS($B$2:$B$1534,B806,$G$2:$G$1534,G806,$E$2:$E$1534,"&gt;="&amp;(E806-Assumptions!$B$5),$E$2:$E$1534,"&lt;="&amp;(E806+Assumptions!$B$5))&gt;1),1,0)</f>
        <v>0</v>
      </c>
      <c r="N806" s="13">
        <f>IF(AND(G806&gt;=Assumptions!$B$4*(1-Assumptions!$B$6),G806&lt;Assumptions!$B$4),1,0)</f>
        <v>0</v>
      </c>
      <c r="O806" s="13">
        <f>IF(AND(G806&gt;=Assumptions!$B$7,MOD(G806,Assumptions!$B$7)=0),1,0)</f>
        <v>0</v>
      </c>
      <c r="P806" s="13">
        <f t="shared" si="62"/>
        <v>0</v>
      </c>
      <c r="Q806" s="13">
        <f t="shared" si="63"/>
        <v>0</v>
      </c>
      <c r="R806" s="13">
        <f>L806*Assumptions!$B$11+M806*Assumptions!$B$12+N806*Assumptions!$B$13+O806*Assumptions!$B$14+P806*Assumptions!$B$15+Q806*Assumptions!$B$16</f>
        <v>0</v>
      </c>
      <c r="S806" s="13" t="str">
        <f>IF(R806&gt;=Assumptions!$B$20,"High",IF(R806&gt;=Assumptions!$B$21,"Medium",IF(R806&gt;=1,"Low","Clear")))</f>
        <v>Clear</v>
      </c>
      <c r="T806" s="13" t="str">
        <f t="shared" si="64"/>
        <v/>
      </c>
    </row>
    <row r="807" spans="1:20" x14ac:dyDescent="0.35">
      <c r="A807" s="13" t="s">
        <v>3304</v>
      </c>
      <c r="B807" s="13" t="s">
        <v>176</v>
      </c>
      <c r="C807" s="13" t="s">
        <v>177</v>
      </c>
      <c r="D807" s="13" t="s">
        <v>3305</v>
      </c>
      <c r="E807" s="14">
        <v>45957</v>
      </c>
      <c r="F807" s="14">
        <v>45978</v>
      </c>
      <c r="G807" s="15">
        <v>5000.2700000000004</v>
      </c>
      <c r="H807" s="13" t="s">
        <v>3306</v>
      </c>
      <c r="I807" s="13" t="s">
        <v>3307</v>
      </c>
      <c r="J807" s="13" t="s">
        <v>136</v>
      </c>
      <c r="K807" s="13">
        <f t="shared" si="60"/>
        <v>5</v>
      </c>
      <c r="L807" s="13">
        <f t="shared" si="61"/>
        <v>0</v>
      </c>
      <c r="M807" s="13">
        <f>IF(AND(L807=0,COUNTIFS($B$2:$B$1534,B807,$G$2:$G$1534,G807,$E$2:$E$1534,"&gt;="&amp;(E807-Assumptions!$B$5),$E$2:$E$1534,"&lt;="&amp;(E807+Assumptions!$B$5))&gt;1),1,0)</f>
        <v>0</v>
      </c>
      <c r="N807" s="13">
        <f>IF(AND(G807&gt;=Assumptions!$B$4*(1-Assumptions!$B$6),G807&lt;Assumptions!$B$4),1,0)</f>
        <v>0</v>
      </c>
      <c r="O807" s="13">
        <f>IF(AND(G807&gt;=Assumptions!$B$7,MOD(G807,Assumptions!$B$7)=0),1,0)</f>
        <v>0</v>
      </c>
      <c r="P807" s="13">
        <f t="shared" si="62"/>
        <v>0</v>
      </c>
      <c r="Q807" s="13">
        <f t="shared" si="63"/>
        <v>0</v>
      </c>
      <c r="R807" s="13">
        <f>L807*Assumptions!$B$11+M807*Assumptions!$B$12+N807*Assumptions!$B$13+O807*Assumptions!$B$14+P807*Assumptions!$B$15+Q807*Assumptions!$B$16</f>
        <v>0</v>
      </c>
      <c r="S807" s="13" t="str">
        <f>IF(R807&gt;=Assumptions!$B$20,"High",IF(R807&gt;=Assumptions!$B$21,"Medium",IF(R807&gt;=1,"Low","Clear")))</f>
        <v>Clear</v>
      </c>
      <c r="T807" s="13" t="str">
        <f t="shared" si="64"/>
        <v/>
      </c>
    </row>
    <row r="808" spans="1:20" x14ac:dyDescent="0.35">
      <c r="A808" s="13" t="s">
        <v>3308</v>
      </c>
      <c r="B808" s="13" t="s">
        <v>182</v>
      </c>
      <c r="C808" s="13" t="s">
        <v>183</v>
      </c>
      <c r="D808" s="13" t="s">
        <v>3309</v>
      </c>
      <c r="E808" s="14">
        <v>45947</v>
      </c>
      <c r="F808" s="14">
        <v>45978</v>
      </c>
      <c r="G808" s="15">
        <v>101536.19</v>
      </c>
      <c r="H808" s="13" t="s">
        <v>3310</v>
      </c>
      <c r="I808" s="13" t="s">
        <v>3311</v>
      </c>
      <c r="J808" s="13" t="s">
        <v>98</v>
      </c>
      <c r="K808" s="13">
        <f t="shared" si="60"/>
        <v>1</v>
      </c>
      <c r="L808" s="13">
        <f t="shared" si="61"/>
        <v>0</v>
      </c>
      <c r="M808" s="13">
        <f>IF(AND(L808=0,COUNTIFS($B$2:$B$1534,B808,$G$2:$G$1534,G808,$E$2:$E$1534,"&gt;="&amp;(E808-Assumptions!$B$5),$E$2:$E$1534,"&lt;="&amp;(E808+Assumptions!$B$5))&gt;1),1,0)</f>
        <v>0</v>
      </c>
      <c r="N808" s="13">
        <f>IF(AND(G808&gt;=Assumptions!$B$4*(1-Assumptions!$B$6),G808&lt;Assumptions!$B$4),1,0)</f>
        <v>0</v>
      </c>
      <c r="O808" s="13">
        <f>IF(AND(G808&gt;=Assumptions!$B$7,MOD(G808,Assumptions!$B$7)=0),1,0)</f>
        <v>0</v>
      </c>
      <c r="P808" s="13">
        <f t="shared" si="62"/>
        <v>0</v>
      </c>
      <c r="Q808" s="13">
        <f t="shared" si="63"/>
        <v>0</v>
      </c>
      <c r="R808" s="13">
        <f>L808*Assumptions!$B$11+M808*Assumptions!$B$12+N808*Assumptions!$B$13+O808*Assumptions!$B$14+P808*Assumptions!$B$15+Q808*Assumptions!$B$16</f>
        <v>0</v>
      </c>
      <c r="S808" s="13" t="str">
        <f>IF(R808&gt;=Assumptions!$B$20,"High",IF(R808&gt;=Assumptions!$B$21,"Medium",IF(R808&gt;=1,"Low","Clear")))</f>
        <v>Clear</v>
      </c>
      <c r="T808" s="13" t="str">
        <f t="shared" si="64"/>
        <v/>
      </c>
    </row>
    <row r="809" spans="1:20" x14ac:dyDescent="0.35">
      <c r="A809" s="13" t="s">
        <v>3312</v>
      </c>
      <c r="B809" s="13" t="s">
        <v>293</v>
      </c>
      <c r="C809" s="13" t="s">
        <v>294</v>
      </c>
      <c r="D809" s="13" t="s">
        <v>3313</v>
      </c>
      <c r="E809" s="14">
        <v>45957</v>
      </c>
      <c r="F809" s="14">
        <v>45978</v>
      </c>
      <c r="G809" s="15">
        <v>597455.06999999995</v>
      </c>
      <c r="H809" s="13" t="s">
        <v>3314</v>
      </c>
      <c r="I809" s="13" t="s">
        <v>3315</v>
      </c>
      <c r="J809" s="13" t="s">
        <v>136</v>
      </c>
      <c r="K809" s="13">
        <f t="shared" si="60"/>
        <v>5</v>
      </c>
      <c r="L809" s="13">
        <f t="shared" si="61"/>
        <v>0</v>
      </c>
      <c r="M809" s="13">
        <f>IF(AND(L809=0,COUNTIFS($B$2:$B$1534,B809,$G$2:$G$1534,G809,$E$2:$E$1534,"&gt;="&amp;(E809-Assumptions!$B$5),$E$2:$E$1534,"&lt;="&amp;(E809+Assumptions!$B$5))&gt;1),1,0)</f>
        <v>0</v>
      </c>
      <c r="N809" s="13">
        <f>IF(AND(G809&gt;=Assumptions!$B$4*(1-Assumptions!$B$6),G809&lt;Assumptions!$B$4),1,0)</f>
        <v>0</v>
      </c>
      <c r="O809" s="13">
        <f>IF(AND(G809&gt;=Assumptions!$B$7,MOD(G809,Assumptions!$B$7)=0),1,0)</f>
        <v>0</v>
      </c>
      <c r="P809" s="13">
        <f t="shared" si="62"/>
        <v>0</v>
      </c>
      <c r="Q809" s="13">
        <f t="shared" si="63"/>
        <v>0</v>
      </c>
      <c r="R809" s="13">
        <f>L809*Assumptions!$B$11+M809*Assumptions!$B$12+N809*Assumptions!$B$13+O809*Assumptions!$B$14+P809*Assumptions!$B$15+Q809*Assumptions!$B$16</f>
        <v>0</v>
      </c>
      <c r="S809" s="13" t="str">
        <f>IF(R809&gt;=Assumptions!$B$20,"High",IF(R809&gt;=Assumptions!$B$21,"Medium",IF(R809&gt;=1,"Low","Clear")))</f>
        <v>Clear</v>
      </c>
      <c r="T809" s="13" t="str">
        <f t="shared" si="64"/>
        <v/>
      </c>
    </row>
    <row r="810" spans="1:20" x14ac:dyDescent="0.35">
      <c r="A810" s="13" t="s">
        <v>3316</v>
      </c>
      <c r="B810" s="13" t="s">
        <v>228</v>
      </c>
      <c r="C810" s="13" t="s">
        <v>229</v>
      </c>
      <c r="D810" s="13" t="s">
        <v>3317</v>
      </c>
      <c r="E810" s="14">
        <v>45947</v>
      </c>
      <c r="F810" s="14">
        <v>45978</v>
      </c>
      <c r="G810" s="15">
        <v>21476.33</v>
      </c>
      <c r="H810" s="13" t="s">
        <v>3318</v>
      </c>
      <c r="I810" s="13" t="s">
        <v>3319</v>
      </c>
      <c r="J810" s="13" t="s">
        <v>111</v>
      </c>
      <c r="K810" s="13">
        <f t="shared" si="60"/>
        <v>2</v>
      </c>
      <c r="L810" s="13">
        <f t="shared" si="61"/>
        <v>0</v>
      </c>
      <c r="M810" s="13">
        <f>IF(AND(L810=0,COUNTIFS($B$2:$B$1534,B810,$G$2:$G$1534,G810,$E$2:$E$1534,"&gt;="&amp;(E810-Assumptions!$B$5),$E$2:$E$1534,"&lt;="&amp;(E810+Assumptions!$B$5))&gt;1),1,0)</f>
        <v>0</v>
      </c>
      <c r="N810" s="13">
        <f>IF(AND(G810&gt;=Assumptions!$B$4*(1-Assumptions!$B$6),G810&lt;Assumptions!$B$4),1,0)</f>
        <v>0</v>
      </c>
      <c r="O810" s="13">
        <f>IF(AND(G810&gt;=Assumptions!$B$7,MOD(G810,Assumptions!$B$7)=0),1,0)</f>
        <v>0</v>
      </c>
      <c r="P810" s="13">
        <f t="shared" si="62"/>
        <v>0</v>
      </c>
      <c r="Q810" s="13">
        <f t="shared" si="63"/>
        <v>0</v>
      </c>
      <c r="R810" s="13">
        <f>L810*Assumptions!$B$11+M810*Assumptions!$B$12+N810*Assumptions!$B$13+O810*Assumptions!$B$14+P810*Assumptions!$B$15+Q810*Assumptions!$B$16</f>
        <v>0</v>
      </c>
      <c r="S810" s="13" t="str">
        <f>IF(R810&gt;=Assumptions!$B$20,"High",IF(R810&gt;=Assumptions!$B$21,"Medium",IF(R810&gt;=1,"Low","Clear")))</f>
        <v>Clear</v>
      </c>
      <c r="T810" s="13" t="str">
        <f t="shared" si="64"/>
        <v/>
      </c>
    </row>
    <row r="811" spans="1:20" x14ac:dyDescent="0.35">
      <c r="A811" s="13" t="s">
        <v>3320</v>
      </c>
      <c r="B811" s="13" t="s">
        <v>252</v>
      </c>
      <c r="C811" s="13" t="s">
        <v>253</v>
      </c>
      <c r="D811" s="13" t="s">
        <v>3321</v>
      </c>
      <c r="E811" s="14">
        <v>45939</v>
      </c>
      <c r="F811" s="14">
        <v>45978</v>
      </c>
      <c r="G811" s="15">
        <v>903495.82</v>
      </c>
      <c r="H811" s="13" t="s">
        <v>3322</v>
      </c>
      <c r="I811" s="13" t="s">
        <v>3323</v>
      </c>
      <c r="J811" s="13" t="s">
        <v>98</v>
      </c>
      <c r="K811" s="13">
        <f t="shared" si="60"/>
        <v>9</v>
      </c>
      <c r="L811" s="13">
        <f t="shared" si="61"/>
        <v>0</v>
      </c>
      <c r="M811" s="13">
        <f>IF(AND(L811=0,COUNTIFS($B$2:$B$1534,B811,$G$2:$G$1534,G811,$E$2:$E$1534,"&gt;="&amp;(E811-Assumptions!$B$5),$E$2:$E$1534,"&lt;="&amp;(E811+Assumptions!$B$5))&gt;1),1,0)</f>
        <v>0</v>
      </c>
      <c r="N811" s="13">
        <f>IF(AND(G811&gt;=Assumptions!$B$4*(1-Assumptions!$B$6),G811&lt;Assumptions!$B$4),1,0)</f>
        <v>0</v>
      </c>
      <c r="O811" s="13">
        <f>IF(AND(G811&gt;=Assumptions!$B$7,MOD(G811,Assumptions!$B$7)=0),1,0)</f>
        <v>0</v>
      </c>
      <c r="P811" s="13">
        <f t="shared" si="62"/>
        <v>0</v>
      </c>
      <c r="Q811" s="13">
        <f t="shared" si="63"/>
        <v>0</v>
      </c>
      <c r="R811" s="13">
        <f>L811*Assumptions!$B$11+M811*Assumptions!$B$12+N811*Assumptions!$B$13+O811*Assumptions!$B$14+P811*Assumptions!$B$15+Q811*Assumptions!$B$16</f>
        <v>0</v>
      </c>
      <c r="S811" s="13" t="str">
        <f>IF(R811&gt;=Assumptions!$B$20,"High",IF(R811&gt;=Assumptions!$B$21,"Medium",IF(R811&gt;=1,"Low","Clear")))</f>
        <v>Clear</v>
      </c>
      <c r="T811" s="13" t="str">
        <f t="shared" si="64"/>
        <v/>
      </c>
    </row>
    <row r="812" spans="1:20" x14ac:dyDescent="0.35">
      <c r="A812" s="13" t="s">
        <v>3324</v>
      </c>
      <c r="B812" s="13" t="s">
        <v>680</v>
      </c>
      <c r="C812" s="13" t="s">
        <v>681</v>
      </c>
      <c r="D812" s="13" t="s">
        <v>3325</v>
      </c>
      <c r="E812" s="14">
        <v>45944</v>
      </c>
      <c r="F812" s="14">
        <v>45978</v>
      </c>
      <c r="G812" s="15">
        <v>161551.99</v>
      </c>
      <c r="H812" s="13" t="s">
        <v>3326</v>
      </c>
      <c r="I812" s="13" t="s">
        <v>3327</v>
      </c>
      <c r="J812" s="13" t="s">
        <v>111</v>
      </c>
      <c r="K812" s="13">
        <f t="shared" si="60"/>
        <v>1</v>
      </c>
      <c r="L812" s="13">
        <f t="shared" si="61"/>
        <v>0</v>
      </c>
      <c r="M812" s="13">
        <f>IF(AND(L812=0,COUNTIFS($B$2:$B$1534,B812,$G$2:$G$1534,G812,$E$2:$E$1534,"&gt;="&amp;(E812-Assumptions!$B$5),$E$2:$E$1534,"&lt;="&amp;(E812+Assumptions!$B$5))&gt;1),1,0)</f>
        <v>0</v>
      </c>
      <c r="N812" s="13">
        <f>IF(AND(G812&gt;=Assumptions!$B$4*(1-Assumptions!$B$6),G812&lt;Assumptions!$B$4),1,0)</f>
        <v>0</v>
      </c>
      <c r="O812" s="13">
        <f>IF(AND(G812&gt;=Assumptions!$B$7,MOD(G812,Assumptions!$B$7)=0),1,0)</f>
        <v>0</v>
      </c>
      <c r="P812" s="13">
        <f t="shared" si="62"/>
        <v>0</v>
      </c>
      <c r="Q812" s="13">
        <f t="shared" si="63"/>
        <v>0</v>
      </c>
      <c r="R812" s="13">
        <f>L812*Assumptions!$B$11+M812*Assumptions!$B$12+N812*Assumptions!$B$13+O812*Assumptions!$B$14+P812*Assumptions!$B$15+Q812*Assumptions!$B$16</f>
        <v>0</v>
      </c>
      <c r="S812" s="13" t="str">
        <f>IF(R812&gt;=Assumptions!$B$20,"High",IF(R812&gt;=Assumptions!$B$21,"Medium",IF(R812&gt;=1,"Low","Clear")))</f>
        <v>Clear</v>
      </c>
      <c r="T812" s="13" t="str">
        <f t="shared" si="64"/>
        <v/>
      </c>
    </row>
    <row r="813" spans="1:20" x14ac:dyDescent="0.35">
      <c r="A813" s="13" t="s">
        <v>3328</v>
      </c>
      <c r="B813" s="13" t="s">
        <v>131</v>
      </c>
      <c r="C813" s="13" t="s">
        <v>132</v>
      </c>
      <c r="D813" s="13" t="s">
        <v>3329</v>
      </c>
      <c r="E813" s="14">
        <v>45954</v>
      </c>
      <c r="F813" s="14">
        <v>45978</v>
      </c>
      <c r="G813" s="15">
        <v>71570.399999999994</v>
      </c>
      <c r="H813" s="13" t="s">
        <v>3330</v>
      </c>
      <c r="I813" s="13" t="s">
        <v>3331</v>
      </c>
      <c r="J813" s="13" t="s">
        <v>111</v>
      </c>
      <c r="K813" s="13">
        <f t="shared" si="60"/>
        <v>7</v>
      </c>
      <c r="L813" s="13">
        <f t="shared" si="61"/>
        <v>0</v>
      </c>
      <c r="M813" s="13">
        <f>IF(AND(L813=0,COUNTIFS($B$2:$B$1534,B813,$G$2:$G$1534,G813,$E$2:$E$1534,"&gt;="&amp;(E813-Assumptions!$B$5),$E$2:$E$1534,"&lt;="&amp;(E813+Assumptions!$B$5))&gt;1),1,0)</f>
        <v>0</v>
      </c>
      <c r="N813" s="13">
        <f>IF(AND(G813&gt;=Assumptions!$B$4*(1-Assumptions!$B$6),G813&lt;Assumptions!$B$4),1,0)</f>
        <v>0</v>
      </c>
      <c r="O813" s="13">
        <f>IF(AND(G813&gt;=Assumptions!$B$7,MOD(G813,Assumptions!$B$7)=0),1,0)</f>
        <v>0</v>
      </c>
      <c r="P813" s="13">
        <f t="shared" si="62"/>
        <v>0</v>
      </c>
      <c r="Q813" s="13">
        <f t="shared" si="63"/>
        <v>0</v>
      </c>
      <c r="R813" s="13">
        <f>L813*Assumptions!$B$11+M813*Assumptions!$B$12+N813*Assumptions!$B$13+O813*Assumptions!$B$14+P813*Assumptions!$B$15+Q813*Assumptions!$B$16</f>
        <v>0</v>
      </c>
      <c r="S813" s="13" t="str">
        <f>IF(R813&gt;=Assumptions!$B$20,"High",IF(R813&gt;=Assumptions!$B$21,"Medium",IF(R813&gt;=1,"Low","Clear")))</f>
        <v>Clear</v>
      </c>
      <c r="T813" s="13" t="str">
        <f t="shared" si="64"/>
        <v/>
      </c>
    </row>
    <row r="814" spans="1:20" x14ac:dyDescent="0.35">
      <c r="A814" s="13" t="s">
        <v>3332</v>
      </c>
      <c r="B814" s="13" t="s">
        <v>131</v>
      </c>
      <c r="C814" s="13" t="s">
        <v>132</v>
      </c>
      <c r="D814" s="13" t="s">
        <v>3333</v>
      </c>
      <c r="E814" s="14">
        <v>45951</v>
      </c>
      <c r="F814" s="14">
        <v>45978</v>
      </c>
      <c r="G814" s="15">
        <v>178036.13</v>
      </c>
      <c r="H814" s="13" t="s">
        <v>3334</v>
      </c>
      <c r="I814" s="13" t="s">
        <v>3335</v>
      </c>
      <c r="J814" s="13" t="s">
        <v>91</v>
      </c>
      <c r="K814" s="13">
        <f t="shared" si="60"/>
        <v>1</v>
      </c>
      <c r="L814" s="13">
        <f t="shared" si="61"/>
        <v>0</v>
      </c>
      <c r="M814" s="13">
        <f>IF(AND(L814=0,COUNTIFS($B$2:$B$1534,B814,$G$2:$G$1534,G814,$E$2:$E$1534,"&gt;="&amp;(E814-Assumptions!$B$5),$E$2:$E$1534,"&lt;="&amp;(E814+Assumptions!$B$5))&gt;1),1,0)</f>
        <v>0</v>
      </c>
      <c r="N814" s="13">
        <f>IF(AND(G814&gt;=Assumptions!$B$4*(1-Assumptions!$B$6),G814&lt;Assumptions!$B$4),1,0)</f>
        <v>0</v>
      </c>
      <c r="O814" s="13">
        <f>IF(AND(G814&gt;=Assumptions!$B$7,MOD(G814,Assumptions!$B$7)=0),1,0)</f>
        <v>0</v>
      </c>
      <c r="P814" s="13">
        <f t="shared" si="62"/>
        <v>0</v>
      </c>
      <c r="Q814" s="13">
        <f t="shared" si="63"/>
        <v>0</v>
      </c>
      <c r="R814" s="13">
        <f>L814*Assumptions!$B$11+M814*Assumptions!$B$12+N814*Assumptions!$B$13+O814*Assumptions!$B$14+P814*Assumptions!$B$15+Q814*Assumptions!$B$16</f>
        <v>0</v>
      </c>
      <c r="S814" s="13" t="str">
        <f>IF(R814&gt;=Assumptions!$B$20,"High",IF(R814&gt;=Assumptions!$B$21,"Medium",IF(R814&gt;=1,"Low","Clear")))</f>
        <v>Clear</v>
      </c>
      <c r="T814" s="13" t="str">
        <f t="shared" si="64"/>
        <v/>
      </c>
    </row>
    <row r="815" spans="1:20" x14ac:dyDescent="0.35">
      <c r="A815" s="13" t="s">
        <v>3336</v>
      </c>
      <c r="B815" s="13" t="s">
        <v>466</v>
      </c>
      <c r="C815" s="13" t="s">
        <v>467</v>
      </c>
      <c r="D815" s="13" t="s">
        <v>3337</v>
      </c>
      <c r="E815" s="14">
        <v>45942</v>
      </c>
      <c r="F815" s="14">
        <v>45978</v>
      </c>
      <c r="G815" s="15">
        <v>39897.93</v>
      </c>
      <c r="H815" s="13" t="s">
        <v>3338</v>
      </c>
      <c r="I815" s="13" t="s">
        <v>3339</v>
      </c>
      <c r="J815" s="13" t="s">
        <v>170</v>
      </c>
      <c r="K815" s="13">
        <f t="shared" si="60"/>
        <v>3</v>
      </c>
      <c r="L815" s="13">
        <f t="shared" si="61"/>
        <v>0</v>
      </c>
      <c r="M815" s="13">
        <f>IF(AND(L815=0,COUNTIFS($B$2:$B$1534,B815,$G$2:$G$1534,G815,$E$2:$E$1534,"&gt;="&amp;(E815-Assumptions!$B$5),$E$2:$E$1534,"&lt;="&amp;(E815+Assumptions!$B$5))&gt;1),1,0)</f>
        <v>0</v>
      </c>
      <c r="N815" s="13">
        <f>IF(AND(G815&gt;=Assumptions!$B$4*(1-Assumptions!$B$6),G815&lt;Assumptions!$B$4),1,0)</f>
        <v>0</v>
      </c>
      <c r="O815" s="13">
        <f>IF(AND(G815&gt;=Assumptions!$B$7,MOD(G815,Assumptions!$B$7)=0),1,0)</f>
        <v>0</v>
      </c>
      <c r="P815" s="13">
        <f t="shared" si="62"/>
        <v>0</v>
      </c>
      <c r="Q815" s="13">
        <f t="shared" si="63"/>
        <v>0</v>
      </c>
      <c r="R815" s="13">
        <f>L815*Assumptions!$B$11+M815*Assumptions!$B$12+N815*Assumptions!$B$13+O815*Assumptions!$B$14+P815*Assumptions!$B$15+Q815*Assumptions!$B$16</f>
        <v>0</v>
      </c>
      <c r="S815" s="13" t="str">
        <f>IF(R815&gt;=Assumptions!$B$20,"High",IF(R815&gt;=Assumptions!$B$21,"Medium",IF(R815&gt;=1,"Low","Clear")))</f>
        <v>Clear</v>
      </c>
      <c r="T815" s="13" t="str">
        <f t="shared" si="64"/>
        <v/>
      </c>
    </row>
    <row r="816" spans="1:20" x14ac:dyDescent="0.35">
      <c r="A816" s="13" t="s">
        <v>3340</v>
      </c>
      <c r="B816" s="13" t="s">
        <v>307</v>
      </c>
      <c r="C816" s="13" t="s">
        <v>308</v>
      </c>
      <c r="D816" s="13" t="s">
        <v>3341</v>
      </c>
      <c r="E816" s="14">
        <v>45952</v>
      </c>
      <c r="F816" s="14">
        <v>45978</v>
      </c>
      <c r="G816" s="15">
        <v>15488.99</v>
      </c>
      <c r="H816" s="13" t="s">
        <v>3342</v>
      </c>
      <c r="I816" s="13" t="s">
        <v>3343</v>
      </c>
      <c r="J816" s="13" t="s">
        <v>111</v>
      </c>
      <c r="K816" s="13">
        <f t="shared" si="60"/>
        <v>1</v>
      </c>
      <c r="L816" s="13">
        <f t="shared" si="61"/>
        <v>0</v>
      </c>
      <c r="M816" s="13">
        <f>IF(AND(L816=0,COUNTIFS($B$2:$B$1534,B816,$G$2:$G$1534,G816,$E$2:$E$1534,"&gt;="&amp;(E816-Assumptions!$B$5),$E$2:$E$1534,"&lt;="&amp;(E816+Assumptions!$B$5))&gt;1),1,0)</f>
        <v>0</v>
      </c>
      <c r="N816" s="13">
        <f>IF(AND(G816&gt;=Assumptions!$B$4*(1-Assumptions!$B$6),G816&lt;Assumptions!$B$4),1,0)</f>
        <v>0</v>
      </c>
      <c r="O816" s="13">
        <f>IF(AND(G816&gt;=Assumptions!$B$7,MOD(G816,Assumptions!$B$7)=0),1,0)</f>
        <v>0</v>
      </c>
      <c r="P816" s="13">
        <f t="shared" si="62"/>
        <v>0</v>
      </c>
      <c r="Q816" s="13">
        <f t="shared" si="63"/>
        <v>0</v>
      </c>
      <c r="R816" s="13">
        <f>L816*Assumptions!$B$11+M816*Assumptions!$B$12+N816*Assumptions!$B$13+O816*Assumptions!$B$14+P816*Assumptions!$B$15+Q816*Assumptions!$B$16</f>
        <v>0</v>
      </c>
      <c r="S816" s="13" t="str">
        <f>IF(R816&gt;=Assumptions!$B$20,"High",IF(R816&gt;=Assumptions!$B$21,"Medium",IF(R816&gt;=1,"Low","Clear")))</f>
        <v>Clear</v>
      </c>
      <c r="T816" s="13" t="str">
        <f t="shared" si="64"/>
        <v/>
      </c>
    </row>
    <row r="817" spans="1:20" x14ac:dyDescent="0.35">
      <c r="A817" s="13" t="s">
        <v>3344</v>
      </c>
      <c r="B817" s="13" t="s">
        <v>218</v>
      </c>
      <c r="C817" s="13" t="s">
        <v>219</v>
      </c>
      <c r="D817" s="13" t="s">
        <v>3345</v>
      </c>
      <c r="E817" s="14">
        <v>45951</v>
      </c>
      <c r="F817" s="14">
        <v>45978</v>
      </c>
      <c r="G817" s="15">
        <v>1690.4</v>
      </c>
      <c r="H817" s="13" t="s">
        <v>3346</v>
      </c>
      <c r="I817" s="13" t="s">
        <v>3347</v>
      </c>
      <c r="J817" s="13" t="s">
        <v>143</v>
      </c>
      <c r="K817" s="13">
        <f t="shared" si="60"/>
        <v>1</v>
      </c>
      <c r="L817" s="13">
        <f t="shared" si="61"/>
        <v>0</v>
      </c>
      <c r="M817" s="13">
        <f>IF(AND(L817=0,COUNTIFS($B$2:$B$1534,B817,$G$2:$G$1534,G817,$E$2:$E$1534,"&gt;="&amp;(E817-Assumptions!$B$5),$E$2:$E$1534,"&lt;="&amp;(E817+Assumptions!$B$5))&gt;1),1,0)</f>
        <v>0</v>
      </c>
      <c r="N817" s="13">
        <f>IF(AND(G817&gt;=Assumptions!$B$4*(1-Assumptions!$B$6),G817&lt;Assumptions!$B$4),1,0)</f>
        <v>0</v>
      </c>
      <c r="O817" s="13">
        <f>IF(AND(G817&gt;=Assumptions!$B$7,MOD(G817,Assumptions!$B$7)=0),1,0)</f>
        <v>0</v>
      </c>
      <c r="P817" s="13">
        <f t="shared" si="62"/>
        <v>0</v>
      </c>
      <c r="Q817" s="13">
        <f t="shared" si="63"/>
        <v>0</v>
      </c>
      <c r="R817" s="13">
        <f>L817*Assumptions!$B$11+M817*Assumptions!$B$12+N817*Assumptions!$B$13+O817*Assumptions!$B$14+P817*Assumptions!$B$15+Q817*Assumptions!$B$16</f>
        <v>0</v>
      </c>
      <c r="S817" s="13" t="str">
        <f>IF(R817&gt;=Assumptions!$B$20,"High",IF(R817&gt;=Assumptions!$B$21,"Medium",IF(R817&gt;=1,"Low","Clear")))</f>
        <v>Clear</v>
      </c>
      <c r="T817" s="13" t="str">
        <f t="shared" si="64"/>
        <v/>
      </c>
    </row>
    <row r="818" spans="1:20" x14ac:dyDescent="0.35">
      <c r="A818" s="13" t="s">
        <v>3348</v>
      </c>
      <c r="B818" s="13" t="s">
        <v>317</v>
      </c>
      <c r="C818" s="13" t="s">
        <v>318</v>
      </c>
      <c r="D818" s="13" t="s">
        <v>3349</v>
      </c>
      <c r="E818" s="14">
        <v>45945</v>
      </c>
      <c r="F818" s="14">
        <v>45978</v>
      </c>
      <c r="G818" s="15">
        <v>4714.78</v>
      </c>
      <c r="H818" s="13" t="s">
        <v>3350</v>
      </c>
      <c r="I818" s="13" t="s">
        <v>3351</v>
      </c>
      <c r="J818" s="13" t="s">
        <v>136</v>
      </c>
      <c r="K818" s="13">
        <f t="shared" si="60"/>
        <v>4</v>
      </c>
      <c r="L818" s="13">
        <f t="shared" si="61"/>
        <v>0</v>
      </c>
      <c r="M818" s="13">
        <f>IF(AND(L818=0,COUNTIFS($B$2:$B$1534,B818,$G$2:$G$1534,G818,$E$2:$E$1534,"&gt;="&amp;(E818-Assumptions!$B$5),$E$2:$E$1534,"&lt;="&amp;(E818+Assumptions!$B$5))&gt;1),1,0)</f>
        <v>1</v>
      </c>
      <c r="N818" s="13">
        <f>IF(AND(G818&gt;=Assumptions!$B$4*(1-Assumptions!$B$6),G818&lt;Assumptions!$B$4),1,0)</f>
        <v>0</v>
      </c>
      <c r="O818" s="13">
        <f>IF(AND(G818&gt;=Assumptions!$B$7,MOD(G818,Assumptions!$B$7)=0),1,0)</f>
        <v>0</v>
      </c>
      <c r="P818" s="13">
        <f t="shared" si="62"/>
        <v>0</v>
      </c>
      <c r="Q818" s="13">
        <f t="shared" si="63"/>
        <v>0</v>
      </c>
      <c r="R818" s="13">
        <f>L818*Assumptions!$B$11+M818*Assumptions!$B$12+N818*Assumptions!$B$13+O818*Assumptions!$B$14+P818*Assumptions!$B$15+Q818*Assumptions!$B$16</f>
        <v>3</v>
      </c>
      <c r="S818" s="13" t="str">
        <f>IF(R818&gt;=Assumptions!$B$20,"High",IF(R818&gt;=Assumptions!$B$21,"Medium",IF(R818&gt;=1,"Low","Clear")))</f>
        <v>Medium</v>
      </c>
      <c r="T818" s="13" t="str">
        <f t="shared" si="64"/>
        <v xml:space="preserve">Near-duplicate; </v>
      </c>
    </row>
    <row r="819" spans="1:20" x14ac:dyDescent="0.35">
      <c r="A819" s="13" t="s">
        <v>3352</v>
      </c>
      <c r="B819" s="13" t="s">
        <v>323</v>
      </c>
      <c r="C819" s="13" t="s">
        <v>324</v>
      </c>
      <c r="D819" s="13" t="s">
        <v>3197</v>
      </c>
      <c r="E819" s="14">
        <v>45939</v>
      </c>
      <c r="F819" s="14">
        <v>45978</v>
      </c>
      <c r="G819" s="15">
        <v>22162.12</v>
      </c>
      <c r="H819" s="13" t="s">
        <v>3198</v>
      </c>
      <c r="I819" s="13" t="s">
        <v>3199</v>
      </c>
      <c r="J819" s="13" t="s">
        <v>111</v>
      </c>
      <c r="K819" s="13">
        <f t="shared" si="60"/>
        <v>2</v>
      </c>
      <c r="L819" s="13">
        <f t="shared" si="61"/>
        <v>1</v>
      </c>
      <c r="M819" s="13">
        <f>IF(AND(L819=0,COUNTIFS($B$2:$B$1534,B819,$G$2:$G$1534,G819,$E$2:$E$1534,"&gt;="&amp;(E819-Assumptions!$B$5),$E$2:$E$1534,"&lt;="&amp;(E819+Assumptions!$B$5))&gt;1),1,0)</f>
        <v>0</v>
      </c>
      <c r="N819" s="13">
        <f>IF(AND(G819&gt;=Assumptions!$B$4*(1-Assumptions!$B$6),G819&lt;Assumptions!$B$4),1,0)</f>
        <v>0</v>
      </c>
      <c r="O819" s="13">
        <f>IF(AND(G819&gt;=Assumptions!$B$7,MOD(G819,Assumptions!$B$7)=0),1,0)</f>
        <v>0</v>
      </c>
      <c r="P819" s="13">
        <f t="shared" si="62"/>
        <v>0</v>
      </c>
      <c r="Q819" s="13">
        <f t="shared" si="63"/>
        <v>0</v>
      </c>
      <c r="R819" s="13">
        <f>L819*Assumptions!$B$11+M819*Assumptions!$B$12+N819*Assumptions!$B$13+O819*Assumptions!$B$14+P819*Assumptions!$B$15+Q819*Assumptions!$B$16</f>
        <v>5</v>
      </c>
      <c r="S819" s="13" t="str">
        <f>IF(R819&gt;=Assumptions!$B$20,"High",IF(R819&gt;=Assumptions!$B$21,"Medium",IF(R819&gt;=1,"Low","Clear")))</f>
        <v>High</v>
      </c>
      <c r="T819" s="13" t="str">
        <f t="shared" si="64"/>
        <v xml:space="preserve">Duplicate invoice; </v>
      </c>
    </row>
    <row r="820" spans="1:20" x14ac:dyDescent="0.35">
      <c r="A820" s="13" t="s">
        <v>3353</v>
      </c>
      <c r="B820" s="13" t="s">
        <v>138</v>
      </c>
      <c r="C820" s="13" t="s">
        <v>139</v>
      </c>
      <c r="D820" s="13" t="s">
        <v>3354</v>
      </c>
      <c r="E820" s="14">
        <v>45954</v>
      </c>
      <c r="F820" s="14">
        <v>45978</v>
      </c>
      <c r="G820" s="15">
        <v>361006.93</v>
      </c>
      <c r="H820" s="13" t="s">
        <v>3355</v>
      </c>
      <c r="I820" s="13" t="s">
        <v>3356</v>
      </c>
      <c r="J820" s="13" t="s">
        <v>91</v>
      </c>
      <c r="K820" s="13">
        <f t="shared" si="60"/>
        <v>3</v>
      </c>
      <c r="L820" s="13">
        <f t="shared" si="61"/>
        <v>0</v>
      </c>
      <c r="M820" s="13">
        <f>IF(AND(L820=0,COUNTIFS($B$2:$B$1534,B820,$G$2:$G$1534,G820,$E$2:$E$1534,"&gt;="&amp;(E820-Assumptions!$B$5),$E$2:$E$1534,"&lt;="&amp;(E820+Assumptions!$B$5))&gt;1),1,0)</f>
        <v>0</v>
      </c>
      <c r="N820" s="13">
        <f>IF(AND(G820&gt;=Assumptions!$B$4*(1-Assumptions!$B$6),G820&lt;Assumptions!$B$4),1,0)</f>
        <v>0</v>
      </c>
      <c r="O820" s="13">
        <f>IF(AND(G820&gt;=Assumptions!$B$7,MOD(G820,Assumptions!$B$7)=0),1,0)</f>
        <v>0</v>
      </c>
      <c r="P820" s="13">
        <f t="shared" si="62"/>
        <v>0</v>
      </c>
      <c r="Q820" s="13">
        <f t="shared" si="63"/>
        <v>0</v>
      </c>
      <c r="R820" s="13">
        <f>L820*Assumptions!$B$11+M820*Assumptions!$B$12+N820*Assumptions!$B$13+O820*Assumptions!$B$14+P820*Assumptions!$B$15+Q820*Assumptions!$B$16</f>
        <v>0</v>
      </c>
      <c r="S820" s="13" t="str">
        <f>IF(R820&gt;=Assumptions!$B$20,"High",IF(R820&gt;=Assumptions!$B$21,"Medium",IF(R820&gt;=1,"Low","Clear")))</f>
        <v>Clear</v>
      </c>
      <c r="T820" s="13" t="str">
        <f t="shared" si="64"/>
        <v/>
      </c>
    </row>
    <row r="821" spans="1:20" x14ac:dyDescent="0.35">
      <c r="A821" s="13" t="s">
        <v>3357</v>
      </c>
      <c r="B821" s="13" t="s">
        <v>438</v>
      </c>
      <c r="C821" s="13" t="s">
        <v>439</v>
      </c>
      <c r="D821" s="13" t="s">
        <v>3358</v>
      </c>
      <c r="E821" s="14">
        <v>45951</v>
      </c>
      <c r="F821" s="14">
        <v>45978</v>
      </c>
      <c r="G821" s="15">
        <v>802390.43</v>
      </c>
      <c r="H821" s="13" t="s">
        <v>3359</v>
      </c>
      <c r="I821" s="13" t="s">
        <v>3360</v>
      </c>
      <c r="J821" s="13" t="s">
        <v>170</v>
      </c>
      <c r="K821" s="13">
        <f t="shared" si="60"/>
        <v>8</v>
      </c>
      <c r="L821" s="13">
        <f t="shared" si="61"/>
        <v>0</v>
      </c>
      <c r="M821" s="13">
        <f>IF(AND(L821=0,COUNTIFS($B$2:$B$1534,B821,$G$2:$G$1534,G821,$E$2:$E$1534,"&gt;="&amp;(E821-Assumptions!$B$5),$E$2:$E$1534,"&lt;="&amp;(E821+Assumptions!$B$5))&gt;1),1,0)</f>
        <v>0</v>
      </c>
      <c r="N821" s="13">
        <f>IF(AND(G821&gt;=Assumptions!$B$4*(1-Assumptions!$B$6),G821&lt;Assumptions!$B$4),1,0)</f>
        <v>0</v>
      </c>
      <c r="O821" s="13">
        <f>IF(AND(G821&gt;=Assumptions!$B$7,MOD(G821,Assumptions!$B$7)=0),1,0)</f>
        <v>0</v>
      </c>
      <c r="P821" s="13">
        <f t="shared" si="62"/>
        <v>0</v>
      </c>
      <c r="Q821" s="13">
        <f t="shared" si="63"/>
        <v>0</v>
      </c>
      <c r="R821" s="13">
        <f>L821*Assumptions!$B$11+M821*Assumptions!$B$12+N821*Assumptions!$B$13+O821*Assumptions!$B$14+P821*Assumptions!$B$15+Q821*Assumptions!$B$16</f>
        <v>0</v>
      </c>
      <c r="S821" s="13" t="str">
        <f>IF(R821&gt;=Assumptions!$B$20,"High",IF(R821&gt;=Assumptions!$B$21,"Medium",IF(R821&gt;=1,"Low","Clear")))</f>
        <v>Clear</v>
      </c>
      <c r="T821" s="13" t="str">
        <f t="shared" si="64"/>
        <v/>
      </c>
    </row>
    <row r="822" spans="1:20" x14ac:dyDescent="0.35">
      <c r="A822" s="13" t="s">
        <v>3361</v>
      </c>
      <c r="B822" s="13" t="s">
        <v>774</v>
      </c>
      <c r="C822" s="13" t="s">
        <v>775</v>
      </c>
      <c r="D822" s="13" t="s">
        <v>3362</v>
      </c>
      <c r="E822" s="14">
        <v>45945</v>
      </c>
      <c r="F822" s="14">
        <v>45979</v>
      </c>
      <c r="G822" s="15">
        <v>5514.25</v>
      </c>
      <c r="H822" s="13" t="s">
        <v>3363</v>
      </c>
      <c r="I822" s="13" t="s">
        <v>3364</v>
      </c>
      <c r="J822" s="13" t="s">
        <v>98</v>
      </c>
      <c r="K822" s="13">
        <f t="shared" si="60"/>
        <v>5</v>
      </c>
      <c r="L822" s="13">
        <f t="shared" si="61"/>
        <v>0</v>
      </c>
      <c r="M822" s="13">
        <f>IF(AND(L822=0,COUNTIFS($B$2:$B$1534,B822,$G$2:$G$1534,G822,$E$2:$E$1534,"&gt;="&amp;(E822-Assumptions!$B$5),$E$2:$E$1534,"&lt;="&amp;(E822+Assumptions!$B$5))&gt;1),1,0)</f>
        <v>0</v>
      </c>
      <c r="N822" s="13">
        <f>IF(AND(G822&gt;=Assumptions!$B$4*(1-Assumptions!$B$6),G822&lt;Assumptions!$B$4),1,0)</f>
        <v>0</v>
      </c>
      <c r="O822" s="13">
        <f>IF(AND(G822&gt;=Assumptions!$B$7,MOD(G822,Assumptions!$B$7)=0),1,0)</f>
        <v>0</v>
      </c>
      <c r="P822" s="13">
        <f t="shared" si="62"/>
        <v>0</v>
      </c>
      <c r="Q822" s="13">
        <f t="shared" si="63"/>
        <v>0</v>
      </c>
      <c r="R822" s="13">
        <f>L822*Assumptions!$B$11+M822*Assumptions!$B$12+N822*Assumptions!$B$13+O822*Assumptions!$B$14+P822*Assumptions!$B$15+Q822*Assumptions!$B$16</f>
        <v>0</v>
      </c>
      <c r="S822" s="13" t="str">
        <f>IF(R822&gt;=Assumptions!$B$20,"High",IF(R822&gt;=Assumptions!$B$21,"Medium",IF(R822&gt;=1,"Low","Clear")))</f>
        <v>Clear</v>
      </c>
      <c r="T822" s="13" t="str">
        <f t="shared" si="64"/>
        <v/>
      </c>
    </row>
    <row r="823" spans="1:20" x14ac:dyDescent="0.35">
      <c r="A823" s="13" t="s">
        <v>3365</v>
      </c>
      <c r="B823" s="13" t="s">
        <v>317</v>
      </c>
      <c r="C823" s="13" t="s">
        <v>318</v>
      </c>
      <c r="D823" s="13" t="s">
        <v>3366</v>
      </c>
      <c r="E823" s="14">
        <v>45941</v>
      </c>
      <c r="F823" s="14">
        <v>45979</v>
      </c>
      <c r="G823" s="15">
        <v>4714.78</v>
      </c>
      <c r="H823" s="13" t="s">
        <v>3350</v>
      </c>
      <c r="I823" s="13" t="s">
        <v>3351</v>
      </c>
      <c r="J823" s="13" t="s">
        <v>136</v>
      </c>
      <c r="K823" s="13">
        <f t="shared" si="60"/>
        <v>4</v>
      </c>
      <c r="L823" s="13">
        <f t="shared" si="61"/>
        <v>0</v>
      </c>
      <c r="M823" s="13">
        <f>IF(AND(L823=0,COUNTIFS($B$2:$B$1534,B823,$G$2:$G$1534,G823,$E$2:$E$1534,"&gt;="&amp;(E823-Assumptions!$B$5),$E$2:$E$1534,"&lt;="&amp;(E823+Assumptions!$B$5))&gt;1),1,0)</f>
        <v>1</v>
      </c>
      <c r="N823" s="13">
        <f>IF(AND(G823&gt;=Assumptions!$B$4*(1-Assumptions!$B$6),G823&lt;Assumptions!$B$4),1,0)</f>
        <v>0</v>
      </c>
      <c r="O823" s="13">
        <f>IF(AND(G823&gt;=Assumptions!$B$7,MOD(G823,Assumptions!$B$7)=0),1,0)</f>
        <v>0</v>
      </c>
      <c r="P823" s="13">
        <f t="shared" si="62"/>
        <v>0</v>
      </c>
      <c r="Q823" s="13">
        <f t="shared" si="63"/>
        <v>0</v>
      </c>
      <c r="R823" s="13">
        <f>L823*Assumptions!$B$11+M823*Assumptions!$B$12+N823*Assumptions!$B$13+O823*Assumptions!$B$14+P823*Assumptions!$B$15+Q823*Assumptions!$B$16</f>
        <v>3</v>
      </c>
      <c r="S823" s="13" t="str">
        <f>IF(R823&gt;=Assumptions!$B$20,"High",IF(R823&gt;=Assumptions!$B$21,"Medium",IF(R823&gt;=1,"Low","Clear")))</f>
        <v>Medium</v>
      </c>
      <c r="T823" s="13" t="str">
        <f t="shared" si="64"/>
        <v xml:space="preserve">Near-duplicate; </v>
      </c>
    </row>
    <row r="824" spans="1:20" x14ac:dyDescent="0.35">
      <c r="A824" s="13" t="s">
        <v>3367</v>
      </c>
      <c r="B824" s="13" t="s">
        <v>176</v>
      </c>
      <c r="C824" s="13" t="s">
        <v>177</v>
      </c>
      <c r="D824" s="13" t="s">
        <v>3368</v>
      </c>
      <c r="E824" s="14">
        <v>45950</v>
      </c>
      <c r="F824" s="14">
        <v>45980</v>
      </c>
      <c r="G824" s="15">
        <v>334842.18</v>
      </c>
      <c r="H824" s="13" t="s">
        <v>3369</v>
      </c>
      <c r="I824" s="13" t="s">
        <v>3370</v>
      </c>
      <c r="J824" s="13" t="s">
        <v>98</v>
      </c>
      <c r="K824" s="13">
        <f t="shared" si="60"/>
        <v>3</v>
      </c>
      <c r="L824" s="13">
        <f t="shared" si="61"/>
        <v>0</v>
      </c>
      <c r="M824" s="13">
        <f>IF(AND(L824=0,COUNTIFS($B$2:$B$1534,B824,$G$2:$G$1534,G824,$E$2:$E$1534,"&gt;="&amp;(E824-Assumptions!$B$5),$E$2:$E$1534,"&lt;="&amp;(E824+Assumptions!$B$5))&gt;1),1,0)</f>
        <v>0</v>
      </c>
      <c r="N824" s="13">
        <f>IF(AND(G824&gt;=Assumptions!$B$4*(1-Assumptions!$B$6),G824&lt;Assumptions!$B$4),1,0)</f>
        <v>0</v>
      </c>
      <c r="O824" s="13">
        <f>IF(AND(G824&gt;=Assumptions!$B$7,MOD(G824,Assumptions!$B$7)=0),1,0)</f>
        <v>0</v>
      </c>
      <c r="P824" s="13">
        <f t="shared" si="62"/>
        <v>0</v>
      </c>
      <c r="Q824" s="13">
        <f t="shared" si="63"/>
        <v>0</v>
      </c>
      <c r="R824" s="13">
        <f>L824*Assumptions!$B$11+M824*Assumptions!$B$12+N824*Assumptions!$B$13+O824*Assumptions!$B$14+P824*Assumptions!$B$15+Q824*Assumptions!$B$16</f>
        <v>0</v>
      </c>
      <c r="S824" s="13" t="str">
        <f>IF(R824&gt;=Assumptions!$B$20,"High",IF(R824&gt;=Assumptions!$B$21,"Medium",IF(R824&gt;=1,"Low","Clear")))</f>
        <v>Clear</v>
      </c>
      <c r="T824" s="13" t="str">
        <f t="shared" si="64"/>
        <v/>
      </c>
    </row>
    <row r="825" spans="1:20" x14ac:dyDescent="0.35">
      <c r="A825" s="13" t="s">
        <v>3371</v>
      </c>
      <c r="B825" s="13" t="s">
        <v>228</v>
      </c>
      <c r="C825" s="13" t="s">
        <v>229</v>
      </c>
      <c r="D825" s="13" t="s">
        <v>3372</v>
      </c>
      <c r="E825" s="14">
        <v>45944</v>
      </c>
      <c r="F825" s="14">
        <v>45980</v>
      </c>
      <c r="G825" s="15">
        <v>58346.13</v>
      </c>
      <c r="H825" s="13" t="s">
        <v>3373</v>
      </c>
      <c r="I825" s="13" t="s">
        <v>3374</v>
      </c>
      <c r="J825" s="13" t="s">
        <v>111</v>
      </c>
      <c r="K825" s="13">
        <f t="shared" si="60"/>
        <v>5</v>
      </c>
      <c r="L825" s="13">
        <f t="shared" si="61"/>
        <v>0</v>
      </c>
      <c r="M825" s="13">
        <f>IF(AND(L825=0,COUNTIFS($B$2:$B$1534,B825,$G$2:$G$1534,G825,$E$2:$E$1534,"&gt;="&amp;(E825-Assumptions!$B$5),$E$2:$E$1534,"&lt;="&amp;(E825+Assumptions!$B$5))&gt;1),1,0)</f>
        <v>0</v>
      </c>
      <c r="N825" s="13">
        <f>IF(AND(G825&gt;=Assumptions!$B$4*(1-Assumptions!$B$6),G825&lt;Assumptions!$B$4),1,0)</f>
        <v>0</v>
      </c>
      <c r="O825" s="13">
        <f>IF(AND(G825&gt;=Assumptions!$B$7,MOD(G825,Assumptions!$B$7)=0),1,0)</f>
        <v>0</v>
      </c>
      <c r="P825" s="13">
        <f t="shared" si="62"/>
        <v>0</v>
      </c>
      <c r="Q825" s="13">
        <f t="shared" si="63"/>
        <v>0</v>
      </c>
      <c r="R825" s="13">
        <f>L825*Assumptions!$B$11+M825*Assumptions!$B$12+N825*Assumptions!$B$13+O825*Assumptions!$B$14+P825*Assumptions!$B$15+Q825*Assumptions!$B$16</f>
        <v>0</v>
      </c>
      <c r="S825" s="13" t="str">
        <f>IF(R825&gt;=Assumptions!$B$20,"High",IF(R825&gt;=Assumptions!$B$21,"Medium",IF(R825&gt;=1,"Low","Clear")))</f>
        <v>Clear</v>
      </c>
      <c r="T825" s="13" t="str">
        <f t="shared" si="64"/>
        <v/>
      </c>
    </row>
    <row r="826" spans="1:20" x14ac:dyDescent="0.35">
      <c r="A826" s="13" t="s">
        <v>3375</v>
      </c>
      <c r="B826" s="13" t="s">
        <v>498</v>
      </c>
      <c r="C826" s="13" t="s">
        <v>499</v>
      </c>
      <c r="D826" s="13" t="s">
        <v>3376</v>
      </c>
      <c r="E826" s="14">
        <v>45940</v>
      </c>
      <c r="F826" s="14">
        <v>45980</v>
      </c>
      <c r="G826" s="15">
        <v>797070.12</v>
      </c>
      <c r="H826" s="13" t="s">
        <v>3377</v>
      </c>
      <c r="I826" s="13" t="s">
        <v>3378</v>
      </c>
      <c r="J826" s="13" t="s">
        <v>170</v>
      </c>
      <c r="K826" s="13">
        <f t="shared" si="60"/>
        <v>7</v>
      </c>
      <c r="L826" s="13">
        <f t="shared" si="61"/>
        <v>0</v>
      </c>
      <c r="M826" s="13">
        <f>IF(AND(L826=0,COUNTIFS($B$2:$B$1534,B826,$G$2:$G$1534,G826,$E$2:$E$1534,"&gt;="&amp;(E826-Assumptions!$B$5),$E$2:$E$1534,"&lt;="&amp;(E826+Assumptions!$B$5))&gt;1),1,0)</f>
        <v>0</v>
      </c>
      <c r="N826" s="13">
        <f>IF(AND(G826&gt;=Assumptions!$B$4*(1-Assumptions!$B$6),G826&lt;Assumptions!$B$4),1,0)</f>
        <v>0</v>
      </c>
      <c r="O826" s="13">
        <f>IF(AND(G826&gt;=Assumptions!$B$7,MOD(G826,Assumptions!$B$7)=0),1,0)</f>
        <v>0</v>
      </c>
      <c r="P826" s="13">
        <f t="shared" si="62"/>
        <v>0</v>
      </c>
      <c r="Q826" s="13">
        <f t="shared" si="63"/>
        <v>0</v>
      </c>
      <c r="R826" s="13">
        <f>L826*Assumptions!$B$11+M826*Assumptions!$B$12+N826*Assumptions!$B$13+O826*Assumptions!$B$14+P826*Assumptions!$B$15+Q826*Assumptions!$B$16</f>
        <v>0</v>
      </c>
      <c r="S826" s="13" t="str">
        <f>IF(R826&gt;=Assumptions!$B$20,"High",IF(R826&gt;=Assumptions!$B$21,"Medium",IF(R826&gt;=1,"Low","Clear")))</f>
        <v>Clear</v>
      </c>
      <c r="T826" s="13" t="str">
        <f t="shared" si="64"/>
        <v/>
      </c>
    </row>
    <row r="827" spans="1:20" x14ac:dyDescent="0.35">
      <c r="A827" s="13" t="s">
        <v>3379</v>
      </c>
      <c r="B827" s="13" t="s">
        <v>113</v>
      </c>
      <c r="C827" s="13" t="s">
        <v>114</v>
      </c>
      <c r="D827" s="13" t="s">
        <v>3380</v>
      </c>
      <c r="E827" s="14">
        <v>45959</v>
      </c>
      <c r="F827" s="14">
        <v>45980</v>
      </c>
      <c r="G827" s="15">
        <v>409776.87</v>
      </c>
      <c r="H827" s="13" t="s">
        <v>3381</v>
      </c>
      <c r="I827" s="13" t="s">
        <v>3382</v>
      </c>
      <c r="J827" s="13" t="s">
        <v>143</v>
      </c>
      <c r="K827" s="13">
        <f t="shared" si="60"/>
        <v>4</v>
      </c>
      <c r="L827" s="13">
        <f t="shared" si="61"/>
        <v>1</v>
      </c>
      <c r="M827" s="13">
        <f>IF(AND(L827=0,COUNTIFS($B$2:$B$1534,B827,$G$2:$G$1534,G827,$E$2:$E$1534,"&gt;="&amp;(E827-Assumptions!$B$5),$E$2:$E$1534,"&lt;="&amp;(E827+Assumptions!$B$5))&gt;1),1,0)</f>
        <v>0</v>
      </c>
      <c r="N827" s="13">
        <f>IF(AND(G827&gt;=Assumptions!$B$4*(1-Assumptions!$B$6),G827&lt;Assumptions!$B$4),1,0)</f>
        <v>0</v>
      </c>
      <c r="O827" s="13">
        <f>IF(AND(G827&gt;=Assumptions!$B$7,MOD(G827,Assumptions!$B$7)=0),1,0)</f>
        <v>0</v>
      </c>
      <c r="P827" s="13">
        <f t="shared" si="62"/>
        <v>0</v>
      </c>
      <c r="Q827" s="13">
        <f t="shared" si="63"/>
        <v>0</v>
      </c>
      <c r="R827" s="13">
        <f>L827*Assumptions!$B$11+M827*Assumptions!$B$12+N827*Assumptions!$B$13+O827*Assumptions!$B$14+P827*Assumptions!$B$15+Q827*Assumptions!$B$16</f>
        <v>5</v>
      </c>
      <c r="S827" s="13" t="str">
        <f>IF(R827&gt;=Assumptions!$B$20,"High",IF(R827&gt;=Assumptions!$B$21,"Medium",IF(R827&gt;=1,"Low","Clear")))</f>
        <v>High</v>
      </c>
      <c r="T827" s="13" t="str">
        <f t="shared" si="64"/>
        <v xml:space="preserve">Duplicate invoice; </v>
      </c>
    </row>
    <row r="828" spans="1:20" x14ac:dyDescent="0.35">
      <c r="A828" s="13" t="s">
        <v>3383</v>
      </c>
      <c r="B828" s="13" t="s">
        <v>323</v>
      </c>
      <c r="C828" s="13" t="s">
        <v>324</v>
      </c>
      <c r="D828" s="13" t="s">
        <v>3384</v>
      </c>
      <c r="E828" s="14">
        <v>45959</v>
      </c>
      <c r="F828" s="14">
        <v>45980</v>
      </c>
      <c r="G828" s="15">
        <v>10031.75</v>
      </c>
      <c r="H828" s="13" t="s">
        <v>3385</v>
      </c>
      <c r="I828" s="13" t="s">
        <v>3386</v>
      </c>
      <c r="J828" s="13" t="s">
        <v>143</v>
      </c>
      <c r="K828" s="13">
        <f t="shared" si="60"/>
        <v>1</v>
      </c>
      <c r="L828" s="13">
        <f t="shared" si="61"/>
        <v>0</v>
      </c>
      <c r="M828" s="13">
        <f>IF(AND(L828=0,COUNTIFS($B$2:$B$1534,B828,$G$2:$G$1534,G828,$E$2:$E$1534,"&gt;="&amp;(E828-Assumptions!$B$5),$E$2:$E$1534,"&lt;="&amp;(E828+Assumptions!$B$5))&gt;1),1,0)</f>
        <v>0</v>
      </c>
      <c r="N828" s="13">
        <f>IF(AND(G828&gt;=Assumptions!$B$4*(1-Assumptions!$B$6),G828&lt;Assumptions!$B$4),1,0)</f>
        <v>0</v>
      </c>
      <c r="O828" s="13">
        <f>IF(AND(G828&gt;=Assumptions!$B$7,MOD(G828,Assumptions!$B$7)=0),1,0)</f>
        <v>0</v>
      </c>
      <c r="P828" s="13">
        <f t="shared" si="62"/>
        <v>0</v>
      </c>
      <c r="Q828" s="13">
        <f t="shared" si="63"/>
        <v>0</v>
      </c>
      <c r="R828" s="13">
        <f>L828*Assumptions!$B$11+M828*Assumptions!$B$12+N828*Assumptions!$B$13+O828*Assumptions!$B$14+P828*Assumptions!$B$15+Q828*Assumptions!$B$16</f>
        <v>0</v>
      </c>
      <c r="S828" s="13" t="str">
        <f>IF(R828&gt;=Assumptions!$B$20,"High",IF(R828&gt;=Assumptions!$B$21,"Medium",IF(R828&gt;=1,"Low","Clear")))</f>
        <v>Clear</v>
      </c>
      <c r="T828" s="13" t="str">
        <f t="shared" si="64"/>
        <v/>
      </c>
    </row>
    <row r="829" spans="1:20" x14ac:dyDescent="0.35">
      <c r="A829" s="13" t="s">
        <v>3387</v>
      </c>
      <c r="B829" s="13" t="s">
        <v>161</v>
      </c>
      <c r="C829" s="13" t="s">
        <v>162</v>
      </c>
      <c r="D829" s="13" t="s">
        <v>3388</v>
      </c>
      <c r="E829" s="14">
        <v>45959</v>
      </c>
      <c r="F829" s="14">
        <v>45980</v>
      </c>
      <c r="G829" s="15">
        <v>3653.82</v>
      </c>
      <c r="H829" s="13" t="s">
        <v>3389</v>
      </c>
      <c r="I829" s="13" t="s">
        <v>3390</v>
      </c>
      <c r="J829" s="13" t="s">
        <v>98</v>
      </c>
      <c r="K829" s="13">
        <f t="shared" si="60"/>
        <v>3</v>
      </c>
      <c r="L829" s="13">
        <f t="shared" si="61"/>
        <v>0</v>
      </c>
      <c r="M829" s="13">
        <f>IF(AND(L829=0,COUNTIFS($B$2:$B$1534,B829,$G$2:$G$1534,G829,$E$2:$E$1534,"&gt;="&amp;(E829-Assumptions!$B$5),$E$2:$E$1534,"&lt;="&amp;(E829+Assumptions!$B$5))&gt;1),1,0)</f>
        <v>0</v>
      </c>
      <c r="N829" s="13">
        <f>IF(AND(G829&gt;=Assumptions!$B$4*(1-Assumptions!$B$6),G829&lt;Assumptions!$B$4),1,0)</f>
        <v>0</v>
      </c>
      <c r="O829" s="13">
        <f>IF(AND(G829&gt;=Assumptions!$B$7,MOD(G829,Assumptions!$B$7)=0),1,0)</f>
        <v>0</v>
      </c>
      <c r="P829" s="13">
        <f t="shared" si="62"/>
        <v>0</v>
      </c>
      <c r="Q829" s="13">
        <f t="shared" si="63"/>
        <v>0</v>
      </c>
      <c r="R829" s="13">
        <f>L829*Assumptions!$B$11+M829*Assumptions!$B$12+N829*Assumptions!$B$13+O829*Assumptions!$B$14+P829*Assumptions!$B$15+Q829*Assumptions!$B$16</f>
        <v>0</v>
      </c>
      <c r="S829" s="13" t="str">
        <f>IF(R829&gt;=Assumptions!$B$20,"High",IF(R829&gt;=Assumptions!$B$21,"Medium",IF(R829&gt;=1,"Low","Clear")))</f>
        <v>Clear</v>
      </c>
      <c r="T829" s="13" t="str">
        <f t="shared" si="64"/>
        <v/>
      </c>
    </row>
    <row r="830" spans="1:20" x14ac:dyDescent="0.35">
      <c r="A830" s="13" t="s">
        <v>3391</v>
      </c>
      <c r="B830" s="13" t="s">
        <v>106</v>
      </c>
      <c r="C830" s="13" t="s">
        <v>107</v>
      </c>
      <c r="D830" s="13" t="s">
        <v>3392</v>
      </c>
      <c r="E830" s="14">
        <v>45940</v>
      </c>
      <c r="F830" s="14">
        <v>45980</v>
      </c>
      <c r="G830" s="15">
        <v>237129.66</v>
      </c>
      <c r="H830" s="13" t="s">
        <v>3393</v>
      </c>
      <c r="I830" s="13" t="s">
        <v>3394</v>
      </c>
      <c r="J830" s="13" t="s">
        <v>136</v>
      </c>
      <c r="K830" s="13">
        <f t="shared" si="60"/>
        <v>2</v>
      </c>
      <c r="L830" s="13">
        <f t="shared" si="61"/>
        <v>0</v>
      </c>
      <c r="M830" s="13">
        <f>IF(AND(L830=0,COUNTIFS($B$2:$B$1534,B830,$G$2:$G$1534,G830,$E$2:$E$1534,"&gt;="&amp;(E830-Assumptions!$B$5),$E$2:$E$1534,"&lt;="&amp;(E830+Assumptions!$B$5))&gt;1),1,0)</f>
        <v>0</v>
      </c>
      <c r="N830" s="13">
        <f>IF(AND(G830&gt;=Assumptions!$B$4*(1-Assumptions!$B$6),G830&lt;Assumptions!$B$4),1,0)</f>
        <v>0</v>
      </c>
      <c r="O830" s="13">
        <f>IF(AND(G830&gt;=Assumptions!$B$7,MOD(G830,Assumptions!$B$7)=0),1,0)</f>
        <v>0</v>
      </c>
      <c r="P830" s="13">
        <f t="shared" si="62"/>
        <v>0</v>
      </c>
      <c r="Q830" s="13">
        <f t="shared" si="63"/>
        <v>0</v>
      </c>
      <c r="R830" s="13">
        <f>L830*Assumptions!$B$11+M830*Assumptions!$B$12+N830*Assumptions!$B$13+O830*Assumptions!$B$14+P830*Assumptions!$B$15+Q830*Assumptions!$B$16</f>
        <v>0</v>
      </c>
      <c r="S830" s="13" t="str">
        <f>IF(R830&gt;=Assumptions!$B$20,"High",IF(R830&gt;=Assumptions!$B$21,"Medium",IF(R830&gt;=1,"Low","Clear")))</f>
        <v>Clear</v>
      </c>
      <c r="T830" s="13" t="str">
        <f t="shared" si="64"/>
        <v/>
      </c>
    </row>
    <row r="831" spans="1:20" x14ac:dyDescent="0.35">
      <c r="A831" s="13" t="s">
        <v>3395</v>
      </c>
      <c r="B831" s="13" t="s">
        <v>357</v>
      </c>
      <c r="C831" s="13" t="s">
        <v>358</v>
      </c>
      <c r="D831" s="13" t="s">
        <v>3213</v>
      </c>
      <c r="E831" s="14">
        <v>45933</v>
      </c>
      <c r="F831" s="14">
        <v>45980</v>
      </c>
      <c r="G831" s="15">
        <v>33313.65</v>
      </c>
      <c r="H831" s="13" t="s">
        <v>3214</v>
      </c>
      <c r="I831" s="13" t="s">
        <v>3215</v>
      </c>
      <c r="J831" s="13" t="s">
        <v>136</v>
      </c>
      <c r="K831" s="13">
        <f t="shared" si="60"/>
        <v>3</v>
      </c>
      <c r="L831" s="13">
        <f t="shared" si="61"/>
        <v>1</v>
      </c>
      <c r="M831" s="13">
        <f>IF(AND(L831=0,COUNTIFS($B$2:$B$1534,B831,$G$2:$G$1534,G831,$E$2:$E$1534,"&gt;="&amp;(E831-Assumptions!$B$5),$E$2:$E$1534,"&lt;="&amp;(E831+Assumptions!$B$5))&gt;1),1,0)</f>
        <v>0</v>
      </c>
      <c r="N831" s="13">
        <f>IF(AND(G831&gt;=Assumptions!$B$4*(1-Assumptions!$B$6),G831&lt;Assumptions!$B$4),1,0)</f>
        <v>0</v>
      </c>
      <c r="O831" s="13">
        <f>IF(AND(G831&gt;=Assumptions!$B$7,MOD(G831,Assumptions!$B$7)=0),1,0)</f>
        <v>0</v>
      </c>
      <c r="P831" s="13">
        <f t="shared" si="62"/>
        <v>0</v>
      </c>
      <c r="Q831" s="13">
        <f t="shared" si="63"/>
        <v>0</v>
      </c>
      <c r="R831" s="13">
        <f>L831*Assumptions!$B$11+M831*Assumptions!$B$12+N831*Assumptions!$B$13+O831*Assumptions!$B$14+P831*Assumptions!$B$15+Q831*Assumptions!$B$16</f>
        <v>5</v>
      </c>
      <c r="S831" s="13" t="str">
        <f>IF(R831&gt;=Assumptions!$B$20,"High",IF(R831&gt;=Assumptions!$B$21,"Medium",IF(R831&gt;=1,"Low","Clear")))</f>
        <v>High</v>
      </c>
      <c r="T831" s="13" t="str">
        <f t="shared" si="64"/>
        <v xml:space="preserve">Duplicate invoice; </v>
      </c>
    </row>
    <row r="832" spans="1:20" x14ac:dyDescent="0.35">
      <c r="A832" s="13" t="s">
        <v>3396</v>
      </c>
      <c r="B832" s="13" t="s">
        <v>182</v>
      </c>
      <c r="C832" s="13" t="s">
        <v>183</v>
      </c>
      <c r="D832" s="13" t="s">
        <v>3397</v>
      </c>
      <c r="E832" s="14">
        <v>45960</v>
      </c>
      <c r="F832" s="14">
        <v>45981</v>
      </c>
      <c r="G832" s="15">
        <v>15465.43</v>
      </c>
      <c r="H832" s="13" t="s">
        <v>3398</v>
      </c>
      <c r="I832" s="13" t="s">
        <v>3399</v>
      </c>
      <c r="J832" s="13" t="s">
        <v>98</v>
      </c>
      <c r="K832" s="13">
        <f t="shared" si="60"/>
        <v>1</v>
      </c>
      <c r="L832" s="13">
        <f t="shared" si="61"/>
        <v>0</v>
      </c>
      <c r="M832" s="13">
        <f>IF(AND(L832=0,COUNTIFS($B$2:$B$1534,B832,$G$2:$G$1534,G832,$E$2:$E$1534,"&gt;="&amp;(E832-Assumptions!$B$5),$E$2:$E$1534,"&lt;="&amp;(E832+Assumptions!$B$5))&gt;1),1,0)</f>
        <v>0</v>
      </c>
      <c r="N832" s="13">
        <f>IF(AND(G832&gt;=Assumptions!$B$4*(1-Assumptions!$B$6),G832&lt;Assumptions!$B$4),1,0)</f>
        <v>0</v>
      </c>
      <c r="O832" s="13">
        <f>IF(AND(G832&gt;=Assumptions!$B$7,MOD(G832,Assumptions!$B$7)=0),1,0)</f>
        <v>0</v>
      </c>
      <c r="P832" s="13">
        <f t="shared" si="62"/>
        <v>0</v>
      </c>
      <c r="Q832" s="13">
        <f t="shared" si="63"/>
        <v>0</v>
      </c>
      <c r="R832" s="13">
        <f>L832*Assumptions!$B$11+M832*Assumptions!$B$12+N832*Assumptions!$B$13+O832*Assumptions!$B$14+P832*Assumptions!$B$15+Q832*Assumptions!$B$16</f>
        <v>0</v>
      </c>
      <c r="S832" s="13" t="str">
        <f>IF(R832&gt;=Assumptions!$B$20,"High",IF(R832&gt;=Assumptions!$B$21,"Medium",IF(R832&gt;=1,"Low","Clear")))</f>
        <v>Clear</v>
      </c>
      <c r="T832" s="13" t="str">
        <f t="shared" si="64"/>
        <v/>
      </c>
    </row>
    <row r="833" spans="1:20" x14ac:dyDescent="0.35">
      <c r="A833" s="13" t="s">
        <v>3400</v>
      </c>
      <c r="B833" s="13" t="s">
        <v>200</v>
      </c>
      <c r="C833" s="13" t="s">
        <v>201</v>
      </c>
      <c r="D833" s="13" t="s">
        <v>3401</v>
      </c>
      <c r="E833" s="14">
        <v>45946</v>
      </c>
      <c r="F833" s="14">
        <v>45981</v>
      </c>
      <c r="G833" s="15">
        <v>26396.16</v>
      </c>
      <c r="H833" s="13" t="s">
        <v>3402</v>
      </c>
      <c r="I833" s="13" t="s">
        <v>3403</v>
      </c>
      <c r="J833" s="13" t="s">
        <v>143</v>
      </c>
      <c r="K833" s="13">
        <f t="shared" si="60"/>
        <v>2</v>
      </c>
      <c r="L833" s="13">
        <f t="shared" si="61"/>
        <v>0</v>
      </c>
      <c r="M833" s="13">
        <f>IF(AND(L833=0,COUNTIFS($B$2:$B$1534,B833,$G$2:$G$1534,G833,$E$2:$E$1534,"&gt;="&amp;(E833-Assumptions!$B$5),$E$2:$E$1534,"&lt;="&amp;(E833+Assumptions!$B$5))&gt;1),1,0)</f>
        <v>0</v>
      </c>
      <c r="N833" s="13">
        <f>IF(AND(G833&gt;=Assumptions!$B$4*(1-Assumptions!$B$6),G833&lt;Assumptions!$B$4),1,0)</f>
        <v>0</v>
      </c>
      <c r="O833" s="13">
        <f>IF(AND(G833&gt;=Assumptions!$B$7,MOD(G833,Assumptions!$B$7)=0),1,0)</f>
        <v>0</v>
      </c>
      <c r="P833" s="13">
        <f t="shared" si="62"/>
        <v>0</v>
      </c>
      <c r="Q833" s="13">
        <f t="shared" si="63"/>
        <v>0</v>
      </c>
      <c r="R833" s="13">
        <f>L833*Assumptions!$B$11+M833*Assumptions!$B$12+N833*Assumptions!$B$13+O833*Assumptions!$B$14+P833*Assumptions!$B$15+Q833*Assumptions!$B$16</f>
        <v>0</v>
      </c>
      <c r="S833" s="13" t="str">
        <f>IF(R833&gt;=Assumptions!$B$20,"High",IF(R833&gt;=Assumptions!$B$21,"Medium",IF(R833&gt;=1,"Low","Clear")))</f>
        <v>Clear</v>
      </c>
      <c r="T833" s="13" t="str">
        <f t="shared" si="64"/>
        <v/>
      </c>
    </row>
    <row r="834" spans="1:20" x14ac:dyDescent="0.35">
      <c r="A834" s="13" t="s">
        <v>3404</v>
      </c>
      <c r="B834" s="13" t="s">
        <v>176</v>
      </c>
      <c r="C834" s="13" t="s">
        <v>177</v>
      </c>
      <c r="D834" s="13" t="s">
        <v>3405</v>
      </c>
      <c r="E834" s="14">
        <v>45961</v>
      </c>
      <c r="F834" s="14">
        <v>45982</v>
      </c>
      <c r="G834" s="15">
        <v>1318.79</v>
      </c>
      <c r="H834" s="13" t="s">
        <v>3406</v>
      </c>
      <c r="I834" s="13" t="s">
        <v>3407</v>
      </c>
      <c r="J834" s="13" t="s">
        <v>111</v>
      </c>
      <c r="K834" s="13">
        <f t="shared" ref="K834:K897" si="65">VALUE(LEFT(TEXT(G834,"0"),1))</f>
        <v>1</v>
      </c>
      <c r="L834" s="13">
        <f t="shared" ref="L834:L897" si="66">IF(COUNTIFS($B$2:$B$1534,B834,$D$2:$D$1534,D834)&gt;1,1,0)</f>
        <v>0</v>
      </c>
      <c r="M834" s="13">
        <f>IF(AND(L834=0,COUNTIFS($B$2:$B$1534,B834,$G$2:$G$1534,G834,$E$2:$E$1534,"&gt;="&amp;(E834-Assumptions!$B$5),$E$2:$E$1534,"&lt;="&amp;(E834+Assumptions!$B$5))&gt;1),1,0)</f>
        <v>0</v>
      </c>
      <c r="N834" s="13">
        <f>IF(AND(G834&gt;=Assumptions!$B$4*(1-Assumptions!$B$6),G834&lt;Assumptions!$B$4),1,0)</f>
        <v>0</v>
      </c>
      <c r="O834" s="13">
        <f>IF(AND(G834&gt;=Assumptions!$B$7,MOD(G834,Assumptions!$B$7)=0),1,0)</f>
        <v>0</v>
      </c>
      <c r="P834" s="13">
        <f t="shared" ref="P834:P897" si="67">IF(OR(H834="",I834=""),1,0)</f>
        <v>0</v>
      </c>
      <c r="Q834" s="13">
        <f t="shared" ref="Q834:Q897" si="68">IF(WEEKDAY(F834,2)&gt;5,1,0)</f>
        <v>0</v>
      </c>
      <c r="R834" s="13">
        <f>L834*Assumptions!$B$11+M834*Assumptions!$B$12+N834*Assumptions!$B$13+O834*Assumptions!$B$14+P834*Assumptions!$B$15+Q834*Assumptions!$B$16</f>
        <v>0</v>
      </c>
      <c r="S834" s="13" t="str">
        <f>IF(R834&gt;=Assumptions!$B$20,"High",IF(R834&gt;=Assumptions!$B$21,"Medium",IF(R834&gt;=1,"Low","Clear")))</f>
        <v>Clear</v>
      </c>
      <c r="T834" s="13" t="str">
        <f t="shared" ref="T834:T897" si="69">IF(R834=0,"",IF(L834=1,"Duplicate invoice; ","")&amp;IF(M834=1,"Near-duplicate; ","")&amp;IF(N834=1,"Just below limit; ","")&amp;IF(O834=1,"Round amount; ","")&amp;IF(P834=1,"No PO/GRN; ","")&amp;IF(Q834=1,"Weekend payment; ",""))</f>
        <v/>
      </c>
    </row>
    <row r="835" spans="1:20" x14ac:dyDescent="0.35">
      <c r="A835" s="13" t="s">
        <v>3408</v>
      </c>
      <c r="B835" s="13" t="s">
        <v>252</v>
      </c>
      <c r="C835" s="13" t="s">
        <v>253</v>
      </c>
      <c r="D835" s="13" t="s">
        <v>3409</v>
      </c>
      <c r="E835" s="14">
        <v>45950</v>
      </c>
      <c r="F835" s="14">
        <v>45982</v>
      </c>
      <c r="G835" s="15">
        <v>121649.79</v>
      </c>
      <c r="H835" s="13" t="s">
        <v>3410</v>
      </c>
      <c r="I835" s="13" t="s">
        <v>3411</v>
      </c>
      <c r="J835" s="13" t="s">
        <v>111</v>
      </c>
      <c r="K835" s="13">
        <f t="shared" si="65"/>
        <v>1</v>
      </c>
      <c r="L835" s="13">
        <f t="shared" si="66"/>
        <v>0</v>
      </c>
      <c r="M835" s="13">
        <f>IF(AND(L835=0,COUNTIFS($B$2:$B$1534,B835,$G$2:$G$1534,G835,$E$2:$E$1534,"&gt;="&amp;(E835-Assumptions!$B$5),$E$2:$E$1534,"&lt;="&amp;(E835+Assumptions!$B$5))&gt;1),1,0)</f>
        <v>0</v>
      </c>
      <c r="N835" s="13">
        <f>IF(AND(G835&gt;=Assumptions!$B$4*(1-Assumptions!$B$6),G835&lt;Assumptions!$B$4),1,0)</f>
        <v>0</v>
      </c>
      <c r="O835" s="13">
        <f>IF(AND(G835&gt;=Assumptions!$B$7,MOD(G835,Assumptions!$B$7)=0),1,0)</f>
        <v>0</v>
      </c>
      <c r="P835" s="13">
        <f t="shared" si="67"/>
        <v>0</v>
      </c>
      <c r="Q835" s="13">
        <f t="shared" si="68"/>
        <v>0</v>
      </c>
      <c r="R835" s="13">
        <f>L835*Assumptions!$B$11+M835*Assumptions!$B$12+N835*Assumptions!$B$13+O835*Assumptions!$B$14+P835*Assumptions!$B$15+Q835*Assumptions!$B$16</f>
        <v>0</v>
      </c>
      <c r="S835" s="13" t="str">
        <f>IF(R835&gt;=Assumptions!$B$20,"High",IF(R835&gt;=Assumptions!$B$21,"Medium",IF(R835&gt;=1,"Low","Clear")))</f>
        <v>Clear</v>
      </c>
      <c r="T835" s="13" t="str">
        <f t="shared" si="69"/>
        <v/>
      </c>
    </row>
    <row r="836" spans="1:20" x14ac:dyDescent="0.35">
      <c r="A836" s="13" t="s">
        <v>3412</v>
      </c>
      <c r="B836" s="13" t="s">
        <v>93</v>
      </c>
      <c r="C836" s="13" t="s">
        <v>94</v>
      </c>
      <c r="D836" s="13" t="s">
        <v>3413</v>
      </c>
      <c r="E836" s="14">
        <v>45952</v>
      </c>
      <c r="F836" s="14">
        <v>45982</v>
      </c>
      <c r="G836" s="15">
        <v>6851.87</v>
      </c>
      <c r="H836" s="13" t="s">
        <v>3414</v>
      </c>
      <c r="I836" s="13" t="s">
        <v>3415</v>
      </c>
      <c r="J836" s="13" t="s">
        <v>170</v>
      </c>
      <c r="K836" s="13">
        <f t="shared" si="65"/>
        <v>6</v>
      </c>
      <c r="L836" s="13">
        <f t="shared" si="66"/>
        <v>0</v>
      </c>
      <c r="M836" s="13">
        <f>IF(AND(L836=0,COUNTIFS($B$2:$B$1534,B836,$G$2:$G$1534,G836,$E$2:$E$1534,"&gt;="&amp;(E836-Assumptions!$B$5),$E$2:$E$1534,"&lt;="&amp;(E836+Assumptions!$B$5))&gt;1),1,0)</f>
        <v>0</v>
      </c>
      <c r="N836" s="13">
        <f>IF(AND(G836&gt;=Assumptions!$B$4*(1-Assumptions!$B$6),G836&lt;Assumptions!$B$4),1,0)</f>
        <v>0</v>
      </c>
      <c r="O836" s="13">
        <f>IF(AND(G836&gt;=Assumptions!$B$7,MOD(G836,Assumptions!$B$7)=0),1,0)</f>
        <v>0</v>
      </c>
      <c r="P836" s="13">
        <f t="shared" si="67"/>
        <v>0</v>
      </c>
      <c r="Q836" s="13">
        <f t="shared" si="68"/>
        <v>0</v>
      </c>
      <c r="R836" s="13">
        <f>L836*Assumptions!$B$11+M836*Assumptions!$B$12+N836*Assumptions!$B$13+O836*Assumptions!$B$14+P836*Assumptions!$B$15+Q836*Assumptions!$B$16</f>
        <v>0</v>
      </c>
      <c r="S836" s="13" t="str">
        <f>IF(R836&gt;=Assumptions!$B$20,"High",IF(R836&gt;=Assumptions!$B$21,"Medium",IF(R836&gt;=1,"Low","Clear")))</f>
        <v>Clear</v>
      </c>
      <c r="T836" s="13" t="str">
        <f t="shared" si="69"/>
        <v/>
      </c>
    </row>
    <row r="837" spans="1:20" x14ac:dyDescent="0.35">
      <c r="A837" s="13" t="s">
        <v>3416</v>
      </c>
      <c r="B837" s="13" t="s">
        <v>466</v>
      </c>
      <c r="C837" s="13" t="s">
        <v>467</v>
      </c>
      <c r="D837" s="13" t="s">
        <v>3417</v>
      </c>
      <c r="E837" s="14">
        <v>45948</v>
      </c>
      <c r="F837" s="14">
        <v>45982</v>
      </c>
      <c r="G837" s="15">
        <v>49603.98</v>
      </c>
      <c r="H837" s="13" t="s">
        <v>3418</v>
      </c>
      <c r="I837" s="13" t="s">
        <v>3419</v>
      </c>
      <c r="J837" s="13" t="s">
        <v>98</v>
      </c>
      <c r="K837" s="13">
        <f t="shared" si="65"/>
        <v>4</v>
      </c>
      <c r="L837" s="13">
        <f t="shared" si="66"/>
        <v>0</v>
      </c>
      <c r="M837" s="13">
        <f>IF(AND(L837=0,COUNTIFS($B$2:$B$1534,B837,$G$2:$G$1534,G837,$E$2:$E$1534,"&gt;="&amp;(E837-Assumptions!$B$5),$E$2:$E$1534,"&lt;="&amp;(E837+Assumptions!$B$5))&gt;1),1,0)</f>
        <v>0</v>
      </c>
      <c r="N837" s="13">
        <f>IF(AND(G837&gt;=Assumptions!$B$4*(1-Assumptions!$B$6),G837&lt;Assumptions!$B$4),1,0)</f>
        <v>1</v>
      </c>
      <c r="O837" s="13">
        <f>IF(AND(G837&gt;=Assumptions!$B$7,MOD(G837,Assumptions!$B$7)=0),1,0)</f>
        <v>0</v>
      </c>
      <c r="P837" s="13">
        <f t="shared" si="67"/>
        <v>0</v>
      </c>
      <c r="Q837" s="13">
        <f t="shared" si="68"/>
        <v>0</v>
      </c>
      <c r="R837" s="13">
        <f>L837*Assumptions!$B$11+M837*Assumptions!$B$12+N837*Assumptions!$B$13+O837*Assumptions!$B$14+P837*Assumptions!$B$15+Q837*Assumptions!$B$16</f>
        <v>3</v>
      </c>
      <c r="S837" s="13" t="str">
        <f>IF(R837&gt;=Assumptions!$B$20,"High",IF(R837&gt;=Assumptions!$B$21,"Medium",IF(R837&gt;=1,"Low","Clear")))</f>
        <v>Medium</v>
      </c>
      <c r="T837" s="13" t="str">
        <f t="shared" si="69"/>
        <v xml:space="preserve">Just below limit; </v>
      </c>
    </row>
    <row r="838" spans="1:20" x14ac:dyDescent="0.35">
      <c r="A838" s="13" t="s">
        <v>3420</v>
      </c>
      <c r="B838" s="13" t="s">
        <v>212</v>
      </c>
      <c r="C838" s="13" t="s">
        <v>213</v>
      </c>
      <c r="D838" s="13" t="s">
        <v>3421</v>
      </c>
      <c r="E838" s="14">
        <v>45948</v>
      </c>
      <c r="F838" s="14">
        <v>45982</v>
      </c>
      <c r="G838" s="15">
        <v>207504.11</v>
      </c>
      <c r="H838" s="13" t="s">
        <v>3422</v>
      </c>
      <c r="I838" s="13" t="s">
        <v>3423</v>
      </c>
      <c r="J838" s="13" t="s">
        <v>143</v>
      </c>
      <c r="K838" s="13">
        <f t="shared" si="65"/>
        <v>2</v>
      </c>
      <c r="L838" s="13">
        <f t="shared" si="66"/>
        <v>0</v>
      </c>
      <c r="M838" s="13">
        <f>IF(AND(L838=0,COUNTIFS($B$2:$B$1534,B838,$G$2:$G$1534,G838,$E$2:$E$1534,"&gt;="&amp;(E838-Assumptions!$B$5),$E$2:$E$1534,"&lt;="&amp;(E838+Assumptions!$B$5))&gt;1),1,0)</f>
        <v>0</v>
      </c>
      <c r="N838" s="13">
        <f>IF(AND(G838&gt;=Assumptions!$B$4*(1-Assumptions!$B$6),G838&lt;Assumptions!$B$4),1,0)</f>
        <v>0</v>
      </c>
      <c r="O838" s="13">
        <f>IF(AND(G838&gt;=Assumptions!$B$7,MOD(G838,Assumptions!$B$7)=0),1,0)</f>
        <v>0</v>
      </c>
      <c r="P838" s="13">
        <f t="shared" si="67"/>
        <v>0</v>
      </c>
      <c r="Q838" s="13">
        <f t="shared" si="68"/>
        <v>0</v>
      </c>
      <c r="R838" s="13">
        <f>L838*Assumptions!$B$11+M838*Assumptions!$B$12+N838*Assumptions!$B$13+O838*Assumptions!$B$14+P838*Assumptions!$B$15+Q838*Assumptions!$B$16</f>
        <v>0</v>
      </c>
      <c r="S838" s="13" t="str">
        <f>IF(R838&gt;=Assumptions!$B$20,"High",IF(R838&gt;=Assumptions!$B$21,"Medium",IF(R838&gt;=1,"Low","Clear")))</f>
        <v>Clear</v>
      </c>
      <c r="T838" s="13" t="str">
        <f t="shared" si="69"/>
        <v/>
      </c>
    </row>
    <row r="839" spans="1:20" x14ac:dyDescent="0.35">
      <c r="A839" s="13" t="s">
        <v>3424</v>
      </c>
      <c r="B839" s="13" t="s">
        <v>218</v>
      </c>
      <c r="C839" s="13" t="s">
        <v>219</v>
      </c>
      <c r="D839" s="13" t="s">
        <v>3425</v>
      </c>
      <c r="E839" s="14">
        <v>45943</v>
      </c>
      <c r="F839" s="14">
        <v>45982</v>
      </c>
      <c r="G839" s="15">
        <v>973563.18</v>
      </c>
      <c r="H839" s="13" t="s">
        <v>3426</v>
      </c>
      <c r="I839" s="13" t="s">
        <v>3427</v>
      </c>
      <c r="J839" s="13" t="s">
        <v>91</v>
      </c>
      <c r="K839" s="13">
        <f t="shared" si="65"/>
        <v>9</v>
      </c>
      <c r="L839" s="13">
        <f t="shared" si="66"/>
        <v>0</v>
      </c>
      <c r="M839" s="13">
        <f>IF(AND(L839=0,COUNTIFS($B$2:$B$1534,B839,$G$2:$G$1534,G839,$E$2:$E$1534,"&gt;="&amp;(E839-Assumptions!$B$5),$E$2:$E$1534,"&lt;="&amp;(E839+Assumptions!$B$5))&gt;1),1,0)</f>
        <v>0</v>
      </c>
      <c r="N839" s="13">
        <f>IF(AND(G839&gt;=Assumptions!$B$4*(1-Assumptions!$B$6),G839&lt;Assumptions!$B$4),1,0)</f>
        <v>0</v>
      </c>
      <c r="O839" s="13">
        <f>IF(AND(G839&gt;=Assumptions!$B$7,MOD(G839,Assumptions!$B$7)=0),1,0)</f>
        <v>0</v>
      </c>
      <c r="P839" s="13">
        <f t="shared" si="67"/>
        <v>0</v>
      </c>
      <c r="Q839" s="13">
        <f t="shared" si="68"/>
        <v>0</v>
      </c>
      <c r="R839" s="13">
        <f>L839*Assumptions!$B$11+M839*Assumptions!$B$12+N839*Assumptions!$B$13+O839*Assumptions!$B$14+P839*Assumptions!$B$15+Q839*Assumptions!$B$16</f>
        <v>0</v>
      </c>
      <c r="S839" s="13" t="str">
        <f>IF(R839&gt;=Assumptions!$B$20,"High",IF(R839&gt;=Assumptions!$B$21,"Medium",IF(R839&gt;=1,"Low","Clear")))</f>
        <v>Clear</v>
      </c>
      <c r="T839" s="13" t="str">
        <f t="shared" si="69"/>
        <v/>
      </c>
    </row>
    <row r="840" spans="1:20" x14ac:dyDescent="0.35">
      <c r="A840" s="13" t="s">
        <v>3428</v>
      </c>
      <c r="B840" s="13" t="s">
        <v>498</v>
      </c>
      <c r="C840" s="13" t="s">
        <v>499</v>
      </c>
      <c r="D840" s="13" t="s">
        <v>3429</v>
      </c>
      <c r="E840" s="14">
        <v>45958</v>
      </c>
      <c r="F840" s="14">
        <v>45983</v>
      </c>
      <c r="G840" s="15">
        <v>949420.66</v>
      </c>
      <c r="H840" s="13" t="s">
        <v>3430</v>
      </c>
      <c r="I840" s="13" t="s">
        <v>3431</v>
      </c>
      <c r="J840" s="13" t="s">
        <v>136</v>
      </c>
      <c r="K840" s="13">
        <f t="shared" si="65"/>
        <v>9</v>
      </c>
      <c r="L840" s="13">
        <f t="shared" si="66"/>
        <v>0</v>
      </c>
      <c r="M840" s="13">
        <f>IF(AND(L840=0,COUNTIFS($B$2:$B$1534,B840,$G$2:$G$1534,G840,$E$2:$E$1534,"&gt;="&amp;(E840-Assumptions!$B$5),$E$2:$E$1534,"&lt;="&amp;(E840+Assumptions!$B$5))&gt;1),1,0)</f>
        <v>0</v>
      </c>
      <c r="N840" s="13">
        <f>IF(AND(G840&gt;=Assumptions!$B$4*(1-Assumptions!$B$6),G840&lt;Assumptions!$B$4),1,0)</f>
        <v>0</v>
      </c>
      <c r="O840" s="13">
        <f>IF(AND(G840&gt;=Assumptions!$B$7,MOD(G840,Assumptions!$B$7)=0),1,0)</f>
        <v>0</v>
      </c>
      <c r="P840" s="13">
        <f t="shared" si="67"/>
        <v>0</v>
      </c>
      <c r="Q840" s="13">
        <f t="shared" si="68"/>
        <v>1</v>
      </c>
      <c r="R840" s="13">
        <f>L840*Assumptions!$B$11+M840*Assumptions!$B$12+N840*Assumptions!$B$13+O840*Assumptions!$B$14+P840*Assumptions!$B$15+Q840*Assumptions!$B$16</f>
        <v>1</v>
      </c>
      <c r="S840" s="13" t="str">
        <f>IF(R840&gt;=Assumptions!$B$20,"High",IF(R840&gt;=Assumptions!$B$21,"Medium",IF(R840&gt;=1,"Low","Clear")))</f>
        <v>Low</v>
      </c>
      <c r="T840" s="13" t="str">
        <f t="shared" si="69"/>
        <v xml:space="preserve">Weekend payment; </v>
      </c>
    </row>
    <row r="841" spans="1:20" x14ac:dyDescent="0.35">
      <c r="A841" s="13" t="s">
        <v>3432</v>
      </c>
      <c r="B841" s="13" t="s">
        <v>182</v>
      </c>
      <c r="C841" s="13" t="s">
        <v>183</v>
      </c>
      <c r="D841" s="13" t="s">
        <v>3433</v>
      </c>
      <c r="E841" s="14">
        <v>45963</v>
      </c>
      <c r="F841" s="14">
        <v>45985</v>
      </c>
      <c r="G841" s="15">
        <v>928692.36</v>
      </c>
      <c r="H841" s="13" t="s">
        <v>3434</v>
      </c>
      <c r="I841" s="13" t="s">
        <v>3435</v>
      </c>
      <c r="J841" s="13" t="s">
        <v>136</v>
      </c>
      <c r="K841" s="13">
        <f t="shared" si="65"/>
        <v>9</v>
      </c>
      <c r="L841" s="13">
        <f t="shared" si="66"/>
        <v>0</v>
      </c>
      <c r="M841" s="13">
        <f>IF(AND(L841=0,COUNTIFS($B$2:$B$1534,B841,$G$2:$G$1534,G841,$E$2:$E$1534,"&gt;="&amp;(E841-Assumptions!$B$5),$E$2:$E$1534,"&lt;="&amp;(E841+Assumptions!$B$5))&gt;1),1,0)</f>
        <v>0</v>
      </c>
      <c r="N841" s="13">
        <f>IF(AND(G841&gt;=Assumptions!$B$4*(1-Assumptions!$B$6),G841&lt;Assumptions!$B$4),1,0)</f>
        <v>0</v>
      </c>
      <c r="O841" s="13">
        <f>IF(AND(G841&gt;=Assumptions!$B$7,MOD(G841,Assumptions!$B$7)=0),1,0)</f>
        <v>0</v>
      </c>
      <c r="P841" s="13">
        <f t="shared" si="67"/>
        <v>0</v>
      </c>
      <c r="Q841" s="13">
        <f t="shared" si="68"/>
        <v>0</v>
      </c>
      <c r="R841" s="13">
        <f>L841*Assumptions!$B$11+M841*Assumptions!$B$12+N841*Assumptions!$B$13+O841*Assumptions!$B$14+P841*Assumptions!$B$15+Q841*Assumptions!$B$16</f>
        <v>0</v>
      </c>
      <c r="S841" s="13" t="str">
        <f>IF(R841&gt;=Assumptions!$B$20,"High",IF(R841&gt;=Assumptions!$B$21,"Medium",IF(R841&gt;=1,"Low","Clear")))</f>
        <v>Clear</v>
      </c>
      <c r="T841" s="13" t="str">
        <f t="shared" si="69"/>
        <v/>
      </c>
    </row>
    <row r="842" spans="1:20" x14ac:dyDescent="0.35">
      <c r="A842" s="13" t="s">
        <v>3436</v>
      </c>
      <c r="B842" s="13" t="s">
        <v>409</v>
      </c>
      <c r="C842" s="13" t="s">
        <v>410</v>
      </c>
      <c r="D842" s="13" t="s">
        <v>3437</v>
      </c>
      <c r="E842" s="14">
        <v>45949</v>
      </c>
      <c r="F842" s="14">
        <v>45985</v>
      </c>
      <c r="G842" s="15">
        <v>23533.79</v>
      </c>
      <c r="H842" s="13" t="s">
        <v>3438</v>
      </c>
      <c r="I842" s="13" t="s">
        <v>3439</v>
      </c>
      <c r="J842" s="13" t="s">
        <v>91</v>
      </c>
      <c r="K842" s="13">
        <f t="shared" si="65"/>
        <v>2</v>
      </c>
      <c r="L842" s="13">
        <f t="shared" si="66"/>
        <v>0</v>
      </c>
      <c r="M842" s="13">
        <f>IF(AND(L842=0,COUNTIFS($B$2:$B$1534,B842,$G$2:$G$1534,G842,$E$2:$E$1534,"&gt;="&amp;(E842-Assumptions!$B$5),$E$2:$E$1534,"&lt;="&amp;(E842+Assumptions!$B$5))&gt;1),1,0)</f>
        <v>0</v>
      </c>
      <c r="N842" s="13">
        <f>IF(AND(G842&gt;=Assumptions!$B$4*(1-Assumptions!$B$6),G842&lt;Assumptions!$B$4),1,0)</f>
        <v>0</v>
      </c>
      <c r="O842" s="13">
        <f>IF(AND(G842&gt;=Assumptions!$B$7,MOD(G842,Assumptions!$B$7)=0),1,0)</f>
        <v>0</v>
      </c>
      <c r="P842" s="13">
        <f t="shared" si="67"/>
        <v>0</v>
      </c>
      <c r="Q842" s="13">
        <f t="shared" si="68"/>
        <v>0</v>
      </c>
      <c r="R842" s="13">
        <f>L842*Assumptions!$B$11+M842*Assumptions!$B$12+N842*Assumptions!$B$13+O842*Assumptions!$B$14+P842*Assumptions!$B$15+Q842*Assumptions!$B$16</f>
        <v>0</v>
      </c>
      <c r="S842" s="13" t="str">
        <f>IF(R842&gt;=Assumptions!$B$20,"High",IF(R842&gt;=Assumptions!$B$21,"Medium",IF(R842&gt;=1,"Low","Clear")))</f>
        <v>Clear</v>
      </c>
      <c r="T842" s="13" t="str">
        <f t="shared" si="69"/>
        <v/>
      </c>
    </row>
    <row r="843" spans="1:20" x14ac:dyDescent="0.35">
      <c r="A843" s="13" t="s">
        <v>3440</v>
      </c>
      <c r="B843" s="13" t="s">
        <v>228</v>
      </c>
      <c r="C843" s="13" t="s">
        <v>229</v>
      </c>
      <c r="D843" s="13" t="s">
        <v>3441</v>
      </c>
      <c r="E843" s="14">
        <v>45950</v>
      </c>
      <c r="F843" s="14">
        <v>45985</v>
      </c>
      <c r="G843" s="15">
        <v>36981.72</v>
      </c>
      <c r="H843" s="13" t="s">
        <v>3442</v>
      </c>
      <c r="I843" s="13" t="s">
        <v>3443</v>
      </c>
      <c r="J843" s="13" t="s">
        <v>111</v>
      </c>
      <c r="K843" s="13">
        <f t="shared" si="65"/>
        <v>3</v>
      </c>
      <c r="L843" s="13">
        <f t="shared" si="66"/>
        <v>0</v>
      </c>
      <c r="M843" s="13">
        <f>IF(AND(L843=0,COUNTIFS($B$2:$B$1534,B843,$G$2:$G$1534,G843,$E$2:$E$1534,"&gt;="&amp;(E843-Assumptions!$B$5),$E$2:$E$1534,"&lt;="&amp;(E843+Assumptions!$B$5))&gt;1),1,0)</f>
        <v>0</v>
      </c>
      <c r="N843" s="13">
        <f>IF(AND(G843&gt;=Assumptions!$B$4*(1-Assumptions!$B$6),G843&lt;Assumptions!$B$4),1,0)</f>
        <v>0</v>
      </c>
      <c r="O843" s="13">
        <f>IF(AND(G843&gt;=Assumptions!$B$7,MOD(G843,Assumptions!$B$7)=0),1,0)</f>
        <v>0</v>
      </c>
      <c r="P843" s="13">
        <f t="shared" si="67"/>
        <v>0</v>
      </c>
      <c r="Q843" s="13">
        <f t="shared" si="68"/>
        <v>0</v>
      </c>
      <c r="R843" s="13">
        <f>L843*Assumptions!$B$11+M843*Assumptions!$B$12+N843*Assumptions!$B$13+O843*Assumptions!$B$14+P843*Assumptions!$B$15+Q843*Assumptions!$B$16</f>
        <v>0</v>
      </c>
      <c r="S843" s="13" t="str">
        <f>IF(R843&gt;=Assumptions!$B$20,"High",IF(R843&gt;=Assumptions!$B$21,"Medium",IF(R843&gt;=1,"Low","Clear")))</f>
        <v>Clear</v>
      </c>
      <c r="T843" s="13" t="str">
        <f t="shared" si="69"/>
        <v/>
      </c>
    </row>
    <row r="844" spans="1:20" x14ac:dyDescent="0.35">
      <c r="A844" s="13" t="s">
        <v>3444</v>
      </c>
      <c r="B844" s="13" t="s">
        <v>206</v>
      </c>
      <c r="C844" s="13" t="s">
        <v>207</v>
      </c>
      <c r="D844" s="13" t="s">
        <v>3445</v>
      </c>
      <c r="E844" s="14">
        <v>45960</v>
      </c>
      <c r="F844" s="14">
        <v>45985</v>
      </c>
      <c r="G844" s="15">
        <v>4002.99</v>
      </c>
      <c r="H844" s="13" t="s">
        <v>3446</v>
      </c>
      <c r="I844" s="13" t="s">
        <v>3447</v>
      </c>
      <c r="J844" s="13" t="s">
        <v>91</v>
      </c>
      <c r="K844" s="13">
        <f t="shared" si="65"/>
        <v>4</v>
      </c>
      <c r="L844" s="13">
        <f t="shared" si="66"/>
        <v>0</v>
      </c>
      <c r="M844" s="13">
        <f>IF(AND(L844=0,COUNTIFS($B$2:$B$1534,B844,$G$2:$G$1534,G844,$E$2:$E$1534,"&gt;="&amp;(E844-Assumptions!$B$5),$E$2:$E$1534,"&lt;="&amp;(E844+Assumptions!$B$5))&gt;1),1,0)</f>
        <v>0</v>
      </c>
      <c r="N844" s="13">
        <f>IF(AND(G844&gt;=Assumptions!$B$4*(1-Assumptions!$B$6),G844&lt;Assumptions!$B$4),1,0)</f>
        <v>0</v>
      </c>
      <c r="O844" s="13">
        <f>IF(AND(G844&gt;=Assumptions!$B$7,MOD(G844,Assumptions!$B$7)=0),1,0)</f>
        <v>0</v>
      </c>
      <c r="P844" s="13">
        <f t="shared" si="67"/>
        <v>0</v>
      </c>
      <c r="Q844" s="13">
        <f t="shared" si="68"/>
        <v>0</v>
      </c>
      <c r="R844" s="13">
        <f>L844*Assumptions!$B$11+M844*Assumptions!$B$12+N844*Assumptions!$B$13+O844*Assumptions!$B$14+P844*Assumptions!$B$15+Q844*Assumptions!$B$16</f>
        <v>0</v>
      </c>
      <c r="S844" s="13" t="str">
        <f>IF(R844&gt;=Assumptions!$B$20,"High",IF(R844&gt;=Assumptions!$B$21,"Medium",IF(R844&gt;=1,"Low","Clear")))</f>
        <v>Clear</v>
      </c>
      <c r="T844" s="13" t="str">
        <f t="shared" si="69"/>
        <v/>
      </c>
    </row>
    <row r="845" spans="1:20" x14ac:dyDescent="0.35">
      <c r="A845" s="13" t="s">
        <v>3448</v>
      </c>
      <c r="B845" s="13" t="s">
        <v>218</v>
      </c>
      <c r="C845" s="13" t="s">
        <v>219</v>
      </c>
      <c r="D845" s="13" t="s">
        <v>3449</v>
      </c>
      <c r="E845" s="14">
        <v>45945</v>
      </c>
      <c r="F845" s="14">
        <v>45985</v>
      </c>
      <c r="G845" s="15">
        <v>875899.78</v>
      </c>
      <c r="H845" s="13" t="s">
        <v>3450</v>
      </c>
      <c r="I845" s="13" t="s">
        <v>3451</v>
      </c>
      <c r="J845" s="13" t="s">
        <v>143</v>
      </c>
      <c r="K845" s="13">
        <f t="shared" si="65"/>
        <v>8</v>
      </c>
      <c r="L845" s="13">
        <f t="shared" si="66"/>
        <v>0</v>
      </c>
      <c r="M845" s="13">
        <f>IF(AND(L845=0,COUNTIFS($B$2:$B$1534,B845,$G$2:$G$1534,G845,$E$2:$E$1534,"&gt;="&amp;(E845-Assumptions!$B$5),$E$2:$E$1534,"&lt;="&amp;(E845+Assumptions!$B$5))&gt;1),1,0)</f>
        <v>0</v>
      </c>
      <c r="N845" s="13">
        <f>IF(AND(G845&gt;=Assumptions!$B$4*(1-Assumptions!$B$6),G845&lt;Assumptions!$B$4),1,0)</f>
        <v>0</v>
      </c>
      <c r="O845" s="13">
        <f>IF(AND(G845&gt;=Assumptions!$B$7,MOD(G845,Assumptions!$B$7)=0),1,0)</f>
        <v>0</v>
      </c>
      <c r="P845" s="13">
        <f t="shared" si="67"/>
        <v>0</v>
      </c>
      <c r="Q845" s="13">
        <f t="shared" si="68"/>
        <v>0</v>
      </c>
      <c r="R845" s="13">
        <f>L845*Assumptions!$B$11+M845*Assumptions!$B$12+N845*Assumptions!$B$13+O845*Assumptions!$B$14+P845*Assumptions!$B$15+Q845*Assumptions!$B$16</f>
        <v>0</v>
      </c>
      <c r="S845" s="13" t="str">
        <f>IF(R845&gt;=Assumptions!$B$20,"High",IF(R845&gt;=Assumptions!$B$21,"Medium",IF(R845&gt;=1,"Low","Clear")))</f>
        <v>Clear</v>
      </c>
      <c r="T845" s="13" t="str">
        <f t="shared" si="69"/>
        <v/>
      </c>
    </row>
    <row r="846" spans="1:20" x14ac:dyDescent="0.35">
      <c r="A846" s="13" t="s">
        <v>3452</v>
      </c>
      <c r="B846" s="13" t="s">
        <v>155</v>
      </c>
      <c r="C846" s="13" t="s">
        <v>156</v>
      </c>
      <c r="D846" s="13" t="s">
        <v>3453</v>
      </c>
      <c r="E846" s="14">
        <v>45958</v>
      </c>
      <c r="F846" s="14">
        <v>45985</v>
      </c>
      <c r="G846" s="15">
        <v>652031.88</v>
      </c>
      <c r="H846" s="13" t="s">
        <v>3454</v>
      </c>
      <c r="I846" s="13" t="s">
        <v>3455</v>
      </c>
      <c r="J846" s="13" t="s">
        <v>91</v>
      </c>
      <c r="K846" s="13">
        <f t="shared" si="65"/>
        <v>6</v>
      </c>
      <c r="L846" s="13">
        <f t="shared" si="66"/>
        <v>0</v>
      </c>
      <c r="M846" s="13">
        <f>IF(AND(L846=0,COUNTIFS($B$2:$B$1534,B846,$G$2:$G$1534,G846,$E$2:$E$1534,"&gt;="&amp;(E846-Assumptions!$B$5),$E$2:$E$1534,"&lt;="&amp;(E846+Assumptions!$B$5))&gt;1),1,0)</f>
        <v>0</v>
      </c>
      <c r="N846" s="13">
        <f>IF(AND(G846&gt;=Assumptions!$B$4*(1-Assumptions!$B$6),G846&lt;Assumptions!$B$4),1,0)</f>
        <v>0</v>
      </c>
      <c r="O846" s="13">
        <f>IF(AND(G846&gt;=Assumptions!$B$7,MOD(G846,Assumptions!$B$7)=0),1,0)</f>
        <v>0</v>
      </c>
      <c r="P846" s="13">
        <f t="shared" si="67"/>
        <v>0</v>
      </c>
      <c r="Q846" s="13">
        <f t="shared" si="68"/>
        <v>0</v>
      </c>
      <c r="R846" s="13">
        <f>L846*Assumptions!$B$11+M846*Assumptions!$B$12+N846*Assumptions!$B$13+O846*Assumptions!$B$14+P846*Assumptions!$B$15+Q846*Assumptions!$B$16</f>
        <v>0</v>
      </c>
      <c r="S846" s="13" t="str">
        <f>IF(R846&gt;=Assumptions!$B$20,"High",IF(R846&gt;=Assumptions!$B$21,"Medium",IF(R846&gt;=1,"Low","Clear")))</f>
        <v>Clear</v>
      </c>
      <c r="T846" s="13" t="str">
        <f t="shared" si="69"/>
        <v/>
      </c>
    </row>
    <row r="847" spans="1:20" x14ac:dyDescent="0.35">
      <c r="A847" s="13" t="s">
        <v>3456</v>
      </c>
      <c r="B847" s="13" t="s">
        <v>161</v>
      </c>
      <c r="C847" s="13" t="s">
        <v>162</v>
      </c>
      <c r="D847" s="13" t="s">
        <v>3457</v>
      </c>
      <c r="E847" s="14">
        <v>45952</v>
      </c>
      <c r="F847" s="14">
        <v>45985</v>
      </c>
      <c r="G847" s="15">
        <v>154467.64000000001</v>
      </c>
      <c r="H847" s="13" t="s">
        <v>3458</v>
      </c>
      <c r="I847" s="13" t="s">
        <v>3459</v>
      </c>
      <c r="J847" s="13" t="s">
        <v>170</v>
      </c>
      <c r="K847" s="13">
        <f t="shared" si="65"/>
        <v>1</v>
      </c>
      <c r="L847" s="13">
        <f t="shared" si="66"/>
        <v>0</v>
      </c>
      <c r="M847" s="13">
        <f>IF(AND(L847=0,COUNTIFS($B$2:$B$1534,B847,$G$2:$G$1534,G847,$E$2:$E$1534,"&gt;="&amp;(E847-Assumptions!$B$5),$E$2:$E$1534,"&lt;="&amp;(E847+Assumptions!$B$5))&gt;1),1,0)</f>
        <v>0</v>
      </c>
      <c r="N847" s="13">
        <f>IF(AND(G847&gt;=Assumptions!$B$4*(1-Assumptions!$B$6),G847&lt;Assumptions!$B$4),1,0)</f>
        <v>0</v>
      </c>
      <c r="O847" s="13">
        <f>IF(AND(G847&gt;=Assumptions!$B$7,MOD(G847,Assumptions!$B$7)=0),1,0)</f>
        <v>0</v>
      </c>
      <c r="P847" s="13">
        <f t="shared" si="67"/>
        <v>0</v>
      </c>
      <c r="Q847" s="13">
        <f t="shared" si="68"/>
        <v>0</v>
      </c>
      <c r="R847" s="13">
        <f>L847*Assumptions!$B$11+M847*Assumptions!$B$12+N847*Assumptions!$B$13+O847*Assumptions!$B$14+P847*Assumptions!$B$15+Q847*Assumptions!$B$16</f>
        <v>0</v>
      </c>
      <c r="S847" s="13" t="str">
        <f>IF(R847&gt;=Assumptions!$B$20,"High",IF(R847&gt;=Assumptions!$B$21,"Medium",IF(R847&gt;=1,"Low","Clear")))</f>
        <v>Clear</v>
      </c>
      <c r="T847" s="13" t="str">
        <f t="shared" si="69"/>
        <v/>
      </c>
    </row>
    <row r="848" spans="1:20" x14ac:dyDescent="0.35">
      <c r="A848" s="13" t="s">
        <v>3460</v>
      </c>
      <c r="B848" s="13" t="s">
        <v>476</v>
      </c>
      <c r="C848" s="13" t="s">
        <v>477</v>
      </c>
      <c r="D848" s="13" t="s">
        <v>3461</v>
      </c>
      <c r="E848" s="14">
        <v>45956</v>
      </c>
      <c r="F848" s="14">
        <v>45985</v>
      </c>
      <c r="G848" s="15">
        <v>48563.45</v>
      </c>
      <c r="H848" s="13" t="s">
        <v>3462</v>
      </c>
      <c r="I848" s="13" t="s">
        <v>3463</v>
      </c>
      <c r="J848" s="13" t="s">
        <v>143</v>
      </c>
      <c r="K848" s="13">
        <f t="shared" si="65"/>
        <v>4</v>
      </c>
      <c r="L848" s="13">
        <f t="shared" si="66"/>
        <v>0</v>
      </c>
      <c r="M848" s="13">
        <f>IF(AND(L848=0,COUNTIFS($B$2:$B$1534,B848,$G$2:$G$1534,G848,$E$2:$E$1534,"&gt;="&amp;(E848-Assumptions!$B$5),$E$2:$E$1534,"&lt;="&amp;(E848+Assumptions!$B$5))&gt;1),1,0)</f>
        <v>0</v>
      </c>
      <c r="N848" s="13">
        <f>IF(AND(G848&gt;=Assumptions!$B$4*(1-Assumptions!$B$6),G848&lt;Assumptions!$B$4),1,0)</f>
        <v>1</v>
      </c>
      <c r="O848" s="13">
        <f>IF(AND(G848&gt;=Assumptions!$B$7,MOD(G848,Assumptions!$B$7)=0),1,0)</f>
        <v>0</v>
      </c>
      <c r="P848" s="13">
        <f t="shared" si="67"/>
        <v>0</v>
      </c>
      <c r="Q848" s="13">
        <f t="shared" si="68"/>
        <v>0</v>
      </c>
      <c r="R848" s="13">
        <f>L848*Assumptions!$B$11+M848*Assumptions!$B$12+N848*Assumptions!$B$13+O848*Assumptions!$B$14+P848*Assumptions!$B$15+Q848*Assumptions!$B$16</f>
        <v>3</v>
      </c>
      <c r="S848" s="13" t="str">
        <f>IF(R848&gt;=Assumptions!$B$20,"High",IF(R848&gt;=Assumptions!$B$21,"Medium",IF(R848&gt;=1,"Low","Clear")))</f>
        <v>Medium</v>
      </c>
      <c r="T848" s="13" t="str">
        <f t="shared" si="69"/>
        <v xml:space="preserve">Just below limit; </v>
      </c>
    </row>
    <row r="849" spans="1:20" x14ac:dyDescent="0.35">
      <c r="A849" s="13" t="s">
        <v>3464</v>
      </c>
      <c r="B849" s="13" t="s">
        <v>106</v>
      </c>
      <c r="C849" s="13" t="s">
        <v>107</v>
      </c>
      <c r="D849" s="13" t="s">
        <v>3465</v>
      </c>
      <c r="E849" s="14">
        <v>45956</v>
      </c>
      <c r="F849" s="14">
        <v>45985</v>
      </c>
      <c r="G849" s="15">
        <v>901336.55</v>
      </c>
      <c r="H849" s="13" t="s">
        <v>3466</v>
      </c>
      <c r="I849" s="13" t="s">
        <v>3467</v>
      </c>
      <c r="J849" s="13" t="s">
        <v>111</v>
      </c>
      <c r="K849" s="13">
        <f t="shared" si="65"/>
        <v>9</v>
      </c>
      <c r="L849" s="13">
        <f t="shared" si="66"/>
        <v>0</v>
      </c>
      <c r="M849" s="13">
        <f>IF(AND(L849=0,COUNTIFS($B$2:$B$1534,B849,$G$2:$G$1534,G849,$E$2:$E$1534,"&gt;="&amp;(E849-Assumptions!$B$5),$E$2:$E$1534,"&lt;="&amp;(E849+Assumptions!$B$5))&gt;1),1,0)</f>
        <v>0</v>
      </c>
      <c r="N849" s="13">
        <f>IF(AND(G849&gt;=Assumptions!$B$4*(1-Assumptions!$B$6),G849&lt;Assumptions!$B$4),1,0)</f>
        <v>0</v>
      </c>
      <c r="O849" s="13">
        <f>IF(AND(G849&gt;=Assumptions!$B$7,MOD(G849,Assumptions!$B$7)=0),1,0)</f>
        <v>0</v>
      </c>
      <c r="P849" s="13">
        <f t="shared" si="67"/>
        <v>0</v>
      </c>
      <c r="Q849" s="13">
        <f t="shared" si="68"/>
        <v>0</v>
      </c>
      <c r="R849" s="13">
        <f>L849*Assumptions!$B$11+M849*Assumptions!$B$12+N849*Assumptions!$B$13+O849*Assumptions!$B$14+P849*Assumptions!$B$15+Q849*Assumptions!$B$16</f>
        <v>0</v>
      </c>
      <c r="S849" s="13" t="str">
        <f>IF(R849&gt;=Assumptions!$B$20,"High",IF(R849&gt;=Assumptions!$B$21,"Medium",IF(R849&gt;=1,"Low","Clear")))</f>
        <v>Clear</v>
      </c>
      <c r="T849" s="13" t="str">
        <f t="shared" si="69"/>
        <v/>
      </c>
    </row>
    <row r="850" spans="1:20" x14ac:dyDescent="0.35">
      <c r="A850" s="13" t="s">
        <v>3468</v>
      </c>
      <c r="B850" s="13" t="s">
        <v>556</v>
      </c>
      <c r="C850" s="13" t="s">
        <v>557</v>
      </c>
      <c r="D850" s="13" t="s">
        <v>3469</v>
      </c>
      <c r="E850" s="14">
        <v>45943</v>
      </c>
      <c r="F850" s="14">
        <v>45985</v>
      </c>
      <c r="G850" s="15">
        <v>662026.96</v>
      </c>
      <c r="H850" s="13" t="s">
        <v>3470</v>
      </c>
      <c r="I850" s="13" t="s">
        <v>3471</v>
      </c>
      <c r="J850" s="13" t="s">
        <v>143</v>
      </c>
      <c r="K850" s="13">
        <f t="shared" si="65"/>
        <v>6</v>
      </c>
      <c r="L850" s="13">
        <f t="shared" si="66"/>
        <v>0</v>
      </c>
      <c r="M850" s="13">
        <f>IF(AND(L850=0,COUNTIFS($B$2:$B$1534,B850,$G$2:$G$1534,G850,$E$2:$E$1534,"&gt;="&amp;(E850-Assumptions!$B$5),$E$2:$E$1534,"&lt;="&amp;(E850+Assumptions!$B$5))&gt;1),1,0)</f>
        <v>0</v>
      </c>
      <c r="N850" s="13">
        <f>IF(AND(G850&gt;=Assumptions!$B$4*(1-Assumptions!$B$6),G850&lt;Assumptions!$B$4),1,0)</f>
        <v>0</v>
      </c>
      <c r="O850" s="13">
        <f>IF(AND(G850&gt;=Assumptions!$B$7,MOD(G850,Assumptions!$B$7)=0),1,0)</f>
        <v>0</v>
      </c>
      <c r="P850" s="13">
        <f t="shared" si="67"/>
        <v>0</v>
      </c>
      <c r="Q850" s="13">
        <f t="shared" si="68"/>
        <v>0</v>
      </c>
      <c r="R850" s="13">
        <f>L850*Assumptions!$B$11+M850*Assumptions!$B$12+N850*Assumptions!$B$13+O850*Assumptions!$B$14+P850*Assumptions!$B$15+Q850*Assumptions!$B$16</f>
        <v>0</v>
      </c>
      <c r="S850" s="13" t="str">
        <f>IF(R850&gt;=Assumptions!$B$20,"High",IF(R850&gt;=Assumptions!$B$21,"Medium",IF(R850&gt;=1,"Low","Clear")))</f>
        <v>Clear</v>
      </c>
      <c r="T850" s="13" t="str">
        <f t="shared" si="69"/>
        <v/>
      </c>
    </row>
    <row r="851" spans="1:20" x14ac:dyDescent="0.35">
      <c r="A851" s="13" t="s">
        <v>3472</v>
      </c>
      <c r="B851" s="13" t="s">
        <v>466</v>
      </c>
      <c r="C851" s="13" t="s">
        <v>467</v>
      </c>
      <c r="D851" s="13" t="s">
        <v>3473</v>
      </c>
      <c r="E851" s="14">
        <v>45961</v>
      </c>
      <c r="F851" s="14">
        <v>45986</v>
      </c>
      <c r="G851" s="15">
        <v>29899.200000000001</v>
      </c>
      <c r="H851" s="13" t="s">
        <v>3474</v>
      </c>
      <c r="I851" s="13" t="s">
        <v>3475</v>
      </c>
      <c r="J851" s="13" t="s">
        <v>143</v>
      </c>
      <c r="K851" s="13">
        <f t="shared" si="65"/>
        <v>2</v>
      </c>
      <c r="L851" s="13">
        <f t="shared" si="66"/>
        <v>0</v>
      </c>
      <c r="M851" s="13">
        <f>IF(AND(L851=0,COUNTIFS($B$2:$B$1534,B851,$G$2:$G$1534,G851,$E$2:$E$1534,"&gt;="&amp;(E851-Assumptions!$B$5),$E$2:$E$1534,"&lt;="&amp;(E851+Assumptions!$B$5))&gt;1),1,0)</f>
        <v>0</v>
      </c>
      <c r="N851" s="13">
        <f>IF(AND(G851&gt;=Assumptions!$B$4*(1-Assumptions!$B$6),G851&lt;Assumptions!$B$4),1,0)</f>
        <v>0</v>
      </c>
      <c r="O851" s="13">
        <f>IF(AND(G851&gt;=Assumptions!$B$7,MOD(G851,Assumptions!$B$7)=0),1,0)</f>
        <v>0</v>
      </c>
      <c r="P851" s="13">
        <f t="shared" si="67"/>
        <v>0</v>
      </c>
      <c r="Q851" s="13">
        <f t="shared" si="68"/>
        <v>0</v>
      </c>
      <c r="R851" s="13">
        <f>L851*Assumptions!$B$11+M851*Assumptions!$B$12+N851*Assumptions!$B$13+O851*Assumptions!$B$14+P851*Assumptions!$B$15+Q851*Assumptions!$B$16</f>
        <v>0</v>
      </c>
      <c r="S851" s="13" t="str">
        <f>IF(R851&gt;=Assumptions!$B$20,"High",IF(R851&gt;=Assumptions!$B$21,"Medium",IF(R851&gt;=1,"Low","Clear")))</f>
        <v>Clear</v>
      </c>
      <c r="T851" s="13" t="str">
        <f t="shared" si="69"/>
        <v/>
      </c>
    </row>
    <row r="852" spans="1:20" x14ac:dyDescent="0.35">
      <c r="A852" s="13" t="s">
        <v>3476</v>
      </c>
      <c r="B852" s="13" t="s">
        <v>113</v>
      </c>
      <c r="C852" s="13" t="s">
        <v>114</v>
      </c>
      <c r="D852" s="13" t="s">
        <v>3380</v>
      </c>
      <c r="E852" s="14">
        <v>45959</v>
      </c>
      <c r="F852" s="14">
        <v>45986</v>
      </c>
      <c r="G852" s="15">
        <v>409776.87</v>
      </c>
      <c r="H852" s="13" t="s">
        <v>3381</v>
      </c>
      <c r="I852" s="13" t="s">
        <v>3382</v>
      </c>
      <c r="J852" s="13" t="s">
        <v>143</v>
      </c>
      <c r="K852" s="13">
        <f t="shared" si="65"/>
        <v>4</v>
      </c>
      <c r="L852" s="13">
        <f t="shared" si="66"/>
        <v>1</v>
      </c>
      <c r="M852" s="13">
        <f>IF(AND(L852=0,COUNTIFS($B$2:$B$1534,B852,$G$2:$G$1534,G852,$E$2:$E$1534,"&gt;="&amp;(E852-Assumptions!$B$5),$E$2:$E$1534,"&lt;="&amp;(E852+Assumptions!$B$5))&gt;1),1,0)</f>
        <v>0</v>
      </c>
      <c r="N852" s="13">
        <f>IF(AND(G852&gt;=Assumptions!$B$4*(1-Assumptions!$B$6),G852&lt;Assumptions!$B$4),1,0)</f>
        <v>0</v>
      </c>
      <c r="O852" s="13">
        <f>IF(AND(G852&gt;=Assumptions!$B$7,MOD(G852,Assumptions!$B$7)=0),1,0)</f>
        <v>0</v>
      </c>
      <c r="P852" s="13">
        <f t="shared" si="67"/>
        <v>0</v>
      </c>
      <c r="Q852" s="13">
        <f t="shared" si="68"/>
        <v>0</v>
      </c>
      <c r="R852" s="13">
        <f>L852*Assumptions!$B$11+M852*Assumptions!$B$12+N852*Assumptions!$B$13+O852*Assumptions!$B$14+P852*Assumptions!$B$15+Q852*Assumptions!$B$16</f>
        <v>5</v>
      </c>
      <c r="S852" s="13" t="str">
        <f>IF(R852&gt;=Assumptions!$B$20,"High",IF(R852&gt;=Assumptions!$B$21,"Medium",IF(R852&gt;=1,"Low","Clear")))</f>
        <v>High</v>
      </c>
      <c r="T852" s="13" t="str">
        <f t="shared" si="69"/>
        <v xml:space="preserve">Duplicate invoice; </v>
      </c>
    </row>
    <row r="853" spans="1:20" x14ac:dyDescent="0.35">
      <c r="A853" s="13" t="s">
        <v>3477</v>
      </c>
      <c r="B853" s="13" t="s">
        <v>476</v>
      </c>
      <c r="C853" s="13" t="s">
        <v>477</v>
      </c>
      <c r="D853" s="13" t="s">
        <v>3478</v>
      </c>
      <c r="E853" s="14">
        <v>45953</v>
      </c>
      <c r="F853" s="14">
        <v>45986</v>
      </c>
      <c r="G853" s="15">
        <v>114364.83</v>
      </c>
      <c r="H853" s="13" t="s">
        <v>3479</v>
      </c>
      <c r="I853" s="13" t="s">
        <v>3480</v>
      </c>
      <c r="J853" s="13" t="s">
        <v>111</v>
      </c>
      <c r="K853" s="13">
        <f t="shared" si="65"/>
        <v>1</v>
      </c>
      <c r="L853" s="13">
        <f t="shared" si="66"/>
        <v>0</v>
      </c>
      <c r="M853" s="13">
        <f>IF(AND(L853=0,COUNTIFS($B$2:$B$1534,B853,$G$2:$G$1534,G853,$E$2:$E$1534,"&gt;="&amp;(E853-Assumptions!$B$5),$E$2:$E$1534,"&lt;="&amp;(E853+Assumptions!$B$5))&gt;1),1,0)</f>
        <v>0</v>
      </c>
      <c r="N853" s="13">
        <f>IF(AND(G853&gt;=Assumptions!$B$4*(1-Assumptions!$B$6),G853&lt;Assumptions!$B$4),1,0)</f>
        <v>0</v>
      </c>
      <c r="O853" s="13">
        <f>IF(AND(G853&gt;=Assumptions!$B$7,MOD(G853,Assumptions!$B$7)=0),1,0)</f>
        <v>0</v>
      </c>
      <c r="P853" s="13">
        <f t="shared" si="67"/>
        <v>0</v>
      </c>
      <c r="Q853" s="13">
        <f t="shared" si="68"/>
        <v>0</v>
      </c>
      <c r="R853" s="13">
        <f>L853*Assumptions!$B$11+M853*Assumptions!$B$12+N853*Assumptions!$B$13+O853*Assumptions!$B$14+P853*Assumptions!$B$15+Q853*Assumptions!$B$16</f>
        <v>0</v>
      </c>
      <c r="S853" s="13" t="str">
        <f>IF(R853&gt;=Assumptions!$B$20,"High",IF(R853&gt;=Assumptions!$B$21,"Medium",IF(R853&gt;=1,"Low","Clear")))</f>
        <v>Clear</v>
      </c>
      <c r="T853" s="13" t="str">
        <f t="shared" si="69"/>
        <v/>
      </c>
    </row>
    <row r="854" spans="1:20" x14ac:dyDescent="0.35">
      <c r="A854" s="13" t="s">
        <v>3481</v>
      </c>
      <c r="B854" s="13" t="s">
        <v>556</v>
      </c>
      <c r="C854" s="13" t="s">
        <v>557</v>
      </c>
      <c r="D854" s="13" t="s">
        <v>3482</v>
      </c>
      <c r="E854" s="14">
        <v>45959</v>
      </c>
      <c r="F854" s="14">
        <v>45986</v>
      </c>
      <c r="G854" s="15">
        <v>72882.710000000006</v>
      </c>
      <c r="H854" s="13" t="s">
        <v>3483</v>
      </c>
      <c r="I854" s="13" t="s">
        <v>3484</v>
      </c>
      <c r="J854" s="13" t="s">
        <v>98</v>
      </c>
      <c r="K854" s="13">
        <f t="shared" si="65"/>
        <v>7</v>
      </c>
      <c r="L854" s="13">
        <f t="shared" si="66"/>
        <v>0</v>
      </c>
      <c r="M854" s="13">
        <f>IF(AND(L854=0,COUNTIFS($B$2:$B$1534,B854,$G$2:$G$1534,G854,$E$2:$E$1534,"&gt;="&amp;(E854-Assumptions!$B$5),$E$2:$E$1534,"&lt;="&amp;(E854+Assumptions!$B$5))&gt;1),1,0)</f>
        <v>0</v>
      </c>
      <c r="N854" s="13">
        <f>IF(AND(G854&gt;=Assumptions!$B$4*(1-Assumptions!$B$6),G854&lt;Assumptions!$B$4),1,0)</f>
        <v>0</v>
      </c>
      <c r="O854" s="13">
        <f>IF(AND(G854&gt;=Assumptions!$B$7,MOD(G854,Assumptions!$B$7)=0),1,0)</f>
        <v>0</v>
      </c>
      <c r="P854" s="13">
        <f t="shared" si="67"/>
        <v>0</v>
      </c>
      <c r="Q854" s="13">
        <f t="shared" si="68"/>
        <v>0</v>
      </c>
      <c r="R854" s="13">
        <f>L854*Assumptions!$B$11+M854*Assumptions!$B$12+N854*Assumptions!$B$13+O854*Assumptions!$B$14+P854*Assumptions!$B$15+Q854*Assumptions!$B$16</f>
        <v>0</v>
      </c>
      <c r="S854" s="13" t="str">
        <f>IF(R854&gt;=Assumptions!$B$20,"High",IF(R854&gt;=Assumptions!$B$21,"Medium",IF(R854&gt;=1,"Low","Clear")))</f>
        <v>Clear</v>
      </c>
      <c r="T854" s="13" t="str">
        <f t="shared" si="69"/>
        <v/>
      </c>
    </row>
    <row r="855" spans="1:20" x14ac:dyDescent="0.35">
      <c r="A855" s="13" t="s">
        <v>3485</v>
      </c>
      <c r="B855" s="13" t="s">
        <v>182</v>
      </c>
      <c r="C855" s="13" t="s">
        <v>183</v>
      </c>
      <c r="D855" s="13" t="s">
        <v>3486</v>
      </c>
      <c r="E855" s="14">
        <v>45951</v>
      </c>
      <c r="F855" s="14">
        <v>45987</v>
      </c>
      <c r="G855" s="15">
        <v>197237.33</v>
      </c>
      <c r="H855" s="13" t="s">
        <v>3487</v>
      </c>
      <c r="I855" s="13" t="s">
        <v>3488</v>
      </c>
      <c r="J855" s="13" t="s">
        <v>170</v>
      </c>
      <c r="K855" s="13">
        <f t="shared" si="65"/>
        <v>1</v>
      </c>
      <c r="L855" s="13">
        <f t="shared" si="66"/>
        <v>0</v>
      </c>
      <c r="M855" s="13">
        <f>IF(AND(L855=0,COUNTIFS($B$2:$B$1534,B855,$G$2:$G$1534,G855,$E$2:$E$1534,"&gt;="&amp;(E855-Assumptions!$B$5),$E$2:$E$1534,"&lt;="&amp;(E855+Assumptions!$B$5))&gt;1),1,0)</f>
        <v>0</v>
      </c>
      <c r="N855" s="13">
        <f>IF(AND(G855&gt;=Assumptions!$B$4*(1-Assumptions!$B$6),G855&lt;Assumptions!$B$4),1,0)</f>
        <v>0</v>
      </c>
      <c r="O855" s="13">
        <f>IF(AND(G855&gt;=Assumptions!$B$7,MOD(G855,Assumptions!$B$7)=0),1,0)</f>
        <v>0</v>
      </c>
      <c r="P855" s="13">
        <f t="shared" si="67"/>
        <v>0</v>
      </c>
      <c r="Q855" s="13">
        <f t="shared" si="68"/>
        <v>0</v>
      </c>
      <c r="R855" s="13">
        <f>L855*Assumptions!$B$11+M855*Assumptions!$B$12+N855*Assumptions!$B$13+O855*Assumptions!$B$14+P855*Assumptions!$B$15+Q855*Assumptions!$B$16</f>
        <v>0</v>
      </c>
      <c r="S855" s="13" t="str">
        <f>IF(R855&gt;=Assumptions!$B$20,"High",IF(R855&gt;=Assumptions!$B$21,"Medium",IF(R855&gt;=1,"Low","Clear")))</f>
        <v>Clear</v>
      </c>
      <c r="T855" s="13" t="str">
        <f t="shared" si="69"/>
        <v/>
      </c>
    </row>
    <row r="856" spans="1:20" x14ac:dyDescent="0.35">
      <c r="A856" s="13" t="s">
        <v>3489</v>
      </c>
      <c r="B856" s="13" t="s">
        <v>293</v>
      </c>
      <c r="C856" s="13" t="s">
        <v>294</v>
      </c>
      <c r="D856" s="13" t="s">
        <v>3490</v>
      </c>
      <c r="E856" s="14">
        <v>45953</v>
      </c>
      <c r="F856" s="14">
        <v>45987</v>
      </c>
      <c r="G856" s="15">
        <v>5046.82</v>
      </c>
      <c r="H856" s="13" t="s">
        <v>3491</v>
      </c>
      <c r="I856" s="13" t="s">
        <v>3492</v>
      </c>
      <c r="J856" s="13" t="s">
        <v>143</v>
      </c>
      <c r="K856" s="13">
        <f t="shared" si="65"/>
        <v>5</v>
      </c>
      <c r="L856" s="13">
        <f t="shared" si="66"/>
        <v>0</v>
      </c>
      <c r="M856" s="13">
        <f>IF(AND(L856=0,COUNTIFS($B$2:$B$1534,B856,$G$2:$G$1534,G856,$E$2:$E$1534,"&gt;="&amp;(E856-Assumptions!$B$5),$E$2:$E$1534,"&lt;="&amp;(E856+Assumptions!$B$5))&gt;1),1,0)</f>
        <v>0</v>
      </c>
      <c r="N856" s="13">
        <f>IF(AND(G856&gt;=Assumptions!$B$4*(1-Assumptions!$B$6),G856&lt;Assumptions!$B$4),1,0)</f>
        <v>0</v>
      </c>
      <c r="O856" s="13">
        <f>IF(AND(G856&gt;=Assumptions!$B$7,MOD(G856,Assumptions!$B$7)=0),1,0)</f>
        <v>0</v>
      </c>
      <c r="P856" s="13">
        <f t="shared" si="67"/>
        <v>0</v>
      </c>
      <c r="Q856" s="13">
        <f t="shared" si="68"/>
        <v>0</v>
      </c>
      <c r="R856" s="13">
        <f>L856*Assumptions!$B$11+M856*Assumptions!$B$12+N856*Assumptions!$B$13+O856*Assumptions!$B$14+P856*Assumptions!$B$15+Q856*Assumptions!$B$16</f>
        <v>0</v>
      </c>
      <c r="S856" s="13" t="str">
        <f>IF(R856&gt;=Assumptions!$B$20,"High",IF(R856&gt;=Assumptions!$B$21,"Medium",IF(R856&gt;=1,"Low","Clear")))</f>
        <v>Clear</v>
      </c>
      <c r="T856" s="13" t="str">
        <f t="shared" si="69"/>
        <v/>
      </c>
    </row>
    <row r="857" spans="1:20" x14ac:dyDescent="0.35">
      <c r="A857" s="13" t="s">
        <v>3493</v>
      </c>
      <c r="B857" s="13" t="s">
        <v>188</v>
      </c>
      <c r="C857" s="13" t="s">
        <v>189</v>
      </c>
      <c r="D857" s="13" t="s">
        <v>3494</v>
      </c>
      <c r="E857" s="14">
        <v>45949</v>
      </c>
      <c r="F857" s="14">
        <v>45987</v>
      </c>
      <c r="G857" s="15">
        <v>44564.38</v>
      </c>
      <c r="H857" s="13" t="s">
        <v>3495</v>
      </c>
      <c r="I857" s="13" t="s">
        <v>3496</v>
      </c>
      <c r="J857" s="13" t="s">
        <v>111</v>
      </c>
      <c r="K857" s="13">
        <f t="shared" si="65"/>
        <v>4</v>
      </c>
      <c r="L857" s="13">
        <f t="shared" si="66"/>
        <v>0</v>
      </c>
      <c r="M857" s="13">
        <f>IF(AND(L857=0,COUNTIFS($B$2:$B$1534,B857,$G$2:$G$1534,G857,$E$2:$E$1534,"&gt;="&amp;(E857-Assumptions!$B$5),$E$2:$E$1534,"&lt;="&amp;(E857+Assumptions!$B$5))&gt;1),1,0)</f>
        <v>0</v>
      </c>
      <c r="N857" s="13">
        <f>IF(AND(G857&gt;=Assumptions!$B$4*(1-Assumptions!$B$6),G857&lt;Assumptions!$B$4),1,0)</f>
        <v>0</v>
      </c>
      <c r="O857" s="13">
        <f>IF(AND(G857&gt;=Assumptions!$B$7,MOD(G857,Assumptions!$B$7)=0),1,0)</f>
        <v>0</v>
      </c>
      <c r="P857" s="13">
        <f t="shared" si="67"/>
        <v>0</v>
      </c>
      <c r="Q857" s="13">
        <f t="shared" si="68"/>
        <v>0</v>
      </c>
      <c r="R857" s="13">
        <f>L857*Assumptions!$B$11+M857*Assumptions!$B$12+N857*Assumptions!$B$13+O857*Assumptions!$B$14+P857*Assumptions!$B$15+Q857*Assumptions!$B$16</f>
        <v>0</v>
      </c>
      <c r="S857" s="13" t="str">
        <f>IF(R857&gt;=Assumptions!$B$20,"High",IF(R857&gt;=Assumptions!$B$21,"Medium",IF(R857&gt;=1,"Low","Clear")))</f>
        <v>Clear</v>
      </c>
      <c r="T857" s="13" t="str">
        <f t="shared" si="69"/>
        <v/>
      </c>
    </row>
    <row r="858" spans="1:20" x14ac:dyDescent="0.35">
      <c r="A858" s="13" t="s">
        <v>3497</v>
      </c>
      <c r="B858" s="13" t="s">
        <v>409</v>
      </c>
      <c r="C858" s="13" t="s">
        <v>410</v>
      </c>
      <c r="D858" s="13" t="s">
        <v>3498</v>
      </c>
      <c r="E858" s="14">
        <v>45965</v>
      </c>
      <c r="F858" s="14">
        <v>45987</v>
      </c>
      <c r="G858" s="15">
        <v>19580.400000000001</v>
      </c>
      <c r="H858" s="13" t="s">
        <v>3499</v>
      </c>
      <c r="I858" s="13" t="s">
        <v>3500</v>
      </c>
      <c r="J858" s="13" t="s">
        <v>170</v>
      </c>
      <c r="K858" s="13">
        <f t="shared" si="65"/>
        <v>1</v>
      </c>
      <c r="L858" s="13">
        <f t="shared" si="66"/>
        <v>0</v>
      </c>
      <c r="M858" s="13">
        <f>IF(AND(L858=0,COUNTIFS($B$2:$B$1534,B858,$G$2:$G$1534,G858,$E$2:$E$1534,"&gt;="&amp;(E858-Assumptions!$B$5),$E$2:$E$1534,"&lt;="&amp;(E858+Assumptions!$B$5))&gt;1),1,0)</f>
        <v>0</v>
      </c>
      <c r="N858" s="13">
        <f>IF(AND(G858&gt;=Assumptions!$B$4*(1-Assumptions!$B$6),G858&lt;Assumptions!$B$4),1,0)</f>
        <v>0</v>
      </c>
      <c r="O858" s="13">
        <f>IF(AND(G858&gt;=Assumptions!$B$7,MOD(G858,Assumptions!$B$7)=0),1,0)</f>
        <v>0</v>
      </c>
      <c r="P858" s="13">
        <f t="shared" si="67"/>
        <v>0</v>
      </c>
      <c r="Q858" s="13">
        <f t="shared" si="68"/>
        <v>0</v>
      </c>
      <c r="R858" s="13">
        <f>L858*Assumptions!$B$11+M858*Assumptions!$B$12+N858*Assumptions!$B$13+O858*Assumptions!$B$14+P858*Assumptions!$B$15+Q858*Assumptions!$B$16</f>
        <v>0</v>
      </c>
      <c r="S858" s="13" t="str">
        <f>IF(R858&gt;=Assumptions!$B$20,"High",IF(R858&gt;=Assumptions!$B$21,"Medium",IF(R858&gt;=1,"Low","Clear")))</f>
        <v>Clear</v>
      </c>
      <c r="T858" s="13" t="str">
        <f t="shared" si="69"/>
        <v/>
      </c>
    </row>
    <row r="859" spans="1:20" x14ac:dyDescent="0.35">
      <c r="A859" s="13" t="s">
        <v>3501</v>
      </c>
      <c r="B859" s="13" t="s">
        <v>228</v>
      </c>
      <c r="C859" s="13" t="s">
        <v>229</v>
      </c>
      <c r="D859" s="13" t="s">
        <v>3502</v>
      </c>
      <c r="E859" s="14">
        <v>45954</v>
      </c>
      <c r="F859" s="14">
        <v>45987</v>
      </c>
      <c r="G859" s="15">
        <v>1280.8399999999999</v>
      </c>
      <c r="H859" s="13" t="s">
        <v>3503</v>
      </c>
      <c r="I859" s="13" t="s">
        <v>3504</v>
      </c>
      <c r="J859" s="13" t="s">
        <v>111</v>
      </c>
      <c r="K859" s="13">
        <f t="shared" si="65"/>
        <v>1</v>
      </c>
      <c r="L859" s="13">
        <f t="shared" si="66"/>
        <v>0</v>
      </c>
      <c r="M859" s="13">
        <f>IF(AND(L859=0,COUNTIFS($B$2:$B$1534,B859,$G$2:$G$1534,G859,$E$2:$E$1534,"&gt;="&amp;(E859-Assumptions!$B$5),$E$2:$E$1534,"&lt;="&amp;(E859+Assumptions!$B$5))&gt;1),1,0)</f>
        <v>0</v>
      </c>
      <c r="N859" s="13">
        <f>IF(AND(G859&gt;=Assumptions!$B$4*(1-Assumptions!$B$6),G859&lt;Assumptions!$B$4),1,0)</f>
        <v>0</v>
      </c>
      <c r="O859" s="13">
        <f>IF(AND(G859&gt;=Assumptions!$B$7,MOD(G859,Assumptions!$B$7)=0),1,0)</f>
        <v>0</v>
      </c>
      <c r="P859" s="13">
        <f t="shared" si="67"/>
        <v>0</v>
      </c>
      <c r="Q859" s="13">
        <f t="shared" si="68"/>
        <v>0</v>
      </c>
      <c r="R859" s="13">
        <f>L859*Assumptions!$B$11+M859*Assumptions!$B$12+N859*Assumptions!$B$13+O859*Assumptions!$B$14+P859*Assumptions!$B$15+Q859*Assumptions!$B$16</f>
        <v>0</v>
      </c>
      <c r="S859" s="13" t="str">
        <f>IF(R859&gt;=Assumptions!$B$20,"High",IF(R859&gt;=Assumptions!$B$21,"Medium",IF(R859&gt;=1,"Low","Clear")))</f>
        <v>Clear</v>
      </c>
      <c r="T859" s="13" t="str">
        <f t="shared" si="69"/>
        <v/>
      </c>
    </row>
    <row r="860" spans="1:20" x14ac:dyDescent="0.35">
      <c r="A860" s="13" t="s">
        <v>3505</v>
      </c>
      <c r="B860" s="13" t="s">
        <v>218</v>
      </c>
      <c r="C860" s="13" t="s">
        <v>219</v>
      </c>
      <c r="D860" s="13" t="s">
        <v>3506</v>
      </c>
      <c r="E860" s="14">
        <v>45955</v>
      </c>
      <c r="F860" s="14">
        <v>45987</v>
      </c>
      <c r="G860" s="15">
        <v>20210.18</v>
      </c>
      <c r="H860" s="13" t="s">
        <v>3507</v>
      </c>
      <c r="I860" s="13" t="s">
        <v>3508</v>
      </c>
      <c r="J860" s="13" t="s">
        <v>143</v>
      </c>
      <c r="K860" s="13">
        <f t="shared" si="65"/>
        <v>2</v>
      </c>
      <c r="L860" s="13">
        <f t="shared" si="66"/>
        <v>0</v>
      </c>
      <c r="M860" s="13">
        <f>IF(AND(L860=0,COUNTIFS($B$2:$B$1534,B860,$G$2:$G$1534,G860,$E$2:$E$1534,"&gt;="&amp;(E860-Assumptions!$B$5),$E$2:$E$1534,"&lt;="&amp;(E860+Assumptions!$B$5))&gt;1),1,0)</f>
        <v>0</v>
      </c>
      <c r="N860" s="13">
        <f>IF(AND(G860&gt;=Assumptions!$B$4*(1-Assumptions!$B$6),G860&lt;Assumptions!$B$4),1,0)</f>
        <v>0</v>
      </c>
      <c r="O860" s="13">
        <f>IF(AND(G860&gt;=Assumptions!$B$7,MOD(G860,Assumptions!$B$7)=0),1,0)</f>
        <v>0</v>
      </c>
      <c r="P860" s="13">
        <f t="shared" si="67"/>
        <v>0</v>
      </c>
      <c r="Q860" s="13">
        <f t="shared" si="68"/>
        <v>0</v>
      </c>
      <c r="R860" s="13">
        <f>L860*Assumptions!$B$11+M860*Assumptions!$B$12+N860*Assumptions!$B$13+O860*Assumptions!$B$14+P860*Assumptions!$B$15+Q860*Assumptions!$B$16</f>
        <v>0</v>
      </c>
      <c r="S860" s="13" t="str">
        <f>IF(R860&gt;=Assumptions!$B$20,"High",IF(R860&gt;=Assumptions!$B$21,"Medium",IF(R860&gt;=1,"Low","Clear")))</f>
        <v>Clear</v>
      </c>
      <c r="T860" s="13" t="str">
        <f t="shared" si="69"/>
        <v/>
      </c>
    </row>
    <row r="861" spans="1:20" x14ac:dyDescent="0.35">
      <c r="A861" s="13" t="s">
        <v>3509</v>
      </c>
      <c r="B861" s="13" t="s">
        <v>161</v>
      </c>
      <c r="C861" s="13" t="s">
        <v>162</v>
      </c>
      <c r="D861" s="13" t="s">
        <v>3510</v>
      </c>
      <c r="E861" s="14">
        <v>45962</v>
      </c>
      <c r="F861" s="14">
        <v>45987</v>
      </c>
      <c r="G861" s="15">
        <v>190993.57</v>
      </c>
      <c r="H861" s="13" t="s">
        <v>3511</v>
      </c>
      <c r="I861" s="13" t="s">
        <v>3512</v>
      </c>
      <c r="J861" s="13" t="s">
        <v>91</v>
      </c>
      <c r="K861" s="13">
        <f t="shared" si="65"/>
        <v>1</v>
      </c>
      <c r="L861" s="13">
        <f t="shared" si="66"/>
        <v>0</v>
      </c>
      <c r="M861" s="13">
        <f>IF(AND(L861=0,COUNTIFS($B$2:$B$1534,B861,$G$2:$G$1534,G861,$E$2:$E$1534,"&gt;="&amp;(E861-Assumptions!$B$5),$E$2:$E$1534,"&lt;="&amp;(E861+Assumptions!$B$5))&gt;1),1,0)</f>
        <v>0</v>
      </c>
      <c r="N861" s="13">
        <f>IF(AND(G861&gt;=Assumptions!$B$4*(1-Assumptions!$B$6),G861&lt;Assumptions!$B$4),1,0)</f>
        <v>0</v>
      </c>
      <c r="O861" s="13">
        <f>IF(AND(G861&gt;=Assumptions!$B$7,MOD(G861,Assumptions!$B$7)=0),1,0)</f>
        <v>0</v>
      </c>
      <c r="P861" s="13">
        <f t="shared" si="67"/>
        <v>0</v>
      </c>
      <c r="Q861" s="13">
        <f t="shared" si="68"/>
        <v>0</v>
      </c>
      <c r="R861" s="13">
        <f>L861*Assumptions!$B$11+M861*Assumptions!$B$12+N861*Assumptions!$B$13+O861*Assumptions!$B$14+P861*Assumptions!$B$15+Q861*Assumptions!$B$16</f>
        <v>0</v>
      </c>
      <c r="S861" s="13" t="str">
        <f>IF(R861&gt;=Assumptions!$B$20,"High",IF(R861&gt;=Assumptions!$B$21,"Medium",IF(R861&gt;=1,"Low","Clear")))</f>
        <v>Clear</v>
      </c>
      <c r="T861" s="13" t="str">
        <f t="shared" si="69"/>
        <v/>
      </c>
    </row>
    <row r="862" spans="1:20" x14ac:dyDescent="0.35">
      <c r="A862" s="13" t="s">
        <v>3513</v>
      </c>
      <c r="B862" s="13" t="s">
        <v>279</v>
      </c>
      <c r="C862" s="13" t="s">
        <v>280</v>
      </c>
      <c r="D862" s="13" t="s">
        <v>3514</v>
      </c>
      <c r="E862" s="14">
        <v>45959</v>
      </c>
      <c r="F862" s="14">
        <v>45988</v>
      </c>
      <c r="G862" s="15">
        <v>6690.55</v>
      </c>
      <c r="H862" s="13" t="s">
        <v>3515</v>
      </c>
      <c r="I862" s="13" t="s">
        <v>3516</v>
      </c>
      <c r="J862" s="13" t="s">
        <v>136</v>
      </c>
      <c r="K862" s="13">
        <f t="shared" si="65"/>
        <v>6</v>
      </c>
      <c r="L862" s="13">
        <f t="shared" si="66"/>
        <v>0</v>
      </c>
      <c r="M862" s="13">
        <f>IF(AND(L862=0,COUNTIFS($B$2:$B$1534,B862,$G$2:$G$1534,G862,$E$2:$E$1534,"&gt;="&amp;(E862-Assumptions!$B$5),$E$2:$E$1534,"&lt;="&amp;(E862+Assumptions!$B$5))&gt;1),1,0)</f>
        <v>0</v>
      </c>
      <c r="N862" s="13">
        <f>IF(AND(G862&gt;=Assumptions!$B$4*(1-Assumptions!$B$6),G862&lt;Assumptions!$B$4),1,0)</f>
        <v>0</v>
      </c>
      <c r="O862" s="13">
        <f>IF(AND(G862&gt;=Assumptions!$B$7,MOD(G862,Assumptions!$B$7)=0),1,0)</f>
        <v>0</v>
      </c>
      <c r="P862" s="13">
        <f t="shared" si="67"/>
        <v>0</v>
      </c>
      <c r="Q862" s="13">
        <f t="shared" si="68"/>
        <v>0</v>
      </c>
      <c r="R862" s="13">
        <f>L862*Assumptions!$B$11+M862*Assumptions!$B$12+N862*Assumptions!$B$13+O862*Assumptions!$B$14+P862*Assumptions!$B$15+Q862*Assumptions!$B$16</f>
        <v>0</v>
      </c>
      <c r="S862" s="13" t="str">
        <f>IF(R862&gt;=Assumptions!$B$20,"High",IF(R862&gt;=Assumptions!$B$21,"Medium",IF(R862&gt;=1,"Low","Clear")))</f>
        <v>Clear</v>
      </c>
      <c r="T862" s="13" t="str">
        <f t="shared" si="69"/>
        <v/>
      </c>
    </row>
    <row r="863" spans="1:20" x14ac:dyDescent="0.35">
      <c r="A863" s="13" t="s">
        <v>3517</v>
      </c>
      <c r="B863" s="13" t="s">
        <v>206</v>
      </c>
      <c r="C863" s="13" t="s">
        <v>207</v>
      </c>
      <c r="D863" s="13" t="s">
        <v>3518</v>
      </c>
      <c r="E863" s="14">
        <v>45957</v>
      </c>
      <c r="F863" s="14">
        <v>45988</v>
      </c>
      <c r="G863" s="15">
        <v>2088.09</v>
      </c>
      <c r="H863" s="13" t="s">
        <v>3519</v>
      </c>
      <c r="I863" s="13" t="s">
        <v>3520</v>
      </c>
      <c r="J863" s="13" t="s">
        <v>91</v>
      </c>
      <c r="K863" s="13">
        <f t="shared" si="65"/>
        <v>2</v>
      </c>
      <c r="L863" s="13">
        <f t="shared" si="66"/>
        <v>0</v>
      </c>
      <c r="M863" s="13">
        <f>IF(AND(L863=0,COUNTIFS($B$2:$B$1534,B863,$G$2:$G$1534,G863,$E$2:$E$1534,"&gt;="&amp;(E863-Assumptions!$B$5),$E$2:$E$1534,"&lt;="&amp;(E863+Assumptions!$B$5))&gt;1),1,0)</f>
        <v>0</v>
      </c>
      <c r="N863" s="13">
        <f>IF(AND(G863&gt;=Assumptions!$B$4*(1-Assumptions!$B$6),G863&lt;Assumptions!$B$4),1,0)</f>
        <v>0</v>
      </c>
      <c r="O863" s="13">
        <f>IF(AND(G863&gt;=Assumptions!$B$7,MOD(G863,Assumptions!$B$7)=0),1,0)</f>
        <v>0</v>
      </c>
      <c r="P863" s="13">
        <f t="shared" si="67"/>
        <v>0</v>
      </c>
      <c r="Q863" s="13">
        <f t="shared" si="68"/>
        <v>0</v>
      </c>
      <c r="R863" s="13">
        <f>L863*Assumptions!$B$11+M863*Assumptions!$B$12+N863*Assumptions!$B$13+O863*Assumptions!$B$14+P863*Assumptions!$B$15+Q863*Assumptions!$B$16</f>
        <v>0</v>
      </c>
      <c r="S863" s="13" t="str">
        <f>IF(R863&gt;=Assumptions!$B$20,"High",IF(R863&gt;=Assumptions!$B$21,"Medium",IF(R863&gt;=1,"Low","Clear")))</f>
        <v>Clear</v>
      </c>
      <c r="T863" s="13" t="str">
        <f t="shared" si="69"/>
        <v/>
      </c>
    </row>
    <row r="864" spans="1:20" x14ac:dyDescent="0.35">
      <c r="A864" s="13" t="s">
        <v>3521</v>
      </c>
      <c r="B864" s="13" t="s">
        <v>670</v>
      </c>
      <c r="C864" s="13" t="s">
        <v>671</v>
      </c>
      <c r="D864" s="13" t="s">
        <v>3522</v>
      </c>
      <c r="E864" s="14">
        <v>45958</v>
      </c>
      <c r="F864" s="14">
        <v>45989</v>
      </c>
      <c r="G864" s="15">
        <v>417659.26</v>
      </c>
      <c r="H864" s="13" t="s">
        <v>3523</v>
      </c>
      <c r="I864" s="13" t="s">
        <v>3524</v>
      </c>
      <c r="J864" s="13" t="s">
        <v>136</v>
      </c>
      <c r="K864" s="13">
        <f t="shared" si="65"/>
        <v>4</v>
      </c>
      <c r="L864" s="13">
        <f t="shared" si="66"/>
        <v>0</v>
      </c>
      <c r="M864" s="13">
        <f>IF(AND(L864=0,COUNTIFS($B$2:$B$1534,B864,$G$2:$G$1534,G864,$E$2:$E$1534,"&gt;="&amp;(E864-Assumptions!$B$5),$E$2:$E$1534,"&lt;="&amp;(E864+Assumptions!$B$5))&gt;1),1,0)</f>
        <v>0</v>
      </c>
      <c r="N864" s="13">
        <f>IF(AND(G864&gt;=Assumptions!$B$4*(1-Assumptions!$B$6),G864&lt;Assumptions!$B$4),1,0)</f>
        <v>0</v>
      </c>
      <c r="O864" s="13">
        <f>IF(AND(G864&gt;=Assumptions!$B$7,MOD(G864,Assumptions!$B$7)=0),1,0)</f>
        <v>0</v>
      </c>
      <c r="P864" s="13">
        <f t="shared" si="67"/>
        <v>0</v>
      </c>
      <c r="Q864" s="13">
        <f t="shared" si="68"/>
        <v>0</v>
      </c>
      <c r="R864" s="13">
        <f>L864*Assumptions!$B$11+M864*Assumptions!$B$12+N864*Assumptions!$B$13+O864*Assumptions!$B$14+P864*Assumptions!$B$15+Q864*Assumptions!$B$16</f>
        <v>0</v>
      </c>
      <c r="S864" s="13" t="str">
        <f>IF(R864&gt;=Assumptions!$B$20,"High",IF(R864&gt;=Assumptions!$B$21,"Medium",IF(R864&gt;=1,"Low","Clear")))</f>
        <v>Clear</v>
      </c>
      <c r="T864" s="13" t="str">
        <f t="shared" si="69"/>
        <v/>
      </c>
    </row>
    <row r="865" spans="1:20" x14ac:dyDescent="0.35">
      <c r="A865" s="13" t="s">
        <v>3525</v>
      </c>
      <c r="B865" s="13" t="s">
        <v>206</v>
      </c>
      <c r="C865" s="13" t="s">
        <v>207</v>
      </c>
      <c r="D865" s="13" t="s">
        <v>3526</v>
      </c>
      <c r="E865" s="14">
        <v>45966</v>
      </c>
      <c r="F865" s="14">
        <v>45989</v>
      </c>
      <c r="G865" s="15">
        <v>1927.5</v>
      </c>
      <c r="H865" s="13" t="s">
        <v>3527</v>
      </c>
      <c r="I865" s="13" t="s">
        <v>3528</v>
      </c>
      <c r="J865" s="13" t="s">
        <v>111</v>
      </c>
      <c r="K865" s="13">
        <f t="shared" si="65"/>
        <v>1</v>
      </c>
      <c r="L865" s="13">
        <f t="shared" si="66"/>
        <v>0</v>
      </c>
      <c r="M865" s="13">
        <f>IF(AND(L865=0,COUNTIFS($B$2:$B$1534,B865,$G$2:$G$1534,G865,$E$2:$E$1534,"&gt;="&amp;(E865-Assumptions!$B$5),$E$2:$E$1534,"&lt;="&amp;(E865+Assumptions!$B$5))&gt;1),1,0)</f>
        <v>0</v>
      </c>
      <c r="N865" s="13">
        <f>IF(AND(G865&gt;=Assumptions!$B$4*(1-Assumptions!$B$6),G865&lt;Assumptions!$B$4),1,0)</f>
        <v>0</v>
      </c>
      <c r="O865" s="13">
        <f>IF(AND(G865&gt;=Assumptions!$B$7,MOD(G865,Assumptions!$B$7)=0),1,0)</f>
        <v>0</v>
      </c>
      <c r="P865" s="13">
        <f t="shared" si="67"/>
        <v>0</v>
      </c>
      <c r="Q865" s="13">
        <f t="shared" si="68"/>
        <v>0</v>
      </c>
      <c r="R865" s="13">
        <f>L865*Assumptions!$B$11+M865*Assumptions!$B$12+N865*Assumptions!$B$13+O865*Assumptions!$B$14+P865*Assumptions!$B$15+Q865*Assumptions!$B$16</f>
        <v>0</v>
      </c>
      <c r="S865" s="13" t="str">
        <f>IF(R865&gt;=Assumptions!$B$20,"High",IF(R865&gt;=Assumptions!$B$21,"Medium",IF(R865&gt;=1,"Low","Clear")))</f>
        <v>Clear</v>
      </c>
      <c r="T865" s="13" t="str">
        <f t="shared" si="69"/>
        <v/>
      </c>
    </row>
    <row r="866" spans="1:20" x14ac:dyDescent="0.35">
      <c r="A866" s="13" t="s">
        <v>3529</v>
      </c>
      <c r="B866" s="13" t="s">
        <v>476</v>
      </c>
      <c r="C866" s="13" t="s">
        <v>477</v>
      </c>
      <c r="D866" s="13" t="s">
        <v>3530</v>
      </c>
      <c r="E866" s="14">
        <v>45968</v>
      </c>
      <c r="F866" s="14">
        <v>45989</v>
      </c>
      <c r="G866" s="15">
        <v>3881.98</v>
      </c>
      <c r="H866" s="13" t="s">
        <v>3531</v>
      </c>
      <c r="I866" s="13" t="s">
        <v>3532</v>
      </c>
      <c r="J866" s="13" t="s">
        <v>91</v>
      </c>
      <c r="K866" s="13">
        <f t="shared" si="65"/>
        <v>3</v>
      </c>
      <c r="L866" s="13">
        <f t="shared" si="66"/>
        <v>0</v>
      </c>
      <c r="M866" s="13">
        <f>IF(AND(L866=0,COUNTIFS($B$2:$B$1534,B866,$G$2:$G$1534,G866,$E$2:$E$1534,"&gt;="&amp;(E866-Assumptions!$B$5),$E$2:$E$1534,"&lt;="&amp;(E866+Assumptions!$B$5))&gt;1),1,0)</f>
        <v>0</v>
      </c>
      <c r="N866" s="13">
        <f>IF(AND(G866&gt;=Assumptions!$B$4*(1-Assumptions!$B$6),G866&lt;Assumptions!$B$4),1,0)</f>
        <v>0</v>
      </c>
      <c r="O866" s="13">
        <f>IF(AND(G866&gt;=Assumptions!$B$7,MOD(G866,Assumptions!$B$7)=0),1,0)</f>
        <v>0</v>
      </c>
      <c r="P866" s="13">
        <f t="shared" si="67"/>
        <v>0</v>
      </c>
      <c r="Q866" s="13">
        <f t="shared" si="68"/>
        <v>0</v>
      </c>
      <c r="R866" s="13">
        <f>L866*Assumptions!$B$11+M866*Assumptions!$B$12+N866*Assumptions!$B$13+O866*Assumptions!$B$14+P866*Assumptions!$B$15+Q866*Assumptions!$B$16</f>
        <v>0</v>
      </c>
      <c r="S866" s="13" t="str">
        <f>IF(R866&gt;=Assumptions!$B$20,"High",IF(R866&gt;=Assumptions!$B$21,"Medium",IF(R866&gt;=1,"Low","Clear")))</f>
        <v>Clear</v>
      </c>
      <c r="T866" s="13" t="str">
        <f t="shared" si="69"/>
        <v/>
      </c>
    </row>
    <row r="867" spans="1:20" x14ac:dyDescent="0.35">
      <c r="A867" s="13" t="s">
        <v>3533</v>
      </c>
      <c r="B867" s="13" t="s">
        <v>138</v>
      </c>
      <c r="C867" s="13" t="s">
        <v>139</v>
      </c>
      <c r="D867" s="13" t="s">
        <v>3534</v>
      </c>
      <c r="E867" s="14">
        <v>45952</v>
      </c>
      <c r="F867" s="14">
        <v>45990</v>
      </c>
      <c r="G867" s="15">
        <v>9850.2999999999993</v>
      </c>
      <c r="H867" s="13" t="s">
        <v>3535</v>
      </c>
      <c r="I867" s="13" t="s">
        <v>3536</v>
      </c>
      <c r="J867" s="13" t="s">
        <v>170</v>
      </c>
      <c r="K867" s="13">
        <f t="shared" si="65"/>
        <v>9</v>
      </c>
      <c r="L867" s="13">
        <f t="shared" si="66"/>
        <v>0</v>
      </c>
      <c r="M867" s="13">
        <f>IF(AND(L867=0,COUNTIFS($B$2:$B$1534,B867,$G$2:$G$1534,G867,$E$2:$E$1534,"&gt;="&amp;(E867-Assumptions!$B$5),$E$2:$E$1534,"&lt;="&amp;(E867+Assumptions!$B$5))&gt;1),1,0)</f>
        <v>0</v>
      </c>
      <c r="N867" s="13">
        <f>IF(AND(G867&gt;=Assumptions!$B$4*(1-Assumptions!$B$6),G867&lt;Assumptions!$B$4),1,0)</f>
        <v>0</v>
      </c>
      <c r="O867" s="13">
        <f>IF(AND(G867&gt;=Assumptions!$B$7,MOD(G867,Assumptions!$B$7)=0),1,0)</f>
        <v>0</v>
      </c>
      <c r="P867" s="13">
        <f t="shared" si="67"/>
        <v>0</v>
      </c>
      <c r="Q867" s="13">
        <f t="shared" si="68"/>
        <v>1</v>
      </c>
      <c r="R867" s="13">
        <f>L867*Assumptions!$B$11+M867*Assumptions!$B$12+N867*Assumptions!$B$13+O867*Assumptions!$B$14+P867*Assumptions!$B$15+Q867*Assumptions!$B$16</f>
        <v>1</v>
      </c>
      <c r="S867" s="13" t="str">
        <f>IF(R867&gt;=Assumptions!$B$20,"High",IF(R867&gt;=Assumptions!$B$21,"Medium",IF(R867&gt;=1,"Low","Clear")))</f>
        <v>Low</v>
      </c>
      <c r="T867" s="13" t="str">
        <f t="shared" si="69"/>
        <v xml:space="preserve">Weekend payment; </v>
      </c>
    </row>
    <row r="868" spans="1:20" x14ac:dyDescent="0.35">
      <c r="A868" s="13" t="s">
        <v>3537</v>
      </c>
      <c r="B868" s="13" t="s">
        <v>293</v>
      </c>
      <c r="C868" s="13" t="s">
        <v>294</v>
      </c>
      <c r="D868" s="13" t="s">
        <v>3538</v>
      </c>
      <c r="E868" s="14">
        <v>45968</v>
      </c>
      <c r="F868" s="14">
        <v>45992</v>
      </c>
      <c r="G868" s="15">
        <v>14154.34</v>
      </c>
      <c r="H868" s="13" t="s">
        <v>3539</v>
      </c>
      <c r="I868" s="13"/>
      <c r="J868" s="13" t="s">
        <v>98</v>
      </c>
      <c r="K868" s="13">
        <f t="shared" si="65"/>
        <v>1</v>
      </c>
      <c r="L868" s="13">
        <f t="shared" si="66"/>
        <v>0</v>
      </c>
      <c r="M868" s="13">
        <f>IF(AND(L868=0,COUNTIFS($B$2:$B$1534,B868,$G$2:$G$1534,G868,$E$2:$E$1534,"&gt;="&amp;(E868-Assumptions!$B$5),$E$2:$E$1534,"&lt;="&amp;(E868+Assumptions!$B$5))&gt;1),1,0)</f>
        <v>0</v>
      </c>
      <c r="N868" s="13">
        <f>IF(AND(G868&gt;=Assumptions!$B$4*(1-Assumptions!$B$6),G868&lt;Assumptions!$B$4),1,0)</f>
        <v>0</v>
      </c>
      <c r="O868" s="13">
        <f>IF(AND(G868&gt;=Assumptions!$B$7,MOD(G868,Assumptions!$B$7)=0),1,0)</f>
        <v>0</v>
      </c>
      <c r="P868" s="13">
        <f t="shared" si="67"/>
        <v>1</v>
      </c>
      <c r="Q868" s="13">
        <f t="shared" si="68"/>
        <v>0</v>
      </c>
      <c r="R868" s="13">
        <f>L868*Assumptions!$B$11+M868*Assumptions!$B$12+N868*Assumptions!$B$13+O868*Assumptions!$B$14+P868*Assumptions!$B$15+Q868*Assumptions!$B$16</f>
        <v>4</v>
      </c>
      <c r="S868" s="13" t="str">
        <f>IF(R868&gt;=Assumptions!$B$20,"High",IF(R868&gt;=Assumptions!$B$21,"Medium",IF(R868&gt;=1,"Low","Clear")))</f>
        <v>Medium</v>
      </c>
      <c r="T868" s="13" t="str">
        <f t="shared" si="69"/>
        <v xml:space="preserve">No PO/GRN; </v>
      </c>
    </row>
    <row r="869" spans="1:20" x14ac:dyDescent="0.35">
      <c r="A869" s="13" t="s">
        <v>3540</v>
      </c>
      <c r="B869" s="13" t="s">
        <v>670</v>
      </c>
      <c r="C869" s="13" t="s">
        <v>671</v>
      </c>
      <c r="D869" s="13" t="s">
        <v>3541</v>
      </c>
      <c r="E869" s="14">
        <v>45954</v>
      </c>
      <c r="F869" s="14">
        <v>45992</v>
      </c>
      <c r="G869" s="15">
        <v>298388.18</v>
      </c>
      <c r="H869" s="13" t="s">
        <v>3542</v>
      </c>
      <c r="I869" s="13" t="s">
        <v>3543</v>
      </c>
      <c r="J869" s="13" t="s">
        <v>91</v>
      </c>
      <c r="K869" s="13">
        <f t="shared" si="65"/>
        <v>2</v>
      </c>
      <c r="L869" s="13">
        <f t="shared" si="66"/>
        <v>0</v>
      </c>
      <c r="M869" s="13">
        <f>IF(AND(L869=0,COUNTIFS($B$2:$B$1534,B869,$G$2:$G$1534,G869,$E$2:$E$1534,"&gt;="&amp;(E869-Assumptions!$B$5),$E$2:$E$1534,"&lt;="&amp;(E869+Assumptions!$B$5))&gt;1),1,0)</f>
        <v>0</v>
      </c>
      <c r="N869" s="13">
        <f>IF(AND(G869&gt;=Assumptions!$B$4*(1-Assumptions!$B$6),G869&lt;Assumptions!$B$4),1,0)</f>
        <v>0</v>
      </c>
      <c r="O869" s="13">
        <f>IF(AND(G869&gt;=Assumptions!$B$7,MOD(G869,Assumptions!$B$7)=0),1,0)</f>
        <v>0</v>
      </c>
      <c r="P869" s="13">
        <f t="shared" si="67"/>
        <v>0</v>
      </c>
      <c r="Q869" s="13">
        <f t="shared" si="68"/>
        <v>0</v>
      </c>
      <c r="R869" s="13">
        <f>L869*Assumptions!$B$11+M869*Assumptions!$B$12+N869*Assumptions!$B$13+O869*Assumptions!$B$14+P869*Assumptions!$B$15+Q869*Assumptions!$B$16</f>
        <v>0</v>
      </c>
      <c r="S869" s="13" t="str">
        <f>IF(R869&gt;=Assumptions!$B$20,"High",IF(R869&gt;=Assumptions!$B$21,"Medium",IF(R869&gt;=1,"Low","Clear")))</f>
        <v>Clear</v>
      </c>
      <c r="T869" s="13" t="str">
        <f t="shared" si="69"/>
        <v/>
      </c>
    </row>
    <row r="870" spans="1:20" x14ac:dyDescent="0.35">
      <c r="A870" s="13" t="s">
        <v>3544</v>
      </c>
      <c r="B870" s="13" t="s">
        <v>86</v>
      </c>
      <c r="C870" s="13" t="s">
        <v>87</v>
      </c>
      <c r="D870" s="13" t="s">
        <v>3545</v>
      </c>
      <c r="E870" s="14">
        <v>45955</v>
      </c>
      <c r="F870" s="14">
        <v>45992</v>
      </c>
      <c r="G870" s="15">
        <v>587919.74</v>
      </c>
      <c r="H870" s="13" t="s">
        <v>3546</v>
      </c>
      <c r="I870" s="13" t="s">
        <v>3547</v>
      </c>
      <c r="J870" s="13" t="s">
        <v>136</v>
      </c>
      <c r="K870" s="13">
        <f t="shared" si="65"/>
        <v>5</v>
      </c>
      <c r="L870" s="13">
        <f t="shared" si="66"/>
        <v>0</v>
      </c>
      <c r="M870" s="13">
        <f>IF(AND(L870=0,COUNTIFS($B$2:$B$1534,B870,$G$2:$G$1534,G870,$E$2:$E$1534,"&gt;="&amp;(E870-Assumptions!$B$5),$E$2:$E$1534,"&lt;="&amp;(E870+Assumptions!$B$5))&gt;1),1,0)</f>
        <v>0</v>
      </c>
      <c r="N870" s="13">
        <f>IF(AND(G870&gt;=Assumptions!$B$4*(1-Assumptions!$B$6),G870&lt;Assumptions!$B$4),1,0)</f>
        <v>0</v>
      </c>
      <c r="O870" s="13">
        <f>IF(AND(G870&gt;=Assumptions!$B$7,MOD(G870,Assumptions!$B$7)=0),1,0)</f>
        <v>0</v>
      </c>
      <c r="P870" s="13">
        <f t="shared" si="67"/>
        <v>0</v>
      </c>
      <c r="Q870" s="13">
        <f t="shared" si="68"/>
        <v>0</v>
      </c>
      <c r="R870" s="13">
        <f>L870*Assumptions!$B$11+M870*Assumptions!$B$12+N870*Assumptions!$B$13+O870*Assumptions!$B$14+P870*Assumptions!$B$15+Q870*Assumptions!$B$16</f>
        <v>0</v>
      </c>
      <c r="S870" s="13" t="str">
        <f>IF(R870&gt;=Assumptions!$B$20,"High",IF(R870&gt;=Assumptions!$B$21,"Medium",IF(R870&gt;=1,"Low","Clear")))</f>
        <v>Clear</v>
      </c>
      <c r="T870" s="13" t="str">
        <f t="shared" si="69"/>
        <v/>
      </c>
    </row>
    <row r="871" spans="1:20" x14ac:dyDescent="0.35">
      <c r="A871" s="13" t="s">
        <v>3548</v>
      </c>
      <c r="B871" s="13" t="s">
        <v>279</v>
      </c>
      <c r="C871" s="13" t="s">
        <v>280</v>
      </c>
      <c r="D871" s="13" t="s">
        <v>3549</v>
      </c>
      <c r="E871" s="14">
        <v>45960</v>
      </c>
      <c r="F871" s="14">
        <v>45992</v>
      </c>
      <c r="G871" s="15">
        <v>144799.47</v>
      </c>
      <c r="H871" s="13" t="s">
        <v>3550</v>
      </c>
      <c r="I871" s="13" t="s">
        <v>3551</v>
      </c>
      <c r="J871" s="13" t="s">
        <v>98</v>
      </c>
      <c r="K871" s="13">
        <f t="shared" si="65"/>
        <v>1</v>
      </c>
      <c r="L871" s="13">
        <f t="shared" si="66"/>
        <v>0</v>
      </c>
      <c r="M871" s="13">
        <f>IF(AND(L871=0,COUNTIFS($B$2:$B$1534,B871,$G$2:$G$1534,G871,$E$2:$E$1534,"&gt;="&amp;(E871-Assumptions!$B$5),$E$2:$E$1534,"&lt;="&amp;(E871+Assumptions!$B$5))&gt;1),1,0)</f>
        <v>0</v>
      </c>
      <c r="N871" s="13">
        <f>IF(AND(G871&gt;=Assumptions!$B$4*(1-Assumptions!$B$6),G871&lt;Assumptions!$B$4),1,0)</f>
        <v>0</v>
      </c>
      <c r="O871" s="13">
        <f>IF(AND(G871&gt;=Assumptions!$B$7,MOD(G871,Assumptions!$B$7)=0),1,0)</f>
        <v>0</v>
      </c>
      <c r="P871" s="13">
        <f t="shared" si="67"/>
        <v>0</v>
      </c>
      <c r="Q871" s="13">
        <f t="shared" si="68"/>
        <v>0</v>
      </c>
      <c r="R871" s="13">
        <f>L871*Assumptions!$B$11+M871*Assumptions!$B$12+N871*Assumptions!$B$13+O871*Assumptions!$B$14+P871*Assumptions!$B$15+Q871*Assumptions!$B$16</f>
        <v>0</v>
      </c>
      <c r="S871" s="13" t="str">
        <f>IF(R871&gt;=Assumptions!$B$20,"High",IF(R871&gt;=Assumptions!$B$21,"Medium",IF(R871&gt;=1,"Low","Clear")))</f>
        <v>Clear</v>
      </c>
      <c r="T871" s="13" t="str">
        <f t="shared" si="69"/>
        <v/>
      </c>
    </row>
    <row r="872" spans="1:20" x14ac:dyDescent="0.35">
      <c r="A872" s="13" t="s">
        <v>3552</v>
      </c>
      <c r="B872" s="13" t="s">
        <v>774</v>
      </c>
      <c r="C872" s="13" t="s">
        <v>775</v>
      </c>
      <c r="D872" s="13" t="s">
        <v>3553</v>
      </c>
      <c r="E872" s="14">
        <v>45956</v>
      </c>
      <c r="F872" s="14">
        <v>45992</v>
      </c>
      <c r="G872" s="15">
        <v>46294.42</v>
      </c>
      <c r="H872" s="13" t="s">
        <v>3554</v>
      </c>
      <c r="I872" s="13" t="s">
        <v>3555</v>
      </c>
      <c r="J872" s="13" t="s">
        <v>136</v>
      </c>
      <c r="K872" s="13">
        <f t="shared" si="65"/>
        <v>4</v>
      </c>
      <c r="L872" s="13">
        <f t="shared" si="66"/>
        <v>0</v>
      </c>
      <c r="M872" s="13">
        <f>IF(AND(L872=0,COUNTIFS($B$2:$B$1534,B872,$G$2:$G$1534,G872,$E$2:$E$1534,"&gt;="&amp;(E872-Assumptions!$B$5),$E$2:$E$1534,"&lt;="&amp;(E872+Assumptions!$B$5))&gt;1),1,0)</f>
        <v>0</v>
      </c>
      <c r="N872" s="13">
        <f>IF(AND(G872&gt;=Assumptions!$B$4*(1-Assumptions!$B$6),G872&lt;Assumptions!$B$4),1,0)</f>
        <v>0</v>
      </c>
      <c r="O872" s="13">
        <f>IF(AND(G872&gt;=Assumptions!$B$7,MOD(G872,Assumptions!$B$7)=0),1,0)</f>
        <v>0</v>
      </c>
      <c r="P872" s="13">
        <f t="shared" si="67"/>
        <v>0</v>
      </c>
      <c r="Q872" s="13">
        <f t="shared" si="68"/>
        <v>0</v>
      </c>
      <c r="R872" s="13">
        <f>L872*Assumptions!$B$11+M872*Assumptions!$B$12+N872*Assumptions!$B$13+O872*Assumptions!$B$14+P872*Assumptions!$B$15+Q872*Assumptions!$B$16</f>
        <v>0</v>
      </c>
      <c r="S872" s="13" t="str">
        <f>IF(R872&gt;=Assumptions!$B$20,"High",IF(R872&gt;=Assumptions!$B$21,"Medium",IF(R872&gt;=1,"Low","Clear")))</f>
        <v>Clear</v>
      </c>
      <c r="T872" s="13" t="str">
        <f t="shared" si="69"/>
        <v/>
      </c>
    </row>
    <row r="873" spans="1:20" x14ac:dyDescent="0.35">
      <c r="A873" s="13" t="s">
        <v>3556</v>
      </c>
      <c r="B873" s="13" t="s">
        <v>131</v>
      </c>
      <c r="C873" s="13" t="s">
        <v>132</v>
      </c>
      <c r="D873" s="13" t="s">
        <v>3557</v>
      </c>
      <c r="E873" s="14">
        <v>45963</v>
      </c>
      <c r="F873" s="14">
        <v>45992</v>
      </c>
      <c r="G873" s="15">
        <v>319692.71999999997</v>
      </c>
      <c r="H873" s="13" t="s">
        <v>3558</v>
      </c>
      <c r="I873" s="13" t="s">
        <v>3559</v>
      </c>
      <c r="J873" s="13" t="s">
        <v>136</v>
      </c>
      <c r="K873" s="13">
        <f t="shared" si="65"/>
        <v>3</v>
      </c>
      <c r="L873" s="13">
        <f t="shared" si="66"/>
        <v>0</v>
      </c>
      <c r="M873" s="13">
        <f>IF(AND(L873=0,COUNTIFS($B$2:$B$1534,B873,$G$2:$G$1534,G873,$E$2:$E$1534,"&gt;="&amp;(E873-Assumptions!$B$5),$E$2:$E$1534,"&lt;="&amp;(E873+Assumptions!$B$5))&gt;1),1,0)</f>
        <v>0</v>
      </c>
      <c r="N873" s="13">
        <f>IF(AND(G873&gt;=Assumptions!$B$4*(1-Assumptions!$B$6),G873&lt;Assumptions!$B$4),1,0)</f>
        <v>0</v>
      </c>
      <c r="O873" s="13">
        <f>IF(AND(G873&gt;=Assumptions!$B$7,MOD(G873,Assumptions!$B$7)=0),1,0)</f>
        <v>0</v>
      </c>
      <c r="P873" s="13">
        <f t="shared" si="67"/>
        <v>0</v>
      </c>
      <c r="Q873" s="13">
        <f t="shared" si="68"/>
        <v>0</v>
      </c>
      <c r="R873" s="13">
        <f>L873*Assumptions!$B$11+M873*Assumptions!$B$12+N873*Assumptions!$B$13+O873*Assumptions!$B$14+P873*Assumptions!$B$15+Q873*Assumptions!$B$16</f>
        <v>0</v>
      </c>
      <c r="S873" s="13" t="str">
        <f>IF(R873&gt;=Assumptions!$B$20,"High",IF(R873&gt;=Assumptions!$B$21,"Medium",IF(R873&gt;=1,"Low","Clear")))</f>
        <v>Clear</v>
      </c>
      <c r="T873" s="13" t="str">
        <f t="shared" si="69"/>
        <v/>
      </c>
    </row>
    <row r="874" spans="1:20" x14ac:dyDescent="0.35">
      <c r="A874" s="13" t="s">
        <v>3560</v>
      </c>
      <c r="B874" s="13" t="s">
        <v>466</v>
      </c>
      <c r="C874" s="13" t="s">
        <v>467</v>
      </c>
      <c r="D874" s="13" t="s">
        <v>3561</v>
      </c>
      <c r="E874" s="14">
        <v>45959</v>
      </c>
      <c r="F874" s="14">
        <v>45992</v>
      </c>
      <c r="G874" s="15">
        <v>217524.07</v>
      </c>
      <c r="H874" s="13" t="s">
        <v>3562</v>
      </c>
      <c r="I874" s="13" t="s">
        <v>3563</v>
      </c>
      <c r="J874" s="13" t="s">
        <v>143</v>
      </c>
      <c r="K874" s="13">
        <f t="shared" si="65"/>
        <v>2</v>
      </c>
      <c r="L874" s="13">
        <f t="shared" si="66"/>
        <v>0</v>
      </c>
      <c r="M874" s="13">
        <f>IF(AND(L874=0,COUNTIFS($B$2:$B$1534,B874,$G$2:$G$1534,G874,$E$2:$E$1534,"&gt;="&amp;(E874-Assumptions!$B$5),$E$2:$E$1534,"&lt;="&amp;(E874+Assumptions!$B$5))&gt;1),1,0)</f>
        <v>0</v>
      </c>
      <c r="N874" s="13">
        <f>IF(AND(G874&gt;=Assumptions!$B$4*(1-Assumptions!$B$6),G874&lt;Assumptions!$B$4),1,0)</f>
        <v>0</v>
      </c>
      <c r="O874" s="13">
        <f>IF(AND(G874&gt;=Assumptions!$B$7,MOD(G874,Assumptions!$B$7)=0),1,0)</f>
        <v>0</v>
      </c>
      <c r="P874" s="13">
        <f t="shared" si="67"/>
        <v>0</v>
      </c>
      <c r="Q874" s="13">
        <f t="shared" si="68"/>
        <v>0</v>
      </c>
      <c r="R874" s="13">
        <f>L874*Assumptions!$B$11+M874*Assumptions!$B$12+N874*Assumptions!$B$13+O874*Assumptions!$B$14+P874*Assumptions!$B$15+Q874*Assumptions!$B$16</f>
        <v>0</v>
      </c>
      <c r="S874" s="13" t="str">
        <f>IF(R874&gt;=Assumptions!$B$20,"High",IF(R874&gt;=Assumptions!$B$21,"Medium",IF(R874&gt;=1,"Low","Clear")))</f>
        <v>Clear</v>
      </c>
      <c r="T874" s="13" t="str">
        <f t="shared" si="69"/>
        <v/>
      </c>
    </row>
    <row r="875" spans="1:20" x14ac:dyDescent="0.35">
      <c r="A875" s="13" t="s">
        <v>3564</v>
      </c>
      <c r="B875" s="13" t="s">
        <v>113</v>
      </c>
      <c r="C875" s="13" t="s">
        <v>114</v>
      </c>
      <c r="D875" s="13" t="s">
        <v>3565</v>
      </c>
      <c r="E875" s="14">
        <v>45955</v>
      </c>
      <c r="F875" s="14">
        <v>45992</v>
      </c>
      <c r="G875" s="15">
        <v>317084.86</v>
      </c>
      <c r="H875" s="13" t="s">
        <v>3566</v>
      </c>
      <c r="I875" s="13" t="s">
        <v>3567</v>
      </c>
      <c r="J875" s="13" t="s">
        <v>143</v>
      </c>
      <c r="K875" s="13">
        <f t="shared" si="65"/>
        <v>3</v>
      </c>
      <c r="L875" s="13">
        <f t="shared" si="66"/>
        <v>0</v>
      </c>
      <c r="M875" s="13">
        <f>IF(AND(L875=0,COUNTIFS($B$2:$B$1534,B875,$G$2:$G$1534,G875,$E$2:$E$1534,"&gt;="&amp;(E875-Assumptions!$B$5),$E$2:$E$1534,"&lt;="&amp;(E875+Assumptions!$B$5))&gt;1),1,0)</f>
        <v>0</v>
      </c>
      <c r="N875" s="13">
        <f>IF(AND(G875&gt;=Assumptions!$B$4*(1-Assumptions!$B$6),G875&lt;Assumptions!$B$4),1,0)</f>
        <v>0</v>
      </c>
      <c r="O875" s="13">
        <f>IF(AND(G875&gt;=Assumptions!$B$7,MOD(G875,Assumptions!$B$7)=0),1,0)</f>
        <v>0</v>
      </c>
      <c r="P875" s="13">
        <f t="shared" si="67"/>
        <v>0</v>
      </c>
      <c r="Q875" s="13">
        <f t="shared" si="68"/>
        <v>0</v>
      </c>
      <c r="R875" s="13">
        <f>L875*Assumptions!$B$11+M875*Assumptions!$B$12+N875*Assumptions!$B$13+O875*Assumptions!$B$14+P875*Assumptions!$B$15+Q875*Assumptions!$B$16</f>
        <v>0</v>
      </c>
      <c r="S875" s="13" t="str">
        <f>IF(R875&gt;=Assumptions!$B$20,"High",IF(R875&gt;=Assumptions!$B$21,"Medium",IF(R875&gt;=1,"Low","Clear")))</f>
        <v>Clear</v>
      </c>
      <c r="T875" s="13" t="str">
        <f t="shared" si="69"/>
        <v/>
      </c>
    </row>
    <row r="876" spans="1:20" x14ac:dyDescent="0.35">
      <c r="A876" s="13" t="s">
        <v>3568</v>
      </c>
      <c r="B876" s="13" t="s">
        <v>206</v>
      </c>
      <c r="C876" s="13" t="s">
        <v>207</v>
      </c>
      <c r="D876" s="13" t="s">
        <v>3569</v>
      </c>
      <c r="E876" s="14">
        <v>45957</v>
      </c>
      <c r="F876" s="14">
        <v>45992</v>
      </c>
      <c r="G876" s="15">
        <v>3122.61</v>
      </c>
      <c r="H876" s="13" t="s">
        <v>3570</v>
      </c>
      <c r="I876" s="13"/>
      <c r="J876" s="13" t="s">
        <v>111</v>
      </c>
      <c r="K876" s="13">
        <f t="shared" si="65"/>
        <v>3</v>
      </c>
      <c r="L876" s="13">
        <f t="shared" si="66"/>
        <v>0</v>
      </c>
      <c r="M876" s="13">
        <f>IF(AND(L876=0,COUNTIFS($B$2:$B$1534,B876,$G$2:$G$1534,G876,$E$2:$E$1534,"&gt;="&amp;(E876-Assumptions!$B$5),$E$2:$E$1534,"&lt;="&amp;(E876+Assumptions!$B$5))&gt;1),1,0)</f>
        <v>0</v>
      </c>
      <c r="N876" s="13">
        <f>IF(AND(G876&gt;=Assumptions!$B$4*(1-Assumptions!$B$6),G876&lt;Assumptions!$B$4),1,0)</f>
        <v>0</v>
      </c>
      <c r="O876" s="13">
        <f>IF(AND(G876&gt;=Assumptions!$B$7,MOD(G876,Assumptions!$B$7)=0),1,0)</f>
        <v>0</v>
      </c>
      <c r="P876" s="13">
        <f t="shared" si="67"/>
        <v>1</v>
      </c>
      <c r="Q876" s="13">
        <f t="shared" si="68"/>
        <v>0</v>
      </c>
      <c r="R876" s="13">
        <f>L876*Assumptions!$B$11+M876*Assumptions!$B$12+N876*Assumptions!$B$13+O876*Assumptions!$B$14+P876*Assumptions!$B$15+Q876*Assumptions!$B$16</f>
        <v>4</v>
      </c>
      <c r="S876" s="13" t="str">
        <f>IF(R876&gt;=Assumptions!$B$20,"High",IF(R876&gt;=Assumptions!$B$21,"Medium",IF(R876&gt;=1,"Low","Clear")))</f>
        <v>Medium</v>
      </c>
      <c r="T876" s="13" t="str">
        <f t="shared" si="69"/>
        <v xml:space="preserve">No PO/GRN; </v>
      </c>
    </row>
    <row r="877" spans="1:20" x14ac:dyDescent="0.35">
      <c r="A877" s="13" t="s">
        <v>3571</v>
      </c>
      <c r="B877" s="13" t="s">
        <v>119</v>
      </c>
      <c r="C877" s="13" t="s">
        <v>120</v>
      </c>
      <c r="D877" s="13" t="s">
        <v>3572</v>
      </c>
      <c r="E877" s="14">
        <v>45968</v>
      </c>
      <c r="F877" s="14">
        <v>45992</v>
      </c>
      <c r="G877" s="15">
        <v>7075.21</v>
      </c>
      <c r="H877" s="13" t="s">
        <v>3573</v>
      </c>
      <c r="I877" s="13" t="s">
        <v>3574</v>
      </c>
      <c r="J877" s="13" t="s">
        <v>98</v>
      </c>
      <c r="K877" s="13">
        <f t="shared" si="65"/>
        <v>7</v>
      </c>
      <c r="L877" s="13">
        <f t="shared" si="66"/>
        <v>0</v>
      </c>
      <c r="M877" s="13">
        <f>IF(AND(L877=0,COUNTIFS($B$2:$B$1534,B877,$G$2:$G$1534,G877,$E$2:$E$1534,"&gt;="&amp;(E877-Assumptions!$B$5),$E$2:$E$1534,"&lt;="&amp;(E877+Assumptions!$B$5))&gt;1),1,0)</f>
        <v>0</v>
      </c>
      <c r="N877" s="13">
        <f>IF(AND(G877&gt;=Assumptions!$B$4*(1-Assumptions!$B$6),G877&lt;Assumptions!$B$4),1,0)</f>
        <v>0</v>
      </c>
      <c r="O877" s="13">
        <f>IF(AND(G877&gt;=Assumptions!$B$7,MOD(G877,Assumptions!$B$7)=0),1,0)</f>
        <v>0</v>
      </c>
      <c r="P877" s="13">
        <f t="shared" si="67"/>
        <v>0</v>
      </c>
      <c r="Q877" s="13">
        <f t="shared" si="68"/>
        <v>0</v>
      </c>
      <c r="R877" s="13">
        <f>L877*Assumptions!$B$11+M877*Assumptions!$B$12+N877*Assumptions!$B$13+O877*Assumptions!$B$14+P877*Assumptions!$B$15+Q877*Assumptions!$B$16</f>
        <v>0</v>
      </c>
      <c r="S877" s="13" t="str">
        <f>IF(R877&gt;=Assumptions!$B$20,"High",IF(R877&gt;=Assumptions!$B$21,"Medium",IF(R877&gt;=1,"Low","Clear")))</f>
        <v>Clear</v>
      </c>
      <c r="T877" s="13" t="str">
        <f t="shared" si="69"/>
        <v/>
      </c>
    </row>
    <row r="878" spans="1:20" x14ac:dyDescent="0.35">
      <c r="A878" s="13" t="s">
        <v>3575</v>
      </c>
      <c r="B878" s="13" t="s">
        <v>218</v>
      </c>
      <c r="C878" s="13" t="s">
        <v>219</v>
      </c>
      <c r="D878" s="13" t="s">
        <v>3576</v>
      </c>
      <c r="E878" s="14">
        <v>45965</v>
      </c>
      <c r="F878" s="14">
        <v>45992</v>
      </c>
      <c r="G878" s="15">
        <v>34894.18</v>
      </c>
      <c r="H878" s="13" t="s">
        <v>3577</v>
      </c>
      <c r="I878" s="13" t="s">
        <v>3578</v>
      </c>
      <c r="J878" s="13" t="s">
        <v>170</v>
      </c>
      <c r="K878" s="13">
        <f t="shared" si="65"/>
        <v>3</v>
      </c>
      <c r="L878" s="13">
        <f t="shared" si="66"/>
        <v>0</v>
      </c>
      <c r="M878" s="13">
        <f>IF(AND(L878=0,COUNTIFS($B$2:$B$1534,B878,$G$2:$G$1534,G878,$E$2:$E$1534,"&gt;="&amp;(E878-Assumptions!$B$5),$E$2:$E$1534,"&lt;="&amp;(E878+Assumptions!$B$5))&gt;1),1,0)</f>
        <v>0</v>
      </c>
      <c r="N878" s="13">
        <f>IF(AND(G878&gt;=Assumptions!$B$4*(1-Assumptions!$B$6),G878&lt;Assumptions!$B$4),1,0)</f>
        <v>0</v>
      </c>
      <c r="O878" s="13">
        <f>IF(AND(G878&gt;=Assumptions!$B$7,MOD(G878,Assumptions!$B$7)=0),1,0)</f>
        <v>0</v>
      </c>
      <c r="P878" s="13">
        <f t="shared" si="67"/>
        <v>0</v>
      </c>
      <c r="Q878" s="13">
        <f t="shared" si="68"/>
        <v>0</v>
      </c>
      <c r="R878" s="13">
        <f>L878*Assumptions!$B$11+M878*Assumptions!$B$12+N878*Assumptions!$B$13+O878*Assumptions!$B$14+P878*Assumptions!$B$15+Q878*Assumptions!$B$16</f>
        <v>0</v>
      </c>
      <c r="S878" s="13" t="str">
        <f>IF(R878&gt;=Assumptions!$B$20,"High",IF(R878&gt;=Assumptions!$B$21,"Medium",IF(R878&gt;=1,"Low","Clear")))</f>
        <v>Clear</v>
      </c>
      <c r="T878" s="13" t="str">
        <f t="shared" si="69"/>
        <v/>
      </c>
    </row>
    <row r="879" spans="1:20" x14ac:dyDescent="0.35">
      <c r="A879" s="13" t="s">
        <v>3579</v>
      </c>
      <c r="B879" s="13" t="s">
        <v>317</v>
      </c>
      <c r="C879" s="13" t="s">
        <v>318</v>
      </c>
      <c r="D879" s="13" t="s">
        <v>3580</v>
      </c>
      <c r="E879" s="14">
        <v>45960</v>
      </c>
      <c r="F879" s="14">
        <v>45992</v>
      </c>
      <c r="G879" s="15">
        <v>815601.3</v>
      </c>
      <c r="H879" s="13" t="s">
        <v>3581</v>
      </c>
      <c r="I879" s="13" t="s">
        <v>3582</v>
      </c>
      <c r="J879" s="13" t="s">
        <v>98</v>
      </c>
      <c r="K879" s="13">
        <f t="shared" si="65"/>
        <v>8</v>
      </c>
      <c r="L879" s="13">
        <f t="shared" si="66"/>
        <v>0</v>
      </c>
      <c r="M879" s="13">
        <f>IF(AND(L879=0,COUNTIFS($B$2:$B$1534,B879,$G$2:$G$1534,G879,$E$2:$E$1534,"&gt;="&amp;(E879-Assumptions!$B$5),$E$2:$E$1534,"&lt;="&amp;(E879+Assumptions!$B$5))&gt;1),1,0)</f>
        <v>0</v>
      </c>
      <c r="N879" s="13">
        <f>IF(AND(G879&gt;=Assumptions!$B$4*(1-Assumptions!$B$6),G879&lt;Assumptions!$B$4),1,0)</f>
        <v>0</v>
      </c>
      <c r="O879" s="13">
        <f>IF(AND(G879&gt;=Assumptions!$B$7,MOD(G879,Assumptions!$B$7)=0),1,0)</f>
        <v>0</v>
      </c>
      <c r="P879" s="13">
        <f t="shared" si="67"/>
        <v>0</v>
      </c>
      <c r="Q879" s="13">
        <f t="shared" si="68"/>
        <v>0</v>
      </c>
      <c r="R879" s="13">
        <f>L879*Assumptions!$B$11+M879*Assumptions!$B$12+N879*Assumptions!$B$13+O879*Assumptions!$B$14+P879*Assumptions!$B$15+Q879*Assumptions!$B$16</f>
        <v>0</v>
      </c>
      <c r="S879" s="13" t="str">
        <f>IF(R879&gt;=Assumptions!$B$20,"High",IF(R879&gt;=Assumptions!$B$21,"Medium",IF(R879&gt;=1,"Low","Clear")))</f>
        <v>Clear</v>
      </c>
      <c r="T879" s="13" t="str">
        <f t="shared" si="69"/>
        <v/>
      </c>
    </row>
    <row r="880" spans="1:20" x14ac:dyDescent="0.35">
      <c r="A880" s="13" t="s">
        <v>3583</v>
      </c>
      <c r="B880" s="13" t="s">
        <v>476</v>
      </c>
      <c r="C880" s="13" t="s">
        <v>477</v>
      </c>
      <c r="D880" s="13" t="s">
        <v>3584</v>
      </c>
      <c r="E880" s="14">
        <v>45956</v>
      </c>
      <c r="F880" s="14">
        <v>45992</v>
      </c>
      <c r="G880" s="15">
        <v>49195.83</v>
      </c>
      <c r="H880" s="13" t="s">
        <v>3585</v>
      </c>
      <c r="I880" s="13" t="s">
        <v>3586</v>
      </c>
      <c r="J880" s="13" t="s">
        <v>143</v>
      </c>
      <c r="K880" s="13">
        <f t="shared" si="65"/>
        <v>4</v>
      </c>
      <c r="L880" s="13">
        <f t="shared" si="66"/>
        <v>0</v>
      </c>
      <c r="M880" s="13">
        <f>IF(AND(L880=0,COUNTIFS($B$2:$B$1534,B880,$G$2:$G$1534,G880,$E$2:$E$1534,"&gt;="&amp;(E880-Assumptions!$B$5),$E$2:$E$1534,"&lt;="&amp;(E880+Assumptions!$B$5))&gt;1),1,0)</f>
        <v>0</v>
      </c>
      <c r="N880" s="13">
        <f>IF(AND(G880&gt;=Assumptions!$B$4*(1-Assumptions!$B$6),G880&lt;Assumptions!$B$4),1,0)</f>
        <v>1</v>
      </c>
      <c r="O880" s="13">
        <f>IF(AND(G880&gt;=Assumptions!$B$7,MOD(G880,Assumptions!$B$7)=0),1,0)</f>
        <v>0</v>
      </c>
      <c r="P880" s="13">
        <f t="shared" si="67"/>
        <v>0</v>
      </c>
      <c r="Q880" s="13">
        <f t="shared" si="68"/>
        <v>0</v>
      </c>
      <c r="R880" s="13">
        <f>L880*Assumptions!$B$11+M880*Assumptions!$B$12+N880*Assumptions!$B$13+O880*Assumptions!$B$14+P880*Assumptions!$B$15+Q880*Assumptions!$B$16</f>
        <v>3</v>
      </c>
      <c r="S880" s="13" t="str">
        <f>IF(R880&gt;=Assumptions!$B$20,"High",IF(R880&gt;=Assumptions!$B$21,"Medium",IF(R880&gt;=1,"Low","Clear")))</f>
        <v>Medium</v>
      </c>
      <c r="T880" s="13" t="str">
        <f t="shared" si="69"/>
        <v xml:space="preserve">Just below limit; </v>
      </c>
    </row>
    <row r="881" spans="1:20" x14ac:dyDescent="0.35">
      <c r="A881" s="13" t="s">
        <v>3587</v>
      </c>
      <c r="B881" s="13" t="s">
        <v>100</v>
      </c>
      <c r="C881" s="13" t="s">
        <v>101</v>
      </c>
      <c r="D881" s="13" t="s">
        <v>3588</v>
      </c>
      <c r="E881" s="14">
        <v>45950</v>
      </c>
      <c r="F881" s="14">
        <v>45992</v>
      </c>
      <c r="G881" s="15">
        <v>23798.83</v>
      </c>
      <c r="H881" s="13" t="s">
        <v>3589</v>
      </c>
      <c r="I881" s="13" t="s">
        <v>3590</v>
      </c>
      <c r="J881" s="13" t="s">
        <v>143</v>
      </c>
      <c r="K881" s="13">
        <f t="shared" si="65"/>
        <v>2</v>
      </c>
      <c r="L881" s="13">
        <f t="shared" si="66"/>
        <v>0</v>
      </c>
      <c r="M881" s="13">
        <f>IF(AND(L881=0,COUNTIFS($B$2:$B$1534,B881,$G$2:$G$1534,G881,$E$2:$E$1534,"&gt;="&amp;(E881-Assumptions!$B$5),$E$2:$E$1534,"&lt;="&amp;(E881+Assumptions!$B$5))&gt;1),1,0)</f>
        <v>0</v>
      </c>
      <c r="N881" s="13">
        <f>IF(AND(G881&gt;=Assumptions!$B$4*(1-Assumptions!$B$6),G881&lt;Assumptions!$B$4),1,0)</f>
        <v>0</v>
      </c>
      <c r="O881" s="13">
        <f>IF(AND(G881&gt;=Assumptions!$B$7,MOD(G881,Assumptions!$B$7)=0),1,0)</f>
        <v>0</v>
      </c>
      <c r="P881" s="13">
        <f t="shared" si="67"/>
        <v>0</v>
      </c>
      <c r="Q881" s="13">
        <f t="shared" si="68"/>
        <v>0</v>
      </c>
      <c r="R881" s="13">
        <f>L881*Assumptions!$B$11+M881*Assumptions!$B$12+N881*Assumptions!$B$13+O881*Assumptions!$B$14+P881*Assumptions!$B$15+Q881*Assumptions!$B$16</f>
        <v>0</v>
      </c>
      <c r="S881" s="13" t="str">
        <f>IF(R881&gt;=Assumptions!$B$20,"High",IF(R881&gt;=Assumptions!$B$21,"Medium",IF(R881&gt;=1,"Low","Clear")))</f>
        <v>Clear</v>
      </c>
      <c r="T881" s="13" t="str">
        <f t="shared" si="69"/>
        <v/>
      </c>
    </row>
    <row r="882" spans="1:20" x14ac:dyDescent="0.35">
      <c r="A882" s="13" t="s">
        <v>3591</v>
      </c>
      <c r="B882" s="13" t="s">
        <v>339</v>
      </c>
      <c r="C882" s="13" t="s">
        <v>340</v>
      </c>
      <c r="D882" s="13" t="s">
        <v>3592</v>
      </c>
      <c r="E882" s="14">
        <v>45963</v>
      </c>
      <c r="F882" s="14">
        <v>45992</v>
      </c>
      <c r="G882" s="15">
        <v>2594.08</v>
      </c>
      <c r="H882" s="13" t="s">
        <v>3593</v>
      </c>
      <c r="I882" s="13" t="s">
        <v>3594</v>
      </c>
      <c r="J882" s="13" t="s">
        <v>98</v>
      </c>
      <c r="K882" s="13">
        <f t="shared" si="65"/>
        <v>2</v>
      </c>
      <c r="L882" s="13">
        <f t="shared" si="66"/>
        <v>0</v>
      </c>
      <c r="M882" s="13">
        <f>IF(AND(L882=0,COUNTIFS($B$2:$B$1534,B882,$G$2:$G$1534,G882,$E$2:$E$1534,"&gt;="&amp;(E882-Assumptions!$B$5),$E$2:$E$1534,"&lt;="&amp;(E882+Assumptions!$B$5))&gt;1),1,0)</f>
        <v>0</v>
      </c>
      <c r="N882" s="13">
        <f>IF(AND(G882&gt;=Assumptions!$B$4*(1-Assumptions!$B$6),G882&lt;Assumptions!$B$4),1,0)</f>
        <v>0</v>
      </c>
      <c r="O882" s="13">
        <f>IF(AND(G882&gt;=Assumptions!$B$7,MOD(G882,Assumptions!$B$7)=0),1,0)</f>
        <v>0</v>
      </c>
      <c r="P882" s="13">
        <f t="shared" si="67"/>
        <v>0</v>
      </c>
      <c r="Q882" s="13">
        <f t="shared" si="68"/>
        <v>0</v>
      </c>
      <c r="R882" s="13">
        <f>L882*Assumptions!$B$11+M882*Assumptions!$B$12+N882*Assumptions!$B$13+O882*Assumptions!$B$14+P882*Assumptions!$B$15+Q882*Assumptions!$B$16</f>
        <v>0</v>
      </c>
      <c r="S882" s="13" t="str">
        <f>IF(R882&gt;=Assumptions!$B$20,"High",IF(R882&gt;=Assumptions!$B$21,"Medium",IF(R882&gt;=1,"Low","Clear")))</f>
        <v>Clear</v>
      </c>
      <c r="T882" s="13" t="str">
        <f t="shared" si="69"/>
        <v/>
      </c>
    </row>
    <row r="883" spans="1:20" x14ac:dyDescent="0.35">
      <c r="A883" s="13" t="s">
        <v>3595</v>
      </c>
      <c r="B883" s="13" t="s">
        <v>339</v>
      </c>
      <c r="C883" s="13" t="s">
        <v>340</v>
      </c>
      <c r="D883" s="13" t="s">
        <v>3596</v>
      </c>
      <c r="E883" s="14">
        <v>45954</v>
      </c>
      <c r="F883" s="14">
        <v>45992</v>
      </c>
      <c r="G883" s="15">
        <v>217007.21</v>
      </c>
      <c r="H883" s="13" t="s">
        <v>3597</v>
      </c>
      <c r="I883" s="13" t="s">
        <v>3598</v>
      </c>
      <c r="J883" s="13" t="s">
        <v>98</v>
      </c>
      <c r="K883" s="13">
        <f t="shared" si="65"/>
        <v>2</v>
      </c>
      <c r="L883" s="13">
        <f t="shared" si="66"/>
        <v>0</v>
      </c>
      <c r="M883" s="13">
        <f>IF(AND(L883=0,COUNTIFS($B$2:$B$1534,B883,$G$2:$G$1534,G883,$E$2:$E$1534,"&gt;="&amp;(E883-Assumptions!$B$5),$E$2:$E$1534,"&lt;="&amp;(E883+Assumptions!$B$5))&gt;1),1,0)</f>
        <v>0</v>
      </c>
      <c r="N883" s="13">
        <f>IF(AND(G883&gt;=Assumptions!$B$4*(1-Assumptions!$B$6),G883&lt;Assumptions!$B$4),1,0)</f>
        <v>0</v>
      </c>
      <c r="O883" s="13">
        <f>IF(AND(G883&gt;=Assumptions!$B$7,MOD(G883,Assumptions!$B$7)=0),1,0)</f>
        <v>0</v>
      </c>
      <c r="P883" s="13">
        <f t="shared" si="67"/>
        <v>0</v>
      </c>
      <c r="Q883" s="13">
        <f t="shared" si="68"/>
        <v>0</v>
      </c>
      <c r="R883" s="13">
        <f>L883*Assumptions!$B$11+M883*Assumptions!$B$12+N883*Assumptions!$B$13+O883*Assumptions!$B$14+P883*Assumptions!$B$15+Q883*Assumptions!$B$16</f>
        <v>0</v>
      </c>
      <c r="S883" s="13" t="str">
        <f>IF(R883&gt;=Assumptions!$B$20,"High",IF(R883&gt;=Assumptions!$B$21,"Medium",IF(R883&gt;=1,"Low","Clear")))</f>
        <v>Clear</v>
      </c>
      <c r="T883" s="13" t="str">
        <f t="shared" si="69"/>
        <v/>
      </c>
    </row>
    <row r="884" spans="1:20" x14ac:dyDescent="0.35">
      <c r="A884" s="13" t="s">
        <v>3599</v>
      </c>
      <c r="B884" s="13" t="s">
        <v>125</v>
      </c>
      <c r="C884" s="13" t="s">
        <v>126</v>
      </c>
      <c r="D884" s="13" t="s">
        <v>3600</v>
      </c>
      <c r="E884" s="14">
        <v>45966</v>
      </c>
      <c r="F884" s="14">
        <v>45992</v>
      </c>
      <c r="G884" s="15">
        <v>117299.03</v>
      </c>
      <c r="H884" s="13" t="s">
        <v>3601</v>
      </c>
      <c r="I884" s="13" t="s">
        <v>3602</v>
      </c>
      <c r="J884" s="13" t="s">
        <v>111</v>
      </c>
      <c r="K884" s="13">
        <f t="shared" si="65"/>
        <v>1</v>
      </c>
      <c r="L884" s="13">
        <f t="shared" si="66"/>
        <v>0</v>
      </c>
      <c r="M884" s="13">
        <f>IF(AND(L884=0,COUNTIFS($B$2:$B$1534,B884,$G$2:$G$1534,G884,$E$2:$E$1534,"&gt;="&amp;(E884-Assumptions!$B$5),$E$2:$E$1534,"&lt;="&amp;(E884+Assumptions!$B$5))&gt;1),1,0)</f>
        <v>0</v>
      </c>
      <c r="N884" s="13">
        <f>IF(AND(G884&gt;=Assumptions!$B$4*(1-Assumptions!$B$6),G884&lt;Assumptions!$B$4),1,0)</f>
        <v>0</v>
      </c>
      <c r="O884" s="13">
        <f>IF(AND(G884&gt;=Assumptions!$B$7,MOD(G884,Assumptions!$B$7)=0),1,0)</f>
        <v>0</v>
      </c>
      <c r="P884" s="13">
        <f t="shared" si="67"/>
        <v>0</v>
      </c>
      <c r="Q884" s="13">
        <f t="shared" si="68"/>
        <v>0</v>
      </c>
      <c r="R884" s="13">
        <f>L884*Assumptions!$B$11+M884*Assumptions!$B$12+N884*Assumptions!$B$13+O884*Assumptions!$B$14+P884*Assumptions!$B$15+Q884*Assumptions!$B$16</f>
        <v>0</v>
      </c>
      <c r="S884" s="13" t="str">
        <f>IF(R884&gt;=Assumptions!$B$20,"High",IF(R884&gt;=Assumptions!$B$21,"Medium",IF(R884&gt;=1,"Low","Clear")))</f>
        <v>Clear</v>
      </c>
      <c r="T884" s="13" t="str">
        <f t="shared" si="69"/>
        <v/>
      </c>
    </row>
    <row r="885" spans="1:20" x14ac:dyDescent="0.35">
      <c r="A885" s="13" t="s">
        <v>3603</v>
      </c>
      <c r="B885" s="13" t="s">
        <v>409</v>
      </c>
      <c r="C885" s="13" t="s">
        <v>410</v>
      </c>
      <c r="D885" s="13" t="s">
        <v>3604</v>
      </c>
      <c r="E885" s="14">
        <v>45970</v>
      </c>
      <c r="F885" s="14">
        <v>45993</v>
      </c>
      <c r="G885" s="15">
        <v>22914.77</v>
      </c>
      <c r="H885" s="13" t="s">
        <v>3605</v>
      </c>
      <c r="I885" s="13" t="s">
        <v>3606</v>
      </c>
      <c r="J885" s="13" t="s">
        <v>170</v>
      </c>
      <c r="K885" s="13">
        <f t="shared" si="65"/>
        <v>2</v>
      </c>
      <c r="L885" s="13">
        <f t="shared" si="66"/>
        <v>0</v>
      </c>
      <c r="M885" s="13">
        <f>IF(AND(L885=0,COUNTIFS($B$2:$B$1534,B885,$G$2:$G$1534,G885,$E$2:$E$1534,"&gt;="&amp;(E885-Assumptions!$B$5),$E$2:$E$1534,"&lt;="&amp;(E885+Assumptions!$B$5))&gt;1),1,0)</f>
        <v>0</v>
      </c>
      <c r="N885" s="13">
        <f>IF(AND(G885&gt;=Assumptions!$B$4*(1-Assumptions!$B$6),G885&lt;Assumptions!$B$4),1,0)</f>
        <v>0</v>
      </c>
      <c r="O885" s="13">
        <f>IF(AND(G885&gt;=Assumptions!$B$7,MOD(G885,Assumptions!$B$7)=0),1,0)</f>
        <v>0</v>
      </c>
      <c r="P885" s="13">
        <f t="shared" si="67"/>
        <v>0</v>
      </c>
      <c r="Q885" s="13">
        <f t="shared" si="68"/>
        <v>0</v>
      </c>
      <c r="R885" s="13">
        <f>L885*Assumptions!$B$11+M885*Assumptions!$B$12+N885*Assumptions!$B$13+O885*Assumptions!$B$14+P885*Assumptions!$B$15+Q885*Assumptions!$B$16</f>
        <v>0</v>
      </c>
      <c r="S885" s="13" t="str">
        <f>IF(R885&gt;=Assumptions!$B$20,"High",IF(R885&gt;=Assumptions!$B$21,"Medium",IF(R885&gt;=1,"Low","Clear")))</f>
        <v>Clear</v>
      </c>
      <c r="T885" s="13" t="str">
        <f t="shared" si="69"/>
        <v/>
      </c>
    </row>
    <row r="886" spans="1:20" x14ac:dyDescent="0.35">
      <c r="A886" s="13" t="s">
        <v>3607</v>
      </c>
      <c r="B886" s="13" t="s">
        <v>113</v>
      </c>
      <c r="C886" s="13" t="s">
        <v>114</v>
      </c>
      <c r="D886" s="13" t="s">
        <v>3608</v>
      </c>
      <c r="E886" s="14">
        <v>45963</v>
      </c>
      <c r="F886" s="14">
        <v>45993</v>
      </c>
      <c r="G886" s="15">
        <v>13033.09</v>
      </c>
      <c r="H886" s="13" t="s">
        <v>3609</v>
      </c>
      <c r="I886" s="13" t="s">
        <v>3610</v>
      </c>
      <c r="J886" s="13" t="s">
        <v>98</v>
      </c>
      <c r="K886" s="13">
        <f t="shared" si="65"/>
        <v>1</v>
      </c>
      <c r="L886" s="13">
        <f t="shared" si="66"/>
        <v>0</v>
      </c>
      <c r="M886" s="13">
        <f>IF(AND(L886=0,COUNTIFS($B$2:$B$1534,B886,$G$2:$G$1534,G886,$E$2:$E$1534,"&gt;="&amp;(E886-Assumptions!$B$5),$E$2:$E$1534,"&lt;="&amp;(E886+Assumptions!$B$5))&gt;1),1,0)</f>
        <v>0</v>
      </c>
      <c r="N886" s="13">
        <f>IF(AND(G886&gt;=Assumptions!$B$4*(1-Assumptions!$B$6),G886&lt;Assumptions!$B$4),1,0)</f>
        <v>0</v>
      </c>
      <c r="O886" s="13">
        <f>IF(AND(G886&gt;=Assumptions!$B$7,MOD(G886,Assumptions!$B$7)=0),1,0)</f>
        <v>0</v>
      </c>
      <c r="P886" s="13">
        <f t="shared" si="67"/>
        <v>0</v>
      </c>
      <c r="Q886" s="13">
        <f t="shared" si="68"/>
        <v>0</v>
      </c>
      <c r="R886" s="13">
        <f>L886*Assumptions!$B$11+M886*Assumptions!$B$12+N886*Assumptions!$B$13+O886*Assumptions!$B$14+P886*Assumptions!$B$15+Q886*Assumptions!$B$16</f>
        <v>0</v>
      </c>
      <c r="S886" s="13" t="str">
        <f>IF(R886&gt;=Assumptions!$B$20,"High",IF(R886&gt;=Assumptions!$B$21,"Medium",IF(R886&gt;=1,"Low","Clear")))</f>
        <v>Clear</v>
      </c>
      <c r="T886" s="13" t="str">
        <f t="shared" si="69"/>
        <v/>
      </c>
    </row>
    <row r="887" spans="1:20" x14ac:dyDescent="0.35">
      <c r="A887" s="13" t="s">
        <v>3611</v>
      </c>
      <c r="B887" s="13" t="s">
        <v>161</v>
      </c>
      <c r="C887" s="13" t="s">
        <v>162</v>
      </c>
      <c r="D887" s="13" t="s">
        <v>3612</v>
      </c>
      <c r="E887" s="14">
        <v>45971</v>
      </c>
      <c r="F887" s="14">
        <v>45993</v>
      </c>
      <c r="G887" s="15">
        <v>526772.55000000005</v>
      </c>
      <c r="H887" s="13" t="s">
        <v>3613</v>
      </c>
      <c r="I887" s="13" t="s">
        <v>3614</v>
      </c>
      <c r="J887" s="13" t="s">
        <v>143</v>
      </c>
      <c r="K887" s="13">
        <f t="shared" si="65"/>
        <v>5</v>
      </c>
      <c r="L887" s="13">
        <f t="shared" si="66"/>
        <v>0</v>
      </c>
      <c r="M887" s="13">
        <f>IF(AND(L887=0,COUNTIFS($B$2:$B$1534,B887,$G$2:$G$1534,G887,$E$2:$E$1534,"&gt;="&amp;(E887-Assumptions!$B$5),$E$2:$E$1534,"&lt;="&amp;(E887+Assumptions!$B$5))&gt;1),1,0)</f>
        <v>0</v>
      </c>
      <c r="N887" s="13">
        <f>IF(AND(G887&gt;=Assumptions!$B$4*(1-Assumptions!$B$6),G887&lt;Assumptions!$B$4),1,0)</f>
        <v>0</v>
      </c>
      <c r="O887" s="13">
        <f>IF(AND(G887&gt;=Assumptions!$B$7,MOD(G887,Assumptions!$B$7)=0),1,0)</f>
        <v>0</v>
      </c>
      <c r="P887" s="13">
        <f t="shared" si="67"/>
        <v>0</v>
      </c>
      <c r="Q887" s="13">
        <f t="shared" si="68"/>
        <v>0</v>
      </c>
      <c r="R887" s="13">
        <f>L887*Assumptions!$B$11+M887*Assumptions!$B$12+N887*Assumptions!$B$13+O887*Assumptions!$B$14+P887*Assumptions!$B$15+Q887*Assumptions!$B$16</f>
        <v>0</v>
      </c>
      <c r="S887" s="13" t="str">
        <f>IF(R887&gt;=Assumptions!$B$20,"High",IF(R887&gt;=Assumptions!$B$21,"Medium",IF(R887&gt;=1,"Low","Clear")))</f>
        <v>Clear</v>
      </c>
      <c r="T887" s="13" t="str">
        <f t="shared" si="69"/>
        <v/>
      </c>
    </row>
    <row r="888" spans="1:20" x14ac:dyDescent="0.35">
      <c r="A888" s="13" t="s">
        <v>3615</v>
      </c>
      <c r="B888" s="13" t="s">
        <v>556</v>
      </c>
      <c r="C888" s="13" t="s">
        <v>557</v>
      </c>
      <c r="D888" s="13" t="s">
        <v>3616</v>
      </c>
      <c r="E888" s="14">
        <v>45953</v>
      </c>
      <c r="F888" s="14">
        <v>45993</v>
      </c>
      <c r="G888" s="15">
        <v>580170.54</v>
      </c>
      <c r="H888" s="13" t="s">
        <v>3617</v>
      </c>
      <c r="I888" s="13" t="s">
        <v>3618</v>
      </c>
      <c r="J888" s="13" t="s">
        <v>111</v>
      </c>
      <c r="K888" s="13">
        <f t="shared" si="65"/>
        <v>5</v>
      </c>
      <c r="L888" s="13">
        <f t="shared" si="66"/>
        <v>0</v>
      </c>
      <c r="M888" s="13">
        <f>IF(AND(L888=0,COUNTIFS($B$2:$B$1534,B888,$G$2:$G$1534,G888,$E$2:$E$1534,"&gt;="&amp;(E888-Assumptions!$B$5),$E$2:$E$1534,"&lt;="&amp;(E888+Assumptions!$B$5))&gt;1),1,0)</f>
        <v>0</v>
      </c>
      <c r="N888" s="13">
        <f>IF(AND(G888&gt;=Assumptions!$B$4*(1-Assumptions!$B$6),G888&lt;Assumptions!$B$4),1,0)</f>
        <v>0</v>
      </c>
      <c r="O888" s="13">
        <f>IF(AND(G888&gt;=Assumptions!$B$7,MOD(G888,Assumptions!$B$7)=0),1,0)</f>
        <v>0</v>
      </c>
      <c r="P888" s="13">
        <f t="shared" si="67"/>
        <v>0</v>
      </c>
      <c r="Q888" s="13">
        <f t="shared" si="68"/>
        <v>0</v>
      </c>
      <c r="R888" s="13">
        <f>L888*Assumptions!$B$11+M888*Assumptions!$B$12+N888*Assumptions!$B$13+O888*Assumptions!$B$14+P888*Assumptions!$B$15+Q888*Assumptions!$B$16</f>
        <v>0</v>
      </c>
      <c r="S888" s="13" t="str">
        <f>IF(R888&gt;=Assumptions!$B$20,"High",IF(R888&gt;=Assumptions!$B$21,"Medium",IF(R888&gt;=1,"Low","Clear")))</f>
        <v>Clear</v>
      </c>
      <c r="T888" s="13" t="str">
        <f t="shared" si="69"/>
        <v/>
      </c>
    </row>
    <row r="889" spans="1:20" x14ac:dyDescent="0.35">
      <c r="A889" s="13" t="s">
        <v>3619</v>
      </c>
      <c r="B889" s="13" t="s">
        <v>409</v>
      </c>
      <c r="C889" s="13" t="s">
        <v>410</v>
      </c>
      <c r="D889" s="13" t="s">
        <v>3620</v>
      </c>
      <c r="E889" s="14">
        <v>45958</v>
      </c>
      <c r="F889" s="14">
        <v>45994</v>
      </c>
      <c r="G889" s="15">
        <v>29352.17</v>
      </c>
      <c r="H889" s="13" t="s">
        <v>3621</v>
      </c>
      <c r="I889" s="13" t="s">
        <v>3622</v>
      </c>
      <c r="J889" s="13" t="s">
        <v>98</v>
      </c>
      <c r="K889" s="13">
        <f t="shared" si="65"/>
        <v>2</v>
      </c>
      <c r="L889" s="13">
        <f t="shared" si="66"/>
        <v>0</v>
      </c>
      <c r="M889" s="13">
        <f>IF(AND(L889=0,COUNTIFS($B$2:$B$1534,B889,$G$2:$G$1534,G889,$E$2:$E$1534,"&gt;="&amp;(E889-Assumptions!$B$5),$E$2:$E$1534,"&lt;="&amp;(E889+Assumptions!$B$5))&gt;1),1,0)</f>
        <v>0</v>
      </c>
      <c r="N889" s="13">
        <f>IF(AND(G889&gt;=Assumptions!$B$4*(1-Assumptions!$B$6),G889&lt;Assumptions!$B$4),1,0)</f>
        <v>0</v>
      </c>
      <c r="O889" s="13">
        <f>IF(AND(G889&gt;=Assumptions!$B$7,MOD(G889,Assumptions!$B$7)=0),1,0)</f>
        <v>0</v>
      </c>
      <c r="P889" s="13">
        <f t="shared" si="67"/>
        <v>0</v>
      </c>
      <c r="Q889" s="13">
        <f t="shared" si="68"/>
        <v>0</v>
      </c>
      <c r="R889" s="13">
        <f>L889*Assumptions!$B$11+M889*Assumptions!$B$12+N889*Assumptions!$B$13+O889*Assumptions!$B$14+P889*Assumptions!$B$15+Q889*Assumptions!$B$16</f>
        <v>0</v>
      </c>
      <c r="S889" s="13" t="str">
        <f>IF(R889&gt;=Assumptions!$B$20,"High",IF(R889&gt;=Assumptions!$B$21,"Medium",IF(R889&gt;=1,"Low","Clear")))</f>
        <v>Clear</v>
      </c>
      <c r="T889" s="13" t="str">
        <f t="shared" si="69"/>
        <v/>
      </c>
    </row>
    <row r="890" spans="1:20" x14ac:dyDescent="0.35">
      <c r="A890" s="13" t="s">
        <v>3623</v>
      </c>
      <c r="B890" s="13" t="s">
        <v>234</v>
      </c>
      <c r="C890" s="13" t="s">
        <v>235</v>
      </c>
      <c r="D890" s="13" t="s">
        <v>3624</v>
      </c>
      <c r="E890" s="14">
        <v>45962</v>
      </c>
      <c r="F890" s="14">
        <v>45994</v>
      </c>
      <c r="G890" s="15">
        <v>14615.87</v>
      </c>
      <c r="H890" s="13" t="s">
        <v>3625</v>
      </c>
      <c r="I890" s="13" t="s">
        <v>3626</v>
      </c>
      <c r="J890" s="13" t="s">
        <v>136</v>
      </c>
      <c r="K890" s="13">
        <f t="shared" si="65"/>
        <v>1</v>
      </c>
      <c r="L890" s="13">
        <f t="shared" si="66"/>
        <v>0</v>
      </c>
      <c r="M890" s="13">
        <f>IF(AND(L890=0,COUNTIFS($B$2:$B$1534,B890,$G$2:$G$1534,G890,$E$2:$E$1534,"&gt;="&amp;(E890-Assumptions!$B$5),$E$2:$E$1534,"&lt;="&amp;(E890+Assumptions!$B$5))&gt;1),1,0)</f>
        <v>0</v>
      </c>
      <c r="N890" s="13">
        <f>IF(AND(G890&gt;=Assumptions!$B$4*(1-Assumptions!$B$6),G890&lt;Assumptions!$B$4),1,0)</f>
        <v>0</v>
      </c>
      <c r="O890" s="13">
        <f>IF(AND(G890&gt;=Assumptions!$B$7,MOD(G890,Assumptions!$B$7)=0),1,0)</f>
        <v>0</v>
      </c>
      <c r="P890" s="13">
        <f t="shared" si="67"/>
        <v>0</v>
      </c>
      <c r="Q890" s="13">
        <f t="shared" si="68"/>
        <v>0</v>
      </c>
      <c r="R890" s="13">
        <f>L890*Assumptions!$B$11+M890*Assumptions!$B$12+N890*Assumptions!$B$13+O890*Assumptions!$B$14+P890*Assumptions!$B$15+Q890*Assumptions!$B$16</f>
        <v>0</v>
      </c>
      <c r="S890" s="13" t="str">
        <f>IF(R890&gt;=Assumptions!$B$20,"High",IF(R890&gt;=Assumptions!$B$21,"Medium",IF(R890&gt;=1,"Low","Clear")))</f>
        <v>Clear</v>
      </c>
      <c r="T890" s="13" t="str">
        <f t="shared" si="69"/>
        <v/>
      </c>
    </row>
    <row r="891" spans="1:20" x14ac:dyDescent="0.35">
      <c r="A891" s="13" t="s">
        <v>3627</v>
      </c>
      <c r="B891" s="13" t="s">
        <v>161</v>
      </c>
      <c r="C891" s="13" t="s">
        <v>162</v>
      </c>
      <c r="D891" s="13" t="s">
        <v>3628</v>
      </c>
      <c r="E891" s="14">
        <v>45971</v>
      </c>
      <c r="F891" s="14">
        <v>45994</v>
      </c>
      <c r="G891" s="15">
        <v>967398.1</v>
      </c>
      <c r="H891" s="13" t="s">
        <v>3629</v>
      </c>
      <c r="I891" s="13" t="s">
        <v>3630</v>
      </c>
      <c r="J891" s="13" t="s">
        <v>98</v>
      </c>
      <c r="K891" s="13">
        <f t="shared" si="65"/>
        <v>9</v>
      </c>
      <c r="L891" s="13">
        <f t="shared" si="66"/>
        <v>0</v>
      </c>
      <c r="M891" s="13">
        <f>IF(AND(L891=0,COUNTIFS($B$2:$B$1534,B891,$G$2:$G$1534,G891,$E$2:$E$1534,"&gt;="&amp;(E891-Assumptions!$B$5),$E$2:$E$1534,"&lt;="&amp;(E891+Assumptions!$B$5))&gt;1),1,0)</f>
        <v>0</v>
      </c>
      <c r="N891" s="13">
        <f>IF(AND(G891&gt;=Assumptions!$B$4*(1-Assumptions!$B$6),G891&lt;Assumptions!$B$4),1,0)</f>
        <v>0</v>
      </c>
      <c r="O891" s="13">
        <f>IF(AND(G891&gt;=Assumptions!$B$7,MOD(G891,Assumptions!$B$7)=0),1,0)</f>
        <v>0</v>
      </c>
      <c r="P891" s="13">
        <f t="shared" si="67"/>
        <v>0</v>
      </c>
      <c r="Q891" s="13">
        <f t="shared" si="68"/>
        <v>0</v>
      </c>
      <c r="R891" s="13">
        <f>L891*Assumptions!$B$11+M891*Assumptions!$B$12+N891*Assumptions!$B$13+O891*Assumptions!$B$14+P891*Assumptions!$B$15+Q891*Assumptions!$B$16</f>
        <v>0</v>
      </c>
      <c r="S891" s="13" t="str">
        <f>IF(R891&gt;=Assumptions!$B$20,"High",IF(R891&gt;=Assumptions!$B$21,"Medium",IF(R891&gt;=1,"Low","Clear")))</f>
        <v>Clear</v>
      </c>
      <c r="T891" s="13" t="str">
        <f t="shared" si="69"/>
        <v/>
      </c>
    </row>
    <row r="892" spans="1:20" x14ac:dyDescent="0.35">
      <c r="A892" s="13" t="s">
        <v>3631</v>
      </c>
      <c r="B892" s="13" t="s">
        <v>100</v>
      </c>
      <c r="C892" s="13" t="s">
        <v>101</v>
      </c>
      <c r="D892" s="13" t="s">
        <v>3632</v>
      </c>
      <c r="E892" s="14">
        <v>45972</v>
      </c>
      <c r="F892" s="14">
        <v>45994</v>
      </c>
      <c r="G892" s="15">
        <v>62245.79</v>
      </c>
      <c r="H892" s="13" t="s">
        <v>3633</v>
      </c>
      <c r="I892" s="13" t="s">
        <v>3634</v>
      </c>
      <c r="J892" s="13" t="s">
        <v>91</v>
      </c>
      <c r="K892" s="13">
        <f t="shared" si="65"/>
        <v>6</v>
      </c>
      <c r="L892" s="13">
        <f t="shared" si="66"/>
        <v>0</v>
      </c>
      <c r="M892" s="13">
        <f>IF(AND(L892=0,COUNTIFS($B$2:$B$1534,B892,$G$2:$G$1534,G892,$E$2:$E$1534,"&gt;="&amp;(E892-Assumptions!$B$5),$E$2:$E$1534,"&lt;="&amp;(E892+Assumptions!$B$5))&gt;1),1,0)</f>
        <v>0</v>
      </c>
      <c r="N892" s="13">
        <f>IF(AND(G892&gt;=Assumptions!$B$4*(1-Assumptions!$B$6),G892&lt;Assumptions!$B$4),1,0)</f>
        <v>0</v>
      </c>
      <c r="O892" s="13">
        <f>IF(AND(G892&gt;=Assumptions!$B$7,MOD(G892,Assumptions!$B$7)=0),1,0)</f>
        <v>0</v>
      </c>
      <c r="P892" s="13">
        <f t="shared" si="67"/>
        <v>0</v>
      </c>
      <c r="Q892" s="13">
        <f t="shared" si="68"/>
        <v>0</v>
      </c>
      <c r="R892" s="13">
        <f>L892*Assumptions!$B$11+M892*Assumptions!$B$12+N892*Assumptions!$B$13+O892*Assumptions!$B$14+P892*Assumptions!$B$15+Q892*Assumptions!$B$16</f>
        <v>0</v>
      </c>
      <c r="S892" s="13" t="str">
        <f>IF(R892&gt;=Assumptions!$B$20,"High",IF(R892&gt;=Assumptions!$B$21,"Medium",IF(R892&gt;=1,"Low","Clear")))</f>
        <v>Clear</v>
      </c>
      <c r="T892" s="13" t="str">
        <f t="shared" si="69"/>
        <v/>
      </c>
    </row>
    <row r="893" spans="1:20" x14ac:dyDescent="0.35">
      <c r="A893" s="13" t="s">
        <v>3635</v>
      </c>
      <c r="B893" s="13" t="s">
        <v>409</v>
      </c>
      <c r="C893" s="13" t="s">
        <v>410</v>
      </c>
      <c r="D893" s="13" t="s">
        <v>3636</v>
      </c>
      <c r="E893" s="14">
        <v>45964</v>
      </c>
      <c r="F893" s="14">
        <v>45995</v>
      </c>
      <c r="G893" s="15">
        <v>69438.98</v>
      </c>
      <c r="H893" s="13" t="s">
        <v>3637</v>
      </c>
      <c r="I893" s="13" t="s">
        <v>3638</v>
      </c>
      <c r="J893" s="13" t="s">
        <v>98</v>
      </c>
      <c r="K893" s="13">
        <f t="shared" si="65"/>
        <v>6</v>
      </c>
      <c r="L893" s="13">
        <f t="shared" si="66"/>
        <v>0</v>
      </c>
      <c r="M893" s="13">
        <f>IF(AND(L893=0,COUNTIFS($B$2:$B$1534,B893,$G$2:$G$1534,G893,$E$2:$E$1534,"&gt;="&amp;(E893-Assumptions!$B$5),$E$2:$E$1534,"&lt;="&amp;(E893+Assumptions!$B$5))&gt;1),1,0)</f>
        <v>0</v>
      </c>
      <c r="N893" s="13">
        <f>IF(AND(G893&gt;=Assumptions!$B$4*(1-Assumptions!$B$6),G893&lt;Assumptions!$B$4),1,0)</f>
        <v>0</v>
      </c>
      <c r="O893" s="13">
        <f>IF(AND(G893&gt;=Assumptions!$B$7,MOD(G893,Assumptions!$B$7)=0),1,0)</f>
        <v>0</v>
      </c>
      <c r="P893" s="13">
        <f t="shared" si="67"/>
        <v>0</v>
      </c>
      <c r="Q893" s="13">
        <f t="shared" si="68"/>
        <v>0</v>
      </c>
      <c r="R893" s="13">
        <f>L893*Assumptions!$B$11+M893*Assumptions!$B$12+N893*Assumptions!$B$13+O893*Assumptions!$B$14+P893*Assumptions!$B$15+Q893*Assumptions!$B$16</f>
        <v>0</v>
      </c>
      <c r="S893" s="13" t="str">
        <f>IF(R893&gt;=Assumptions!$B$20,"High",IF(R893&gt;=Assumptions!$B$21,"Medium",IF(R893&gt;=1,"Low","Clear")))</f>
        <v>Clear</v>
      </c>
      <c r="T893" s="13" t="str">
        <f t="shared" si="69"/>
        <v/>
      </c>
    </row>
    <row r="894" spans="1:20" x14ac:dyDescent="0.35">
      <c r="A894" s="13" t="s">
        <v>3639</v>
      </c>
      <c r="B894" s="13" t="s">
        <v>670</v>
      </c>
      <c r="C894" s="13" t="s">
        <v>671</v>
      </c>
      <c r="D894" s="13" t="s">
        <v>3640</v>
      </c>
      <c r="E894" s="14">
        <v>45961</v>
      </c>
      <c r="F894" s="14">
        <v>45995</v>
      </c>
      <c r="G894" s="15">
        <v>13828.06</v>
      </c>
      <c r="H894" s="13" t="s">
        <v>3641</v>
      </c>
      <c r="I894" s="13" t="s">
        <v>3642</v>
      </c>
      <c r="J894" s="13" t="s">
        <v>98</v>
      </c>
      <c r="K894" s="13">
        <f t="shared" si="65"/>
        <v>1</v>
      </c>
      <c r="L894" s="13">
        <f t="shared" si="66"/>
        <v>0</v>
      </c>
      <c r="M894" s="13">
        <f>IF(AND(L894=0,COUNTIFS($B$2:$B$1534,B894,$G$2:$G$1534,G894,$E$2:$E$1534,"&gt;="&amp;(E894-Assumptions!$B$5),$E$2:$E$1534,"&lt;="&amp;(E894+Assumptions!$B$5))&gt;1),1,0)</f>
        <v>0</v>
      </c>
      <c r="N894" s="13">
        <f>IF(AND(G894&gt;=Assumptions!$B$4*(1-Assumptions!$B$6),G894&lt;Assumptions!$B$4),1,0)</f>
        <v>0</v>
      </c>
      <c r="O894" s="13">
        <f>IF(AND(G894&gt;=Assumptions!$B$7,MOD(G894,Assumptions!$B$7)=0),1,0)</f>
        <v>0</v>
      </c>
      <c r="P894" s="13">
        <f t="shared" si="67"/>
        <v>0</v>
      </c>
      <c r="Q894" s="13">
        <f t="shared" si="68"/>
        <v>0</v>
      </c>
      <c r="R894" s="13">
        <f>L894*Assumptions!$B$11+M894*Assumptions!$B$12+N894*Assumptions!$B$13+O894*Assumptions!$B$14+P894*Assumptions!$B$15+Q894*Assumptions!$B$16</f>
        <v>0</v>
      </c>
      <c r="S894" s="13" t="str">
        <f>IF(R894&gt;=Assumptions!$B$20,"High",IF(R894&gt;=Assumptions!$B$21,"Medium",IF(R894&gt;=1,"Low","Clear")))</f>
        <v>Clear</v>
      </c>
      <c r="T894" s="13" t="str">
        <f t="shared" si="69"/>
        <v/>
      </c>
    </row>
    <row r="895" spans="1:20" x14ac:dyDescent="0.35">
      <c r="A895" s="13" t="s">
        <v>3643</v>
      </c>
      <c r="B895" s="13" t="s">
        <v>670</v>
      </c>
      <c r="C895" s="13" t="s">
        <v>671</v>
      </c>
      <c r="D895" s="13" t="s">
        <v>3644</v>
      </c>
      <c r="E895" s="14">
        <v>45961</v>
      </c>
      <c r="F895" s="14">
        <v>45995</v>
      </c>
      <c r="G895" s="15">
        <v>559878.1</v>
      </c>
      <c r="H895" s="13" t="s">
        <v>3645</v>
      </c>
      <c r="I895" s="13" t="s">
        <v>3646</v>
      </c>
      <c r="J895" s="13" t="s">
        <v>111</v>
      </c>
      <c r="K895" s="13">
        <f t="shared" si="65"/>
        <v>5</v>
      </c>
      <c r="L895" s="13">
        <f t="shared" si="66"/>
        <v>0</v>
      </c>
      <c r="M895" s="13">
        <f>IF(AND(L895=0,COUNTIFS($B$2:$B$1534,B895,$G$2:$G$1534,G895,$E$2:$E$1534,"&gt;="&amp;(E895-Assumptions!$B$5),$E$2:$E$1534,"&lt;="&amp;(E895+Assumptions!$B$5))&gt;1),1,0)</f>
        <v>0</v>
      </c>
      <c r="N895" s="13">
        <f>IF(AND(G895&gt;=Assumptions!$B$4*(1-Assumptions!$B$6),G895&lt;Assumptions!$B$4),1,0)</f>
        <v>0</v>
      </c>
      <c r="O895" s="13">
        <f>IF(AND(G895&gt;=Assumptions!$B$7,MOD(G895,Assumptions!$B$7)=0),1,0)</f>
        <v>0</v>
      </c>
      <c r="P895" s="13">
        <f t="shared" si="67"/>
        <v>0</v>
      </c>
      <c r="Q895" s="13">
        <f t="shared" si="68"/>
        <v>0</v>
      </c>
      <c r="R895" s="13">
        <f>L895*Assumptions!$B$11+M895*Assumptions!$B$12+N895*Assumptions!$B$13+O895*Assumptions!$B$14+P895*Assumptions!$B$15+Q895*Assumptions!$B$16</f>
        <v>0</v>
      </c>
      <c r="S895" s="13" t="str">
        <f>IF(R895&gt;=Assumptions!$B$20,"High",IF(R895&gt;=Assumptions!$B$21,"Medium",IF(R895&gt;=1,"Low","Clear")))</f>
        <v>Clear</v>
      </c>
      <c r="T895" s="13" t="str">
        <f t="shared" si="69"/>
        <v/>
      </c>
    </row>
    <row r="896" spans="1:20" x14ac:dyDescent="0.35">
      <c r="A896" s="13" t="s">
        <v>3647</v>
      </c>
      <c r="B896" s="13" t="s">
        <v>93</v>
      </c>
      <c r="C896" s="13" t="s">
        <v>94</v>
      </c>
      <c r="D896" s="13" t="s">
        <v>3648</v>
      </c>
      <c r="E896" s="14">
        <v>45958</v>
      </c>
      <c r="F896" s="14">
        <v>45995</v>
      </c>
      <c r="G896" s="15">
        <v>140000</v>
      </c>
      <c r="H896" s="13" t="s">
        <v>3649</v>
      </c>
      <c r="I896" s="13" t="s">
        <v>3650</v>
      </c>
      <c r="J896" s="13" t="s">
        <v>136</v>
      </c>
      <c r="K896" s="13">
        <f t="shared" si="65"/>
        <v>1</v>
      </c>
      <c r="L896" s="13">
        <f t="shared" si="66"/>
        <v>0</v>
      </c>
      <c r="M896" s="13">
        <f>IF(AND(L896=0,COUNTIFS($B$2:$B$1534,B896,$G$2:$G$1534,G896,$E$2:$E$1534,"&gt;="&amp;(E896-Assumptions!$B$5),$E$2:$E$1534,"&lt;="&amp;(E896+Assumptions!$B$5))&gt;1),1,0)</f>
        <v>0</v>
      </c>
      <c r="N896" s="13">
        <f>IF(AND(G896&gt;=Assumptions!$B$4*(1-Assumptions!$B$6),G896&lt;Assumptions!$B$4),1,0)</f>
        <v>0</v>
      </c>
      <c r="O896" s="13">
        <f>IF(AND(G896&gt;=Assumptions!$B$7,MOD(G896,Assumptions!$B$7)=0),1,0)</f>
        <v>1</v>
      </c>
      <c r="P896" s="13">
        <f t="shared" si="67"/>
        <v>0</v>
      </c>
      <c r="Q896" s="13">
        <f t="shared" si="68"/>
        <v>0</v>
      </c>
      <c r="R896" s="13">
        <f>L896*Assumptions!$B$11+M896*Assumptions!$B$12+N896*Assumptions!$B$13+O896*Assumptions!$B$14+P896*Assumptions!$B$15+Q896*Assumptions!$B$16</f>
        <v>1</v>
      </c>
      <c r="S896" s="13" t="str">
        <f>IF(R896&gt;=Assumptions!$B$20,"High",IF(R896&gt;=Assumptions!$B$21,"Medium",IF(R896&gt;=1,"Low","Clear")))</f>
        <v>Low</v>
      </c>
      <c r="T896" s="13" t="str">
        <f t="shared" si="69"/>
        <v xml:space="preserve">Round amount; </v>
      </c>
    </row>
    <row r="897" spans="1:20" x14ac:dyDescent="0.35">
      <c r="A897" s="13" t="s">
        <v>3651</v>
      </c>
      <c r="B897" s="13" t="s">
        <v>307</v>
      </c>
      <c r="C897" s="13" t="s">
        <v>308</v>
      </c>
      <c r="D897" s="13" t="s">
        <v>3652</v>
      </c>
      <c r="E897" s="14">
        <v>45957</v>
      </c>
      <c r="F897" s="14">
        <v>45995</v>
      </c>
      <c r="G897" s="15">
        <v>477018.66</v>
      </c>
      <c r="H897" s="13" t="s">
        <v>3653</v>
      </c>
      <c r="I897" s="13" t="s">
        <v>3654</v>
      </c>
      <c r="J897" s="13" t="s">
        <v>170</v>
      </c>
      <c r="K897" s="13">
        <f t="shared" si="65"/>
        <v>4</v>
      </c>
      <c r="L897" s="13">
        <f t="shared" si="66"/>
        <v>0</v>
      </c>
      <c r="M897" s="13">
        <f>IF(AND(L897=0,COUNTIFS($B$2:$B$1534,B897,$G$2:$G$1534,G897,$E$2:$E$1534,"&gt;="&amp;(E897-Assumptions!$B$5),$E$2:$E$1534,"&lt;="&amp;(E897+Assumptions!$B$5))&gt;1),1,0)</f>
        <v>0</v>
      </c>
      <c r="N897" s="13">
        <f>IF(AND(G897&gt;=Assumptions!$B$4*(1-Assumptions!$B$6),G897&lt;Assumptions!$B$4),1,0)</f>
        <v>0</v>
      </c>
      <c r="O897" s="13">
        <f>IF(AND(G897&gt;=Assumptions!$B$7,MOD(G897,Assumptions!$B$7)=0),1,0)</f>
        <v>0</v>
      </c>
      <c r="P897" s="13">
        <f t="shared" si="67"/>
        <v>0</v>
      </c>
      <c r="Q897" s="13">
        <f t="shared" si="68"/>
        <v>0</v>
      </c>
      <c r="R897" s="13">
        <f>L897*Assumptions!$B$11+M897*Assumptions!$B$12+N897*Assumptions!$B$13+O897*Assumptions!$B$14+P897*Assumptions!$B$15+Q897*Assumptions!$B$16</f>
        <v>0</v>
      </c>
      <c r="S897" s="13" t="str">
        <f>IF(R897&gt;=Assumptions!$B$20,"High",IF(R897&gt;=Assumptions!$B$21,"Medium",IF(R897&gt;=1,"Low","Clear")))</f>
        <v>Clear</v>
      </c>
      <c r="T897" s="13" t="str">
        <f t="shared" si="69"/>
        <v/>
      </c>
    </row>
    <row r="898" spans="1:20" x14ac:dyDescent="0.35">
      <c r="A898" s="13" t="s">
        <v>3655</v>
      </c>
      <c r="B898" s="13" t="s">
        <v>323</v>
      </c>
      <c r="C898" s="13" t="s">
        <v>324</v>
      </c>
      <c r="D898" s="13" t="s">
        <v>3656</v>
      </c>
      <c r="E898" s="14">
        <v>45957</v>
      </c>
      <c r="F898" s="14">
        <v>45995</v>
      </c>
      <c r="G898" s="15">
        <v>1664.38</v>
      </c>
      <c r="H898" s="13" t="s">
        <v>3657</v>
      </c>
      <c r="I898" s="13" t="s">
        <v>3658</v>
      </c>
      <c r="J898" s="13" t="s">
        <v>111</v>
      </c>
      <c r="K898" s="13">
        <f t="shared" ref="K898:K961" si="70">VALUE(LEFT(TEXT(G898,"0"),1))</f>
        <v>1</v>
      </c>
      <c r="L898" s="13">
        <f t="shared" ref="L898:L961" si="71">IF(COUNTIFS($B$2:$B$1534,B898,$D$2:$D$1534,D898)&gt;1,1,0)</f>
        <v>0</v>
      </c>
      <c r="M898" s="13">
        <f>IF(AND(L898=0,COUNTIFS($B$2:$B$1534,B898,$G$2:$G$1534,G898,$E$2:$E$1534,"&gt;="&amp;(E898-Assumptions!$B$5),$E$2:$E$1534,"&lt;="&amp;(E898+Assumptions!$B$5))&gt;1),1,0)</f>
        <v>0</v>
      </c>
      <c r="N898" s="13">
        <f>IF(AND(G898&gt;=Assumptions!$B$4*(1-Assumptions!$B$6),G898&lt;Assumptions!$B$4),1,0)</f>
        <v>0</v>
      </c>
      <c r="O898" s="13">
        <f>IF(AND(G898&gt;=Assumptions!$B$7,MOD(G898,Assumptions!$B$7)=0),1,0)</f>
        <v>0</v>
      </c>
      <c r="P898" s="13">
        <f t="shared" ref="P898:P961" si="72">IF(OR(H898="",I898=""),1,0)</f>
        <v>0</v>
      </c>
      <c r="Q898" s="13">
        <f t="shared" ref="Q898:Q961" si="73">IF(WEEKDAY(F898,2)&gt;5,1,0)</f>
        <v>0</v>
      </c>
      <c r="R898" s="13">
        <f>L898*Assumptions!$B$11+M898*Assumptions!$B$12+N898*Assumptions!$B$13+O898*Assumptions!$B$14+P898*Assumptions!$B$15+Q898*Assumptions!$B$16</f>
        <v>0</v>
      </c>
      <c r="S898" s="13" t="str">
        <f>IF(R898&gt;=Assumptions!$B$20,"High",IF(R898&gt;=Assumptions!$B$21,"Medium",IF(R898&gt;=1,"Low","Clear")))</f>
        <v>Clear</v>
      </c>
      <c r="T898" s="13" t="str">
        <f t="shared" ref="T898:T961" si="74">IF(R898=0,"",IF(L898=1,"Duplicate invoice; ","")&amp;IF(M898=1,"Near-duplicate; ","")&amp;IF(N898=1,"Just below limit; ","")&amp;IF(O898=1,"Round amount; ","")&amp;IF(P898=1,"No PO/GRN; ","")&amp;IF(Q898=1,"Weekend payment; ",""))</f>
        <v/>
      </c>
    </row>
    <row r="899" spans="1:20" x14ac:dyDescent="0.35">
      <c r="A899" s="13" t="s">
        <v>3659</v>
      </c>
      <c r="B899" s="13" t="s">
        <v>155</v>
      </c>
      <c r="C899" s="13" t="s">
        <v>156</v>
      </c>
      <c r="D899" s="13" t="s">
        <v>3660</v>
      </c>
      <c r="E899" s="14">
        <v>45960</v>
      </c>
      <c r="F899" s="14">
        <v>45995</v>
      </c>
      <c r="G899" s="15">
        <v>24735.83</v>
      </c>
      <c r="H899" s="13" t="s">
        <v>3661</v>
      </c>
      <c r="I899" s="13" t="s">
        <v>3662</v>
      </c>
      <c r="J899" s="13" t="s">
        <v>143</v>
      </c>
      <c r="K899" s="13">
        <f t="shared" si="70"/>
        <v>2</v>
      </c>
      <c r="L899" s="13">
        <f t="shared" si="71"/>
        <v>0</v>
      </c>
      <c r="M899" s="13">
        <f>IF(AND(L899=0,COUNTIFS($B$2:$B$1534,B899,$G$2:$G$1534,G899,$E$2:$E$1534,"&gt;="&amp;(E899-Assumptions!$B$5),$E$2:$E$1534,"&lt;="&amp;(E899+Assumptions!$B$5))&gt;1),1,0)</f>
        <v>0</v>
      </c>
      <c r="N899" s="13">
        <f>IF(AND(G899&gt;=Assumptions!$B$4*(1-Assumptions!$B$6),G899&lt;Assumptions!$B$4),1,0)</f>
        <v>0</v>
      </c>
      <c r="O899" s="13">
        <f>IF(AND(G899&gt;=Assumptions!$B$7,MOD(G899,Assumptions!$B$7)=0),1,0)</f>
        <v>0</v>
      </c>
      <c r="P899" s="13">
        <f t="shared" si="72"/>
        <v>0</v>
      </c>
      <c r="Q899" s="13">
        <f t="shared" si="73"/>
        <v>0</v>
      </c>
      <c r="R899" s="13">
        <f>L899*Assumptions!$B$11+M899*Assumptions!$B$12+N899*Assumptions!$B$13+O899*Assumptions!$B$14+P899*Assumptions!$B$15+Q899*Assumptions!$B$16</f>
        <v>0</v>
      </c>
      <c r="S899" s="13" t="str">
        <f>IF(R899&gt;=Assumptions!$B$20,"High",IF(R899&gt;=Assumptions!$B$21,"Medium",IF(R899&gt;=1,"Low","Clear")))</f>
        <v>Clear</v>
      </c>
      <c r="T899" s="13" t="str">
        <f t="shared" si="74"/>
        <v/>
      </c>
    </row>
    <row r="900" spans="1:20" x14ac:dyDescent="0.35">
      <c r="A900" s="13" t="s">
        <v>3663</v>
      </c>
      <c r="B900" s="13" t="s">
        <v>86</v>
      </c>
      <c r="C900" s="13" t="s">
        <v>87</v>
      </c>
      <c r="D900" s="13" t="s">
        <v>3664</v>
      </c>
      <c r="E900" s="14">
        <v>45956</v>
      </c>
      <c r="F900" s="14">
        <v>45996</v>
      </c>
      <c r="G900" s="15">
        <v>638405.02</v>
      </c>
      <c r="H900" s="13" t="s">
        <v>3665</v>
      </c>
      <c r="I900" s="13" t="s">
        <v>3666</v>
      </c>
      <c r="J900" s="13" t="s">
        <v>136</v>
      </c>
      <c r="K900" s="13">
        <f t="shared" si="70"/>
        <v>6</v>
      </c>
      <c r="L900" s="13">
        <f t="shared" si="71"/>
        <v>0</v>
      </c>
      <c r="M900" s="13">
        <f>IF(AND(L900=0,COUNTIFS($B$2:$B$1534,B900,$G$2:$G$1534,G900,$E$2:$E$1534,"&gt;="&amp;(E900-Assumptions!$B$5),$E$2:$E$1534,"&lt;="&amp;(E900+Assumptions!$B$5))&gt;1),1,0)</f>
        <v>0</v>
      </c>
      <c r="N900" s="13">
        <f>IF(AND(G900&gt;=Assumptions!$B$4*(1-Assumptions!$B$6),G900&lt;Assumptions!$B$4),1,0)</f>
        <v>0</v>
      </c>
      <c r="O900" s="13">
        <f>IF(AND(G900&gt;=Assumptions!$B$7,MOD(G900,Assumptions!$B$7)=0),1,0)</f>
        <v>0</v>
      </c>
      <c r="P900" s="13">
        <f t="shared" si="72"/>
        <v>0</v>
      </c>
      <c r="Q900" s="13">
        <f t="shared" si="73"/>
        <v>0</v>
      </c>
      <c r="R900" s="13">
        <f>L900*Assumptions!$B$11+M900*Assumptions!$B$12+N900*Assumptions!$B$13+O900*Assumptions!$B$14+P900*Assumptions!$B$15+Q900*Assumptions!$B$16</f>
        <v>0</v>
      </c>
      <c r="S900" s="13" t="str">
        <f>IF(R900&gt;=Assumptions!$B$20,"High",IF(R900&gt;=Assumptions!$B$21,"Medium",IF(R900&gt;=1,"Low","Clear")))</f>
        <v>Clear</v>
      </c>
      <c r="T900" s="13" t="str">
        <f t="shared" si="74"/>
        <v/>
      </c>
    </row>
    <row r="901" spans="1:20" x14ac:dyDescent="0.35">
      <c r="A901" s="13" t="s">
        <v>3667</v>
      </c>
      <c r="B901" s="13" t="s">
        <v>774</v>
      </c>
      <c r="C901" s="13" t="s">
        <v>775</v>
      </c>
      <c r="D901" s="13" t="s">
        <v>3668</v>
      </c>
      <c r="E901" s="14">
        <v>45972</v>
      </c>
      <c r="F901" s="14">
        <v>45996</v>
      </c>
      <c r="G901" s="15">
        <v>25844.21</v>
      </c>
      <c r="H901" s="13" t="s">
        <v>3669</v>
      </c>
      <c r="I901" s="13" t="s">
        <v>3670</v>
      </c>
      <c r="J901" s="13" t="s">
        <v>143</v>
      </c>
      <c r="K901" s="13">
        <f t="shared" si="70"/>
        <v>2</v>
      </c>
      <c r="L901" s="13">
        <f t="shared" si="71"/>
        <v>0</v>
      </c>
      <c r="M901" s="13">
        <f>IF(AND(L901=0,COUNTIFS($B$2:$B$1534,B901,$G$2:$G$1534,G901,$E$2:$E$1534,"&gt;="&amp;(E901-Assumptions!$B$5),$E$2:$E$1534,"&lt;="&amp;(E901+Assumptions!$B$5))&gt;1),1,0)</f>
        <v>0</v>
      </c>
      <c r="N901" s="13">
        <f>IF(AND(G901&gt;=Assumptions!$B$4*(1-Assumptions!$B$6),G901&lt;Assumptions!$B$4),1,0)</f>
        <v>0</v>
      </c>
      <c r="O901" s="13">
        <f>IF(AND(G901&gt;=Assumptions!$B$7,MOD(G901,Assumptions!$B$7)=0),1,0)</f>
        <v>0</v>
      </c>
      <c r="P901" s="13">
        <f t="shared" si="72"/>
        <v>0</v>
      </c>
      <c r="Q901" s="13">
        <f t="shared" si="73"/>
        <v>0</v>
      </c>
      <c r="R901" s="13">
        <f>L901*Assumptions!$B$11+M901*Assumptions!$B$12+N901*Assumptions!$B$13+O901*Assumptions!$B$14+P901*Assumptions!$B$15+Q901*Assumptions!$B$16</f>
        <v>0</v>
      </c>
      <c r="S901" s="13" t="str">
        <f>IF(R901&gt;=Assumptions!$B$20,"High",IF(R901&gt;=Assumptions!$B$21,"Medium",IF(R901&gt;=1,"Low","Clear")))</f>
        <v>Clear</v>
      </c>
      <c r="T901" s="13" t="str">
        <f t="shared" si="74"/>
        <v/>
      </c>
    </row>
    <row r="902" spans="1:20" x14ac:dyDescent="0.35">
      <c r="A902" s="13" t="s">
        <v>3671</v>
      </c>
      <c r="B902" s="13" t="s">
        <v>234</v>
      </c>
      <c r="C902" s="13" t="s">
        <v>235</v>
      </c>
      <c r="D902" s="13" t="s">
        <v>3672</v>
      </c>
      <c r="E902" s="14">
        <v>45976</v>
      </c>
      <c r="F902" s="14">
        <v>45996</v>
      </c>
      <c r="G902" s="15">
        <v>489257.15</v>
      </c>
      <c r="H902" s="13" t="s">
        <v>3673</v>
      </c>
      <c r="I902" s="13" t="s">
        <v>3674</v>
      </c>
      <c r="J902" s="13" t="s">
        <v>136</v>
      </c>
      <c r="K902" s="13">
        <f t="shared" si="70"/>
        <v>4</v>
      </c>
      <c r="L902" s="13">
        <f t="shared" si="71"/>
        <v>0</v>
      </c>
      <c r="M902" s="13">
        <f>IF(AND(L902=0,COUNTIFS($B$2:$B$1534,B902,$G$2:$G$1534,G902,$E$2:$E$1534,"&gt;="&amp;(E902-Assumptions!$B$5),$E$2:$E$1534,"&lt;="&amp;(E902+Assumptions!$B$5))&gt;1),1,0)</f>
        <v>0</v>
      </c>
      <c r="N902" s="13">
        <f>IF(AND(G902&gt;=Assumptions!$B$4*(1-Assumptions!$B$6),G902&lt;Assumptions!$B$4),1,0)</f>
        <v>0</v>
      </c>
      <c r="O902" s="13">
        <f>IF(AND(G902&gt;=Assumptions!$B$7,MOD(G902,Assumptions!$B$7)=0),1,0)</f>
        <v>0</v>
      </c>
      <c r="P902" s="13">
        <f t="shared" si="72"/>
        <v>0</v>
      </c>
      <c r="Q902" s="13">
        <f t="shared" si="73"/>
        <v>0</v>
      </c>
      <c r="R902" s="13">
        <f>L902*Assumptions!$B$11+M902*Assumptions!$B$12+N902*Assumptions!$B$13+O902*Assumptions!$B$14+P902*Assumptions!$B$15+Q902*Assumptions!$B$16</f>
        <v>0</v>
      </c>
      <c r="S902" s="13" t="str">
        <f>IF(R902&gt;=Assumptions!$B$20,"High",IF(R902&gt;=Assumptions!$B$21,"Medium",IF(R902&gt;=1,"Low","Clear")))</f>
        <v>Clear</v>
      </c>
      <c r="T902" s="13" t="str">
        <f t="shared" si="74"/>
        <v/>
      </c>
    </row>
    <row r="903" spans="1:20" x14ac:dyDescent="0.35">
      <c r="A903" s="13" t="s">
        <v>3675</v>
      </c>
      <c r="B903" s="13" t="s">
        <v>307</v>
      </c>
      <c r="C903" s="13" t="s">
        <v>308</v>
      </c>
      <c r="D903" s="13" t="s">
        <v>3676</v>
      </c>
      <c r="E903" s="14">
        <v>45976</v>
      </c>
      <c r="F903" s="14">
        <v>45996</v>
      </c>
      <c r="G903" s="15">
        <v>6246.51</v>
      </c>
      <c r="H903" s="13" t="s">
        <v>3677</v>
      </c>
      <c r="I903" s="13" t="s">
        <v>3678</v>
      </c>
      <c r="J903" s="13" t="s">
        <v>170</v>
      </c>
      <c r="K903" s="13">
        <f t="shared" si="70"/>
        <v>6</v>
      </c>
      <c r="L903" s="13">
        <f t="shared" si="71"/>
        <v>0</v>
      </c>
      <c r="M903" s="13">
        <f>IF(AND(L903=0,COUNTIFS($B$2:$B$1534,B903,$G$2:$G$1534,G903,$E$2:$E$1534,"&gt;="&amp;(E903-Assumptions!$B$5),$E$2:$E$1534,"&lt;="&amp;(E903+Assumptions!$B$5))&gt;1),1,0)</f>
        <v>0</v>
      </c>
      <c r="N903" s="13">
        <f>IF(AND(G903&gt;=Assumptions!$B$4*(1-Assumptions!$B$6),G903&lt;Assumptions!$B$4),1,0)</f>
        <v>0</v>
      </c>
      <c r="O903" s="13">
        <f>IF(AND(G903&gt;=Assumptions!$B$7,MOD(G903,Assumptions!$B$7)=0),1,0)</f>
        <v>0</v>
      </c>
      <c r="P903" s="13">
        <f t="shared" si="72"/>
        <v>0</v>
      </c>
      <c r="Q903" s="13">
        <f t="shared" si="73"/>
        <v>0</v>
      </c>
      <c r="R903" s="13">
        <f>L903*Assumptions!$B$11+M903*Assumptions!$B$12+N903*Assumptions!$B$13+O903*Assumptions!$B$14+P903*Assumptions!$B$15+Q903*Assumptions!$B$16</f>
        <v>0</v>
      </c>
      <c r="S903" s="13" t="str">
        <f>IF(R903&gt;=Assumptions!$B$20,"High",IF(R903&gt;=Assumptions!$B$21,"Medium",IF(R903&gt;=1,"Low","Clear")))</f>
        <v>Clear</v>
      </c>
      <c r="T903" s="13" t="str">
        <f t="shared" si="74"/>
        <v/>
      </c>
    </row>
    <row r="904" spans="1:20" x14ac:dyDescent="0.35">
      <c r="A904" s="13" t="s">
        <v>3679</v>
      </c>
      <c r="B904" s="13" t="s">
        <v>307</v>
      </c>
      <c r="C904" s="13" t="s">
        <v>308</v>
      </c>
      <c r="D904" s="13" t="s">
        <v>3680</v>
      </c>
      <c r="E904" s="14">
        <v>45958</v>
      </c>
      <c r="F904" s="14">
        <v>45996</v>
      </c>
      <c r="G904" s="15">
        <v>10675.23</v>
      </c>
      <c r="H904" s="13" t="s">
        <v>3681</v>
      </c>
      <c r="I904" s="13" t="s">
        <v>3682</v>
      </c>
      <c r="J904" s="13" t="s">
        <v>98</v>
      </c>
      <c r="K904" s="13">
        <f t="shared" si="70"/>
        <v>1</v>
      </c>
      <c r="L904" s="13">
        <f t="shared" si="71"/>
        <v>0</v>
      </c>
      <c r="M904" s="13">
        <f>IF(AND(L904=0,COUNTIFS($B$2:$B$1534,B904,$G$2:$G$1534,G904,$E$2:$E$1534,"&gt;="&amp;(E904-Assumptions!$B$5),$E$2:$E$1534,"&lt;="&amp;(E904+Assumptions!$B$5))&gt;1),1,0)</f>
        <v>0</v>
      </c>
      <c r="N904" s="13">
        <f>IF(AND(G904&gt;=Assumptions!$B$4*(1-Assumptions!$B$6),G904&lt;Assumptions!$B$4),1,0)</f>
        <v>0</v>
      </c>
      <c r="O904" s="13">
        <f>IF(AND(G904&gt;=Assumptions!$B$7,MOD(G904,Assumptions!$B$7)=0),1,0)</f>
        <v>0</v>
      </c>
      <c r="P904" s="13">
        <f t="shared" si="72"/>
        <v>0</v>
      </c>
      <c r="Q904" s="13">
        <f t="shared" si="73"/>
        <v>0</v>
      </c>
      <c r="R904" s="13">
        <f>L904*Assumptions!$B$11+M904*Assumptions!$B$12+N904*Assumptions!$B$13+O904*Assumptions!$B$14+P904*Assumptions!$B$15+Q904*Assumptions!$B$16</f>
        <v>0</v>
      </c>
      <c r="S904" s="13" t="str">
        <f>IF(R904&gt;=Assumptions!$B$20,"High",IF(R904&gt;=Assumptions!$B$21,"Medium",IF(R904&gt;=1,"Low","Clear")))</f>
        <v>Clear</v>
      </c>
      <c r="T904" s="13" t="str">
        <f t="shared" si="74"/>
        <v/>
      </c>
    </row>
    <row r="905" spans="1:20" x14ac:dyDescent="0.35">
      <c r="A905" s="13" t="s">
        <v>3683</v>
      </c>
      <c r="B905" s="13" t="s">
        <v>307</v>
      </c>
      <c r="C905" s="13" t="s">
        <v>308</v>
      </c>
      <c r="D905" s="13" t="s">
        <v>3684</v>
      </c>
      <c r="E905" s="14">
        <v>45971</v>
      </c>
      <c r="F905" s="14">
        <v>45996</v>
      </c>
      <c r="G905" s="15">
        <v>17571.52</v>
      </c>
      <c r="H905" s="13" t="s">
        <v>3685</v>
      </c>
      <c r="I905" s="13" t="s">
        <v>3686</v>
      </c>
      <c r="J905" s="13" t="s">
        <v>98</v>
      </c>
      <c r="K905" s="13">
        <f t="shared" si="70"/>
        <v>1</v>
      </c>
      <c r="L905" s="13">
        <f t="shared" si="71"/>
        <v>0</v>
      </c>
      <c r="M905" s="13">
        <f>IF(AND(L905=0,COUNTIFS($B$2:$B$1534,B905,$G$2:$G$1534,G905,$E$2:$E$1534,"&gt;="&amp;(E905-Assumptions!$B$5),$E$2:$E$1534,"&lt;="&amp;(E905+Assumptions!$B$5))&gt;1),1,0)</f>
        <v>0</v>
      </c>
      <c r="N905" s="13">
        <f>IF(AND(G905&gt;=Assumptions!$B$4*(1-Assumptions!$B$6),G905&lt;Assumptions!$B$4),1,0)</f>
        <v>0</v>
      </c>
      <c r="O905" s="13">
        <f>IF(AND(G905&gt;=Assumptions!$B$7,MOD(G905,Assumptions!$B$7)=0),1,0)</f>
        <v>0</v>
      </c>
      <c r="P905" s="13">
        <f t="shared" si="72"/>
        <v>0</v>
      </c>
      <c r="Q905" s="13">
        <f t="shared" si="73"/>
        <v>0</v>
      </c>
      <c r="R905" s="13">
        <f>L905*Assumptions!$B$11+M905*Assumptions!$B$12+N905*Assumptions!$B$13+O905*Assumptions!$B$14+P905*Assumptions!$B$15+Q905*Assumptions!$B$16</f>
        <v>0</v>
      </c>
      <c r="S905" s="13" t="str">
        <f>IF(R905&gt;=Assumptions!$B$20,"High",IF(R905&gt;=Assumptions!$B$21,"Medium",IF(R905&gt;=1,"Low","Clear")))</f>
        <v>Clear</v>
      </c>
      <c r="T905" s="13" t="str">
        <f t="shared" si="74"/>
        <v/>
      </c>
    </row>
    <row r="906" spans="1:20" x14ac:dyDescent="0.35">
      <c r="A906" s="13" t="s">
        <v>3687</v>
      </c>
      <c r="B906" s="13" t="s">
        <v>218</v>
      </c>
      <c r="C906" s="13" t="s">
        <v>219</v>
      </c>
      <c r="D906" s="13" t="s">
        <v>3688</v>
      </c>
      <c r="E906" s="14">
        <v>45962</v>
      </c>
      <c r="F906" s="14">
        <v>45996</v>
      </c>
      <c r="G906" s="15">
        <v>10536.3</v>
      </c>
      <c r="H906" s="13" t="s">
        <v>3689</v>
      </c>
      <c r="I906" s="13" t="s">
        <v>3690</v>
      </c>
      <c r="J906" s="13" t="s">
        <v>136</v>
      </c>
      <c r="K906" s="13">
        <f t="shared" si="70"/>
        <v>1</v>
      </c>
      <c r="L906" s="13">
        <f t="shared" si="71"/>
        <v>0</v>
      </c>
      <c r="M906" s="13">
        <f>IF(AND(L906=0,COUNTIFS($B$2:$B$1534,B906,$G$2:$G$1534,G906,$E$2:$E$1534,"&gt;="&amp;(E906-Assumptions!$B$5),$E$2:$E$1534,"&lt;="&amp;(E906+Assumptions!$B$5))&gt;1),1,0)</f>
        <v>0</v>
      </c>
      <c r="N906" s="13">
        <f>IF(AND(G906&gt;=Assumptions!$B$4*(1-Assumptions!$B$6),G906&lt;Assumptions!$B$4),1,0)</f>
        <v>0</v>
      </c>
      <c r="O906" s="13">
        <f>IF(AND(G906&gt;=Assumptions!$B$7,MOD(G906,Assumptions!$B$7)=0),1,0)</f>
        <v>0</v>
      </c>
      <c r="P906" s="13">
        <f t="shared" si="72"/>
        <v>0</v>
      </c>
      <c r="Q906" s="13">
        <f t="shared" si="73"/>
        <v>0</v>
      </c>
      <c r="R906" s="13">
        <f>L906*Assumptions!$B$11+M906*Assumptions!$B$12+N906*Assumptions!$B$13+O906*Assumptions!$B$14+P906*Assumptions!$B$15+Q906*Assumptions!$B$16</f>
        <v>0</v>
      </c>
      <c r="S906" s="13" t="str">
        <f>IF(R906&gt;=Assumptions!$B$20,"High",IF(R906&gt;=Assumptions!$B$21,"Medium",IF(R906&gt;=1,"Low","Clear")))</f>
        <v>Clear</v>
      </c>
      <c r="T906" s="13" t="str">
        <f t="shared" si="74"/>
        <v/>
      </c>
    </row>
    <row r="907" spans="1:20" x14ac:dyDescent="0.35">
      <c r="A907" s="13" t="s">
        <v>3691</v>
      </c>
      <c r="B907" s="13" t="s">
        <v>176</v>
      </c>
      <c r="C907" s="13" t="s">
        <v>177</v>
      </c>
      <c r="D907" s="13" t="s">
        <v>3692</v>
      </c>
      <c r="E907" s="14">
        <v>45968</v>
      </c>
      <c r="F907" s="14">
        <v>45999</v>
      </c>
      <c r="G907" s="15">
        <v>61803.24</v>
      </c>
      <c r="H907" s="13" t="s">
        <v>3693</v>
      </c>
      <c r="I907" s="13" t="s">
        <v>3694</v>
      </c>
      <c r="J907" s="13" t="s">
        <v>170</v>
      </c>
      <c r="K907" s="13">
        <f t="shared" si="70"/>
        <v>6</v>
      </c>
      <c r="L907" s="13">
        <f t="shared" si="71"/>
        <v>0</v>
      </c>
      <c r="M907" s="13">
        <f>IF(AND(L907=0,COUNTIFS($B$2:$B$1534,B907,$G$2:$G$1534,G907,$E$2:$E$1534,"&gt;="&amp;(E907-Assumptions!$B$5),$E$2:$E$1534,"&lt;="&amp;(E907+Assumptions!$B$5))&gt;1),1,0)</f>
        <v>0</v>
      </c>
      <c r="N907" s="13">
        <f>IF(AND(G907&gt;=Assumptions!$B$4*(1-Assumptions!$B$6),G907&lt;Assumptions!$B$4),1,0)</f>
        <v>0</v>
      </c>
      <c r="O907" s="13">
        <f>IF(AND(G907&gt;=Assumptions!$B$7,MOD(G907,Assumptions!$B$7)=0),1,0)</f>
        <v>0</v>
      </c>
      <c r="P907" s="13">
        <f t="shared" si="72"/>
        <v>0</v>
      </c>
      <c r="Q907" s="13">
        <f t="shared" si="73"/>
        <v>0</v>
      </c>
      <c r="R907" s="13">
        <f>L907*Assumptions!$B$11+M907*Assumptions!$B$12+N907*Assumptions!$B$13+O907*Assumptions!$B$14+P907*Assumptions!$B$15+Q907*Assumptions!$B$16</f>
        <v>0</v>
      </c>
      <c r="S907" s="13" t="str">
        <f>IF(R907&gt;=Assumptions!$B$20,"High",IF(R907&gt;=Assumptions!$B$21,"Medium",IF(R907&gt;=1,"Low","Clear")))</f>
        <v>Clear</v>
      </c>
      <c r="T907" s="13" t="str">
        <f t="shared" si="74"/>
        <v/>
      </c>
    </row>
    <row r="908" spans="1:20" x14ac:dyDescent="0.35">
      <c r="A908" s="13" t="s">
        <v>3695</v>
      </c>
      <c r="B908" s="13" t="s">
        <v>228</v>
      </c>
      <c r="C908" s="13" t="s">
        <v>229</v>
      </c>
      <c r="D908" s="13" t="s">
        <v>3696</v>
      </c>
      <c r="E908" s="14">
        <v>45967</v>
      </c>
      <c r="F908" s="14">
        <v>45999</v>
      </c>
      <c r="G908" s="15">
        <v>945881.14</v>
      </c>
      <c r="H908" s="13" t="s">
        <v>3697</v>
      </c>
      <c r="I908" s="13" t="s">
        <v>3698</v>
      </c>
      <c r="J908" s="13" t="s">
        <v>111</v>
      </c>
      <c r="K908" s="13">
        <f t="shared" si="70"/>
        <v>9</v>
      </c>
      <c r="L908" s="13">
        <f t="shared" si="71"/>
        <v>0</v>
      </c>
      <c r="M908" s="13">
        <f>IF(AND(L908=0,COUNTIFS($B$2:$B$1534,B908,$G$2:$G$1534,G908,$E$2:$E$1534,"&gt;="&amp;(E908-Assumptions!$B$5),$E$2:$E$1534,"&lt;="&amp;(E908+Assumptions!$B$5))&gt;1),1,0)</f>
        <v>0</v>
      </c>
      <c r="N908" s="13">
        <f>IF(AND(G908&gt;=Assumptions!$B$4*(1-Assumptions!$B$6),G908&lt;Assumptions!$B$4),1,0)</f>
        <v>0</v>
      </c>
      <c r="O908" s="13">
        <f>IF(AND(G908&gt;=Assumptions!$B$7,MOD(G908,Assumptions!$B$7)=0),1,0)</f>
        <v>0</v>
      </c>
      <c r="P908" s="13">
        <f t="shared" si="72"/>
        <v>0</v>
      </c>
      <c r="Q908" s="13">
        <f t="shared" si="73"/>
        <v>0</v>
      </c>
      <c r="R908" s="13">
        <f>L908*Assumptions!$B$11+M908*Assumptions!$B$12+N908*Assumptions!$B$13+O908*Assumptions!$B$14+P908*Assumptions!$B$15+Q908*Assumptions!$B$16</f>
        <v>0</v>
      </c>
      <c r="S908" s="13" t="str">
        <f>IF(R908&gt;=Assumptions!$B$20,"High",IF(R908&gt;=Assumptions!$B$21,"Medium",IF(R908&gt;=1,"Low","Clear")))</f>
        <v>Clear</v>
      </c>
      <c r="T908" s="13" t="str">
        <f t="shared" si="74"/>
        <v/>
      </c>
    </row>
    <row r="909" spans="1:20" x14ac:dyDescent="0.35">
      <c r="A909" s="13" t="s">
        <v>3699</v>
      </c>
      <c r="B909" s="13" t="s">
        <v>670</v>
      </c>
      <c r="C909" s="13" t="s">
        <v>671</v>
      </c>
      <c r="D909" s="13" t="s">
        <v>3700</v>
      </c>
      <c r="E909" s="14">
        <v>45961</v>
      </c>
      <c r="F909" s="14">
        <v>45999</v>
      </c>
      <c r="G909" s="15">
        <v>8375.94</v>
      </c>
      <c r="H909" s="13" t="s">
        <v>3701</v>
      </c>
      <c r="I909" s="13" t="s">
        <v>3702</v>
      </c>
      <c r="J909" s="13" t="s">
        <v>111</v>
      </c>
      <c r="K909" s="13">
        <f t="shared" si="70"/>
        <v>8</v>
      </c>
      <c r="L909" s="13">
        <f t="shared" si="71"/>
        <v>0</v>
      </c>
      <c r="M909" s="13">
        <f>IF(AND(L909=0,COUNTIFS($B$2:$B$1534,B909,$G$2:$G$1534,G909,$E$2:$E$1534,"&gt;="&amp;(E909-Assumptions!$B$5),$E$2:$E$1534,"&lt;="&amp;(E909+Assumptions!$B$5))&gt;1),1,0)</f>
        <v>0</v>
      </c>
      <c r="N909" s="13">
        <f>IF(AND(G909&gt;=Assumptions!$B$4*(1-Assumptions!$B$6),G909&lt;Assumptions!$B$4),1,0)</f>
        <v>0</v>
      </c>
      <c r="O909" s="13">
        <f>IF(AND(G909&gt;=Assumptions!$B$7,MOD(G909,Assumptions!$B$7)=0),1,0)</f>
        <v>0</v>
      </c>
      <c r="P909" s="13">
        <f t="shared" si="72"/>
        <v>0</v>
      </c>
      <c r="Q909" s="13">
        <f t="shared" si="73"/>
        <v>0</v>
      </c>
      <c r="R909" s="13">
        <f>L909*Assumptions!$B$11+M909*Assumptions!$B$12+N909*Assumptions!$B$13+O909*Assumptions!$B$14+P909*Assumptions!$B$15+Q909*Assumptions!$B$16</f>
        <v>0</v>
      </c>
      <c r="S909" s="13" t="str">
        <f>IF(R909&gt;=Assumptions!$B$20,"High",IF(R909&gt;=Assumptions!$B$21,"Medium",IF(R909&gt;=1,"Low","Clear")))</f>
        <v>Clear</v>
      </c>
      <c r="T909" s="13" t="str">
        <f t="shared" si="74"/>
        <v/>
      </c>
    </row>
    <row r="910" spans="1:20" x14ac:dyDescent="0.35">
      <c r="A910" s="13" t="s">
        <v>3703</v>
      </c>
      <c r="B910" s="13" t="s">
        <v>498</v>
      </c>
      <c r="C910" s="13" t="s">
        <v>499</v>
      </c>
      <c r="D910" s="13" t="s">
        <v>3704</v>
      </c>
      <c r="E910" s="14">
        <v>45963</v>
      </c>
      <c r="F910" s="14">
        <v>45999</v>
      </c>
      <c r="G910" s="15">
        <v>2192.54</v>
      </c>
      <c r="H910" s="13" t="s">
        <v>3705</v>
      </c>
      <c r="I910" s="13" t="s">
        <v>3706</v>
      </c>
      <c r="J910" s="13" t="s">
        <v>98</v>
      </c>
      <c r="K910" s="13">
        <f t="shared" si="70"/>
        <v>2</v>
      </c>
      <c r="L910" s="13">
        <f t="shared" si="71"/>
        <v>0</v>
      </c>
      <c r="M910" s="13">
        <f>IF(AND(L910=0,COUNTIFS($B$2:$B$1534,B910,$G$2:$G$1534,G910,$E$2:$E$1534,"&gt;="&amp;(E910-Assumptions!$B$5),$E$2:$E$1534,"&lt;="&amp;(E910+Assumptions!$B$5))&gt;1),1,0)</f>
        <v>0</v>
      </c>
      <c r="N910" s="13">
        <f>IF(AND(G910&gt;=Assumptions!$B$4*(1-Assumptions!$B$6),G910&lt;Assumptions!$B$4),1,0)</f>
        <v>0</v>
      </c>
      <c r="O910" s="13">
        <f>IF(AND(G910&gt;=Assumptions!$B$7,MOD(G910,Assumptions!$B$7)=0),1,0)</f>
        <v>0</v>
      </c>
      <c r="P910" s="13">
        <f t="shared" si="72"/>
        <v>0</v>
      </c>
      <c r="Q910" s="13">
        <f t="shared" si="73"/>
        <v>0</v>
      </c>
      <c r="R910" s="13">
        <f>L910*Assumptions!$B$11+M910*Assumptions!$B$12+N910*Assumptions!$B$13+O910*Assumptions!$B$14+P910*Assumptions!$B$15+Q910*Assumptions!$B$16</f>
        <v>0</v>
      </c>
      <c r="S910" s="13" t="str">
        <f>IF(R910&gt;=Assumptions!$B$20,"High",IF(R910&gt;=Assumptions!$B$21,"Medium",IF(R910&gt;=1,"Low","Clear")))</f>
        <v>Clear</v>
      </c>
      <c r="T910" s="13" t="str">
        <f t="shared" si="74"/>
        <v/>
      </c>
    </row>
    <row r="911" spans="1:20" x14ac:dyDescent="0.35">
      <c r="A911" s="13" t="s">
        <v>3707</v>
      </c>
      <c r="B911" s="13" t="s">
        <v>498</v>
      </c>
      <c r="C911" s="13" t="s">
        <v>499</v>
      </c>
      <c r="D911" s="13" t="s">
        <v>3708</v>
      </c>
      <c r="E911" s="14">
        <v>45973</v>
      </c>
      <c r="F911" s="14">
        <v>45999</v>
      </c>
      <c r="G911" s="15">
        <v>4897.4799999999996</v>
      </c>
      <c r="H911" s="13" t="s">
        <v>3709</v>
      </c>
      <c r="I911" s="13" t="s">
        <v>3710</v>
      </c>
      <c r="J911" s="13" t="s">
        <v>170</v>
      </c>
      <c r="K911" s="13">
        <f t="shared" si="70"/>
        <v>4</v>
      </c>
      <c r="L911" s="13">
        <f t="shared" si="71"/>
        <v>0</v>
      </c>
      <c r="M911" s="13">
        <f>IF(AND(L911=0,COUNTIFS($B$2:$B$1534,B911,$G$2:$G$1534,G911,$E$2:$E$1534,"&gt;="&amp;(E911-Assumptions!$B$5),$E$2:$E$1534,"&lt;="&amp;(E911+Assumptions!$B$5))&gt;1),1,0)</f>
        <v>0</v>
      </c>
      <c r="N911" s="13">
        <f>IF(AND(G911&gt;=Assumptions!$B$4*(1-Assumptions!$B$6),G911&lt;Assumptions!$B$4),1,0)</f>
        <v>0</v>
      </c>
      <c r="O911" s="13">
        <f>IF(AND(G911&gt;=Assumptions!$B$7,MOD(G911,Assumptions!$B$7)=0),1,0)</f>
        <v>0</v>
      </c>
      <c r="P911" s="13">
        <f t="shared" si="72"/>
        <v>0</v>
      </c>
      <c r="Q911" s="13">
        <f t="shared" si="73"/>
        <v>0</v>
      </c>
      <c r="R911" s="13">
        <f>L911*Assumptions!$B$11+M911*Assumptions!$B$12+N911*Assumptions!$B$13+O911*Assumptions!$B$14+P911*Assumptions!$B$15+Q911*Assumptions!$B$16</f>
        <v>0</v>
      </c>
      <c r="S911" s="13" t="str">
        <f>IF(R911&gt;=Assumptions!$B$20,"High",IF(R911&gt;=Assumptions!$B$21,"Medium",IF(R911&gt;=1,"Low","Clear")))</f>
        <v>Clear</v>
      </c>
      <c r="T911" s="13" t="str">
        <f t="shared" si="74"/>
        <v/>
      </c>
    </row>
    <row r="912" spans="1:20" x14ac:dyDescent="0.35">
      <c r="A912" s="13" t="s">
        <v>3711</v>
      </c>
      <c r="B912" s="13" t="s">
        <v>86</v>
      </c>
      <c r="C912" s="13" t="s">
        <v>87</v>
      </c>
      <c r="D912" s="13" t="s">
        <v>3712</v>
      </c>
      <c r="E912" s="14">
        <v>45965</v>
      </c>
      <c r="F912" s="14">
        <v>45999</v>
      </c>
      <c r="G912" s="15">
        <v>2622.42</v>
      </c>
      <c r="H912" s="13" t="s">
        <v>3713</v>
      </c>
      <c r="I912" s="13" t="s">
        <v>3714</v>
      </c>
      <c r="J912" s="13" t="s">
        <v>111</v>
      </c>
      <c r="K912" s="13">
        <f t="shared" si="70"/>
        <v>2</v>
      </c>
      <c r="L912" s="13">
        <f t="shared" si="71"/>
        <v>0</v>
      </c>
      <c r="M912" s="13">
        <f>IF(AND(L912=0,COUNTIFS($B$2:$B$1534,B912,$G$2:$G$1534,G912,$E$2:$E$1534,"&gt;="&amp;(E912-Assumptions!$B$5),$E$2:$E$1534,"&lt;="&amp;(E912+Assumptions!$B$5))&gt;1),1,0)</f>
        <v>0</v>
      </c>
      <c r="N912" s="13">
        <f>IF(AND(G912&gt;=Assumptions!$B$4*(1-Assumptions!$B$6),G912&lt;Assumptions!$B$4),1,0)</f>
        <v>0</v>
      </c>
      <c r="O912" s="13">
        <f>IF(AND(G912&gt;=Assumptions!$B$7,MOD(G912,Assumptions!$B$7)=0),1,0)</f>
        <v>0</v>
      </c>
      <c r="P912" s="13">
        <f t="shared" si="72"/>
        <v>0</v>
      </c>
      <c r="Q912" s="13">
        <f t="shared" si="73"/>
        <v>0</v>
      </c>
      <c r="R912" s="13">
        <f>L912*Assumptions!$B$11+M912*Assumptions!$B$12+N912*Assumptions!$B$13+O912*Assumptions!$B$14+P912*Assumptions!$B$15+Q912*Assumptions!$B$16</f>
        <v>0</v>
      </c>
      <c r="S912" s="13" t="str">
        <f>IF(R912&gt;=Assumptions!$B$20,"High",IF(R912&gt;=Assumptions!$B$21,"Medium",IF(R912&gt;=1,"Low","Clear")))</f>
        <v>Clear</v>
      </c>
      <c r="T912" s="13" t="str">
        <f t="shared" si="74"/>
        <v/>
      </c>
    </row>
    <row r="913" spans="1:20" x14ac:dyDescent="0.35">
      <c r="A913" s="13" t="s">
        <v>3715</v>
      </c>
      <c r="B913" s="13" t="s">
        <v>279</v>
      </c>
      <c r="C913" s="13" t="s">
        <v>280</v>
      </c>
      <c r="D913" s="13" t="s">
        <v>3716</v>
      </c>
      <c r="E913" s="14">
        <v>45958</v>
      </c>
      <c r="F913" s="14">
        <v>45999</v>
      </c>
      <c r="G913" s="15">
        <v>2680.01</v>
      </c>
      <c r="H913" s="13" t="s">
        <v>3717</v>
      </c>
      <c r="I913" s="13" t="s">
        <v>3718</v>
      </c>
      <c r="J913" s="13" t="s">
        <v>91</v>
      </c>
      <c r="K913" s="13">
        <f t="shared" si="70"/>
        <v>2</v>
      </c>
      <c r="L913" s="13">
        <f t="shared" si="71"/>
        <v>0</v>
      </c>
      <c r="M913" s="13">
        <f>IF(AND(L913=0,COUNTIFS($B$2:$B$1534,B913,$G$2:$G$1534,G913,$E$2:$E$1534,"&gt;="&amp;(E913-Assumptions!$B$5),$E$2:$E$1534,"&lt;="&amp;(E913+Assumptions!$B$5))&gt;1),1,0)</f>
        <v>0</v>
      </c>
      <c r="N913" s="13">
        <f>IF(AND(G913&gt;=Assumptions!$B$4*(1-Assumptions!$B$6),G913&lt;Assumptions!$B$4),1,0)</f>
        <v>0</v>
      </c>
      <c r="O913" s="13">
        <f>IF(AND(G913&gt;=Assumptions!$B$7,MOD(G913,Assumptions!$B$7)=0),1,0)</f>
        <v>0</v>
      </c>
      <c r="P913" s="13">
        <f t="shared" si="72"/>
        <v>0</v>
      </c>
      <c r="Q913" s="13">
        <f t="shared" si="73"/>
        <v>0</v>
      </c>
      <c r="R913" s="13">
        <f>L913*Assumptions!$B$11+M913*Assumptions!$B$12+N913*Assumptions!$B$13+O913*Assumptions!$B$14+P913*Assumptions!$B$15+Q913*Assumptions!$B$16</f>
        <v>0</v>
      </c>
      <c r="S913" s="13" t="str">
        <f>IF(R913&gt;=Assumptions!$B$20,"High",IF(R913&gt;=Assumptions!$B$21,"Medium",IF(R913&gt;=1,"Low","Clear")))</f>
        <v>Clear</v>
      </c>
      <c r="T913" s="13" t="str">
        <f t="shared" si="74"/>
        <v/>
      </c>
    </row>
    <row r="914" spans="1:20" x14ac:dyDescent="0.35">
      <c r="A914" s="13" t="s">
        <v>3719</v>
      </c>
      <c r="B914" s="13" t="s">
        <v>113</v>
      </c>
      <c r="C914" s="13" t="s">
        <v>114</v>
      </c>
      <c r="D914" s="13" t="s">
        <v>3720</v>
      </c>
      <c r="E914" s="14">
        <v>45965</v>
      </c>
      <c r="F914" s="14">
        <v>45999</v>
      </c>
      <c r="G914" s="15">
        <v>51773.93</v>
      </c>
      <c r="H914" s="13" t="s">
        <v>3721</v>
      </c>
      <c r="I914" s="13" t="s">
        <v>3722</v>
      </c>
      <c r="J914" s="13" t="s">
        <v>91</v>
      </c>
      <c r="K914" s="13">
        <f t="shared" si="70"/>
        <v>5</v>
      </c>
      <c r="L914" s="13">
        <f t="shared" si="71"/>
        <v>0</v>
      </c>
      <c r="M914" s="13">
        <f>IF(AND(L914=0,COUNTIFS($B$2:$B$1534,B914,$G$2:$G$1534,G914,$E$2:$E$1534,"&gt;="&amp;(E914-Assumptions!$B$5),$E$2:$E$1534,"&lt;="&amp;(E914+Assumptions!$B$5))&gt;1),1,0)</f>
        <v>0</v>
      </c>
      <c r="N914" s="13">
        <f>IF(AND(G914&gt;=Assumptions!$B$4*(1-Assumptions!$B$6),G914&lt;Assumptions!$B$4),1,0)</f>
        <v>0</v>
      </c>
      <c r="O914" s="13">
        <f>IF(AND(G914&gt;=Assumptions!$B$7,MOD(G914,Assumptions!$B$7)=0),1,0)</f>
        <v>0</v>
      </c>
      <c r="P914" s="13">
        <f t="shared" si="72"/>
        <v>0</v>
      </c>
      <c r="Q914" s="13">
        <f t="shared" si="73"/>
        <v>0</v>
      </c>
      <c r="R914" s="13">
        <f>L914*Assumptions!$B$11+M914*Assumptions!$B$12+N914*Assumptions!$B$13+O914*Assumptions!$B$14+P914*Assumptions!$B$15+Q914*Assumptions!$B$16</f>
        <v>0</v>
      </c>
      <c r="S914" s="13" t="str">
        <f>IF(R914&gt;=Assumptions!$B$20,"High",IF(R914&gt;=Assumptions!$B$21,"Medium",IF(R914&gt;=1,"Low","Clear")))</f>
        <v>Clear</v>
      </c>
      <c r="T914" s="13" t="str">
        <f t="shared" si="74"/>
        <v/>
      </c>
    </row>
    <row r="915" spans="1:20" x14ac:dyDescent="0.35">
      <c r="A915" s="13" t="s">
        <v>3723</v>
      </c>
      <c r="B915" s="13" t="s">
        <v>119</v>
      </c>
      <c r="C915" s="13" t="s">
        <v>120</v>
      </c>
      <c r="D915" s="13" t="s">
        <v>3724</v>
      </c>
      <c r="E915" s="14">
        <v>45972</v>
      </c>
      <c r="F915" s="14">
        <v>45999</v>
      </c>
      <c r="G915" s="15">
        <v>33335.57</v>
      </c>
      <c r="H915" s="13" t="s">
        <v>3725</v>
      </c>
      <c r="I915" s="13" t="s">
        <v>3726</v>
      </c>
      <c r="J915" s="13" t="s">
        <v>170</v>
      </c>
      <c r="K915" s="13">
        <f t="shared" si="70"/>
        <v>3</v>
      </c>
      <c r="L915" s="13">
        <f t="shared" si="71"/>
        <v>0</v>
      </c>
      <c r="M915" s="13">
        <f>IF(AND(L915=0,COUNTIFS($B$2:$B$1534,B915,$G$2:$G$1534,G915,$E$2:$E$1534,"&gt;="&amp;(E915-Assumptions!$B$5),$E$2:$E$1534,"&lt;="&amp;(E915+Assumptions!$B$5))&gt;1),1,0)</f>
        <v>0</v>
      </c>
      <c r="N915" s="13">
        <f>IF(AND(G915&gt;=Assumptions!$B$4*(1-Assumptions!$B$6),G915&lt;Assumptions!$B$4),1,0)</f>
        <v>0</v>
      </c>
      <c r="O915" s="13">
        <f>IF(AND(G915&gt;=Assumptions!$B$7,MOD(G915,Assumptions!$B$7)=0),1,0)</f>
        <v>0</v>
      </c>
      <c r="P915" s="13">
        <f t="shared" si="72"/>
        <v>0</v>
      </c>
      <c r="Q915" s="13">
        <f t="shared" si="73"/>
        <v>0</v>
      </c>
      <c r="R915" s="13">
        <f>L915*Assumptions!$B$11+M915*Assumptions!$B$12+N915*Assumptions!$B$13+O915*Assumptions!$B$14+P915*Assumptions!$B$15+Q915*Assumptions!$B$16</f>
        <v>0</v>
      </c>
      <c r="S915" s="13" t="str">
        <f>IF(R915&gt;=Assumptions!$B$20,"High",IF(R915&gt;=Assumptions!$B$21,"Medium",IF(R915&gt;=1,"Low","Clear")))</f>
        <v>Clear</v>
      </c>
      <c r="T915" s="13" t="str">
        <f t="shared" si="74"/>
        <v/>
      </c>
    </row>
    <row r="916" spans="1:20" x14ac:dyDescent="0.35">
      <c r="A916" s="13" t="s">
        <v>3727</v>
      </c>
      <c r="B916" s="13" t="s">
        <v>212</v>
      </c>
      <c r="C916" s="13" t="s">
        <v>213</v>
      </c>
      <c r="D916" s="13" t="s">
        <v>3728</v>
      </c>
      <c r="E916" s="14">
        <v>45968</v>
      </c>
      <c r="F916" s="14">
        <v>45999</v>
      </c>
      <c r="G916" s="15">
        <v>510949.56</v>
      </c>
      <c r="H916" s="13" t="s">
        <v>3729</v>
      </c>
      <c r="I916" s="13" t="s">
        <v>3730</v>
      </c>
      <c r="J916" s="13" t="s">
        <v>170</v>
      </c>
      <c r="K916" s="13">
        <f t="shared" si="70"/>
        <v>5</v>
      </c>
      <c r="L916" s="13">
        <f t="shared" si="71"/>
        <v>0</v>
      </c>
      <c r="M916" s="13">
        <f>IF(AND(L916=0,COUNTIFS($B$2:$B$1534,B916,$G$2:$G$1534,G916,$E$2:$E$1534,"&gt;="&amp;(E916-Assumptions!$B$5),$E$2:$E$1534,"&lt;="&amp;(E916+Assumptions!$B$5))&gt;1),1,0)</f>
        <v>0</v>
      </c>
      <c r="N916" s="13">
        <f>IF(AND(G916&gt;=Assumptions!$B$4*(1-Assumptions!$B$6),G916&lt;Assumptions!$B$4),1,0)</f>
        <v>0</v>
      </c>
      <c r="O916" s="13">
        <f>IF(AND(G916&gt;=Assumptions!$B$7,MOD(G916,Assumptions!$B$7)=0),1,0)</f>
        <v>0</v>
      </c>
      <c r="P916" s="13">
        <f t="shared" si="72"/>
        <v>0</v>
      </c>
      <c r="Q916" s="13">
        <f t="shared" si="73"/>
        <v>0</v>
      </c>
      <c r="R916" s="13">
        <f>L916*Assumptions!$B$11+M916*Assumptions!$B$12+N916*Assumptions!$B$13+O916*Assumptions!$B$14+P916*Assumptions!$B$15+Q916*Assumptions!$B$16</f>
        <v>0</v>
      </c>
      <c r="S916" s="13" t="str">
        <f>IF(R916&gt;=Assumptions!$B$20,"High",IF(R916&gt;=Assumptions!$B$21,"Medium",IF(R916&gt;=1,"Low","Clear")))</f>
        <v>Clear</v>
      </c>
      <c r="T916" s="13" t="str">
        <f t="shared" si="74"/>
        <v/>
      </c>
    </row>
    <row r="917" spans="1:20" x14ac:dyDescent="0.35">
      <c r="A917" s="13" t="s">
        <v>3731</v>
      </c>
      <c r="B917" s="13" t="s">
        <v>317</v>
      </c>
      <c r="C917" s="13" t="s">
        <v>318</v>
      </c>
      <c r="D917" s="13" t="s">
        <v>3732</v>
      </c>
      <c r="E917" s="14">
        <v>45969</v>
      </c>
      <c r="F917" s="14">
        <v>45999</v>
      </c>
      <c r="G917" s="15">
        <v>1123.76</v>
      </c>
      <c r="H917" s="13" t="s">
        <v>3733</v>
      </c>
      <c r="I917" s="13" t="s">
        <v>3734</v>
      </c>
      <c r="J917" s="13" t="s">
        <v>91</v>
      </c>
      <c r="K917" s="13">
        <f t="shared" si="70"/>
        <v>1</v>
      </c>
      <c r="L917" s="13">
        <f t="shared" si="71"/>
        <v>0</v>
      </c>
      <c r="M917" s="13">
        <f>IF(AND(L917=0,COUNTIFS($B$2:$B$1534,B917,$G$2:$G$1534,G917,$E$2:$E$1534,"&gt;="&amp;(E917-Assumptions!$B$5),$E$2:$E$1534,"&lt;="&amp;(E917+Assumptions!$B$5))&gt;1),1,0)</f>
        <v>0</v>
      </c>
      <c r="N917" s="13">
        <f>IF(AND(G917&gt;=Assumptions!$B$4*(1-Assumptions!$B$6),G917&lt;Assumptions!$B$4),1,0)</f>
        <v>0</v>
      </c>
      <c r="O917" s="13">
        <f>IF(AND(G917&gt;=Assumptions!$B$7,MOD(G917,Assumptions!$B$7)=0),1,0)</f>
        <v>0</v>
      </c>
      <c r="P917" s="13">
        <f t="shared" si="72"/>
        <v>0</v>
      </c>
      <c r="Q917" s="13">
        <f t="shared" si="73"/>
        <v>0</v>
      </c>
      <c r="R917" s="13">
        <f>L917*Assumptions!$B$11+M917*Assumptions!$B$12+N917*Assumptions!$B$13+O917*Assumptions!$B$14+P917*Assumptions!$B$15+Q917*Assumptions!$B$16</f>
        <v>0</v>
      </c>
      <c r="S917" s="13" t="str">
        <f>IF(R917&gt;=Assumptions!$B$20,"High",IF(R917&gt;=Assumptions!$B$21,"Medium",IF(R917&gt;=1,"Low","Clear")))</f>
        <v>Clear</v>
      </c>
      <c r="T917" s="13" t="str">
        <f t="shared" si="74"/>
        <v/>
      </c>
    </row>
    <row r="918" spans="1:20" x14ac:dyDescent="0.35">
      <c r="A918" s="13" t="s">
        <v>3735</v>
      </c>
      <c r="B918" s="13" t="s">
        <v>100</v>
      </c>
      <c r="C918" s="13" t="s">
        <v>101</v>
      </c>
      <c r="D918" s="13" t="s">
        <v>3736</v>
      </c>
      <c r="E918" s="14">
        <v>45977</v>
      </c>
      <c r="F918" s="14">
        <v>45999</v>
      </c>
      <c r="G918" s="15">
        <v>1901.78</v>
      </c>
      <c r="H918" s="13" t="s">
        <v>3737</v>
      </c>
      <c r="I918" s="13" t="s">
        <v>3738</v>
      </c>
      <c r="J918" s="13" t="s">
        <v>136</v>
      </c>
      <c r="K918" s="13">
        <f t="shared" si="70"/>
        <v>1</v>
      </c>
      <c r="L918" s="13">
        <f t="shared" si="71"/>
        <v>0</v>
      </c>
      <c r="M918" s="13">
        <f>IF(AND(L918=0,COUNTIFS($B$2:$B$1534,B918,$G$2:$G$1534,G918,$E$2:$E$1534,"&gt;="&amp;(E918-Assumptions!$B$5),$E$2:$E$1534,"&lt;="&amp;(E918+Assumptions!$B$5))&gt;1),1,0)</f>
        <v>0</v>
      </c>
      <c r="N918" s="13">
        <f>IF(AND(G918&gt;=Assumptions!$B$4*(1-Assumptions!$B$6),G918&lt;Assumptions!$B$4),1,0)</f>
        <v>0</v>
      </c>
      <c r="O918" s="13">
        <f>IF(AND(G918&gt;=Assumptions!$B$7,MOD(G918,Assumptions!$B$7)=0),1,0)</f>
        <v>0</v>
      </c>
      <c r="P918" s="13">
        <f t="shared" si="72"/>
        <v>0</v>
      </c>
      <c r="Q918" s="13">
        <f t="shared" si="73"/>
        <v>0</v>
      </c>
      <c r="R918" s="13">
        <f>L918*Assumptions!$B$11+M918*Assumptions!$B$12+N918*Assumptions!$B$13+O918*Assumptions!$B$14+P918*Assumptions!$B$15+Q918*Assumptions!$B$16</f>
        <v>0</v>
      </c>
      <c r="S918" s="13" t="str">
        <f>IF(R918&gt;=Assumptions!$B$20,"High",IF(R918&gt;=Assumptions!$B$21,"Medium",IF(R918&gt;=1,"Low","Clear")))</f>
        <v>Clear</v>
      </c>
      <c r="T918" s="13" t="str">
        <f t="shared" si="74"/>
        <v/>
      </c>
    </row>
    <row r="919" spans="1:20" x14ac:dyDescent="0.35">
      <c r="A919" s="13" t="s">
        <v>3739</v>
      </c>
      <c r="B919" s="13" t="s">
        <v>138</v>
      </c>
      <c r="C919" s="13" t="s">
        <v>139</v>
      </c>
      <c r="D919" s="13" t="s">
        <v>3740</v>
      </c>
      <c r="E919" s="14">
        <v>45965</v>
      </c>
      <c r="F919" s="14">
        <v>45999</v>
      </c>
      <c r="G919" s="15">
        <v>1920.67</v>
      </c>
      <c r="H919" s="13" t="s">
        <v>3741</v>
      </c>
      <c r="I919" s="13" t="s">
        <v>3742</v>
      </c>
      <c r="J919" s="13" t="s">
        <v>170</v>
      </c>
      <c r="K919" s="13">
        <f t="shared" si="70"/>
        <v>1</v>
      </c>
      <c r="L919" s="13">
        <f t="shared" si="71"/>
        <v>0</v>
      </c>
      <c r="M919" s="13">
        <f>IF(AND(L919=0,COUNTIFS($B$2:$B$1534,B919,$G$2:$G$1534,G919,$E$2:$E$1534,"&gt;="&amp;(E919-Assumptions!$B$5),$E$2:$E$1534,"&lt;="&amp;(E919+Assumptions!$B$5))&gt;1),1,0)</f>
        <v>0</v>
      </c>
      <c r="N919" s="13">
        <f>IF(AND(G919&gt;=Assumptions!$B$4*(1-Assumptions!$B$6),G919&lt;Assumptions!$B$4),1,0)</f>
        <v>0</v>
      </c>
      <c r="O919" s="13">
        <f>IF(AND(G919&gt;=Assumptions!$B$7,MOD(G919,Assumptions!$B$7)=0),1,0)</f>
        <v>0</v>
      </c>
      <c r="P919" s="13">
        <f t="shared" si="72"/>
        <v>0</v>
      </c>
      <c r="Q919" s="13">
        <f t="shared" si="73"/>
        <v>0</v>
      </c>
      <c r="R919" s="13">
        <f>L919*Assumptions!$B$11+M919*Assumptions!$B$12+N919*Assumptions!$B$13+O919*Assumptions!$B$14+P919*Assumptions!$B$15+Q919*Assumptions!$B$16</f>
        <v>0</v>
      </c>
      <c r="S919" s="13" t="str">
        <f>IF(R919&gt;=Assumptions!$B$20,"High",IF(R919&gt;=Assumptions!$B$21,"Medium",IF(R919&gt;=1,"Low","Clear")))</f>
        <v>Clear</v>
      </c>
      <c r="T919" s="13" t="str">
        <f t="shared" si="74"/>
        <v/>
      </c>
    </row>
    <row r="920" spans="1:20" x14ac:dyDescent="0.35">
      <c r="A920" s="13" t="s">
        <v>3743</v>
      </c>
      <c r="B920" s="13" t="s">
        <v>228</v>
      </c>
      <c r="C920" s="13" t="s">
        <v>229</v>
      </c>
      <c r="D920" s="13" t="s">
        <v>3744</v>
      </c>
      <c r="E920" s="14">
        <v>45975</v>
      </c>
      <c r="F920" s="14">
        <v>46000</v>
      </c>
      <c r="G920" s="15">
        <v>120782.35</v>
      </c>
      <c r="H920" s="13" t="s">
        <v>3745</v>
      </c>
      <c r="I920" s="13" t="s">
        <v>3746</v>
      </c>
      <c r="J920" s="13" t="s">
        <v>170</v>
      </c>
      <c r="K920" s="13">
        <f t="shared" si="70"/>
        <v>1</v>
      </c>
      <c r="L920" s="13">
        <f t="shared" si="71"/>
        <v>0</v>
      </c>
      <c r="M920" s="13">
        <f>IF(AND(L920=0,COUNTIFS($B$2:$B$1534,B920,$G$2:$G$1534,G920,$E$2:$E$1534,"&gt;="&amp;(E920-Assumptions!$B$5),$E$2:$E$1534,"&lt;="&amp;(E920+Assumptions!$B$5))&gt;1),1,0)</f>
        <v>0</v>
      </c>
      <c r="N920" s="13">
        <f>IF(AND(G920&gt;=Assumptions!$B$4*(1-Assumptions!$B$6),G920&lt;Assumptions!$B$4),1,0)</f>
        <v>0</v>
      </c>
      <c r="O920" s="13">
        <f>IF(AND(G920&gt;=Assumptions!$B$7,MOD(G920,Assumptions!$B$7)=0),1,0)</f>
        <v>0</v>
      </c>
      <c r="P920" s="13">
        <f t="shared" si="72"/>
        <v>0</v>
      </c>
      <c r="Q920" s="13">
        <f t="shared" si="73"/>
        <v>0</v>
      </c>
      <c r="R920" s="13">
        <f>L920*Assumptions!$B$11+M920*Assumptions!$B$12+N920*Assumptions!$B$13+O920*Assumptions!$B$14+P920*Assumptions!$B$15+Q920*Assumptions!$B$16</f>
        <v>0</v>
      </c>
      <c r="S920" s="13" t="str">
        <f>IF(R920&gt;=Assumptions!$B$20,"High",IF(R920&gt;=Assumptions!$B$21,"Medium",IF(R920&gt;=1,"Low","Clear")))</f>
        <v>Clear</v>
      </c>
      <c r="T920" s="13" t="str">
        <f t="shared" si="74"/>
        <v/>
      </c>
    </row>
    <row r="921" spans="1:20" x14ac:dyDescent="0.35">
      <c r="A921" s="13" t="s">
        <v>3747</v>
      </c>
      <c r="B921" s="13" t="s">
        <v>106</v>
      </c>
      <c r="C921" s="13" t="s">
        <v>107</v>
      </c>
      <c r="D921" s="13" t="s">
        <v>3748</v>
      </c>
      <c r="E921" s="14">
        <v>45979</v>
      </c>
      <c r="F921" s="14">
        <v>46000</v>
      </c>
      <c r="G921" s="15">
        <v>1006.94</v>
      </c>
      <c r="H921" s="13" t="s">
        <v>3749</v>
      </c>
      <c r="I921" s="13" t="s">
        <v>3750</v>
      </c>
      <c r="J921" s="13" t="s">
        <v>170</v>
      </c>
      <c r="K921" s="13">
        <f t="shared" si="70"/>
        <v>1</v>
      </c>
      <c r="L921" s="13">
        <f t="shared" si="71"/>
        <v>0</v>
      </c>
      <c r="M921" s="13">
        <f>IF(AND(L921=0,COUNTIFS($B$2:$B$1534,B921,$G$2:$G$1534,G921,$E$2:$E$1534,"&gt;="&amp;(E921-Assumptions!$B$5),$E$2:$E$1534,"&lt;="&amp;(E921+Assumptions!$B$5))&gt;1),1,0)</f>
        <v>0</v>
      </c>
      <c r="N921" s="13">
        <f>IF(AND(G921&gt;=Assumptions!$B$4*(1-Assumptions!$B$6),G921&lt;Assumptions!$B$4),1,0)</f>
        <v>0</v>
      </c>
      <c r="O921" s="13">
        <f>IF(AND(G921&gt;=Assumptions!$B$7,MOD(G921,Assumptions!$B$7)=0),1,0)</f>
        <v>0</v>
      </c>
      <c r="P921" s="13">
        <f t="shared" si="72"/>
        <v>0</v>
      </c>
      <c r="Q921" s="13">
        <f t="shared" si="73"/>
        <v>0</v>
      </c>
      <c r="R921" s="13">
        <f>L921*Assumptions!$B$11+M921*Assumptions!$B$12+N921*Assumptions!$B$13+O921*Assumptions!$B$14+P921*Assumptions!$B$15+Q921*Assumptions!$B$16</f>
        <v>0</v>
      </c>
      <c r="S921" s="13" t="str">
        <f>IF(R921&gt;=Assumptions!$B$20,"High",IF(R921&gt;=Assumptions!$B$21,"Medium",IF(R921&gt;=1,"Low","Clear")))</f>
        <v>Clear</v>
      </c>
      <c r="T921" s="13" t="str">
        <f t="shared" si="74"/>
        <v/>
      </c>
    </row>
    <row r="922" spans="1:20" x14ac:dyDescent="0.35">
      <c r="A922" s="13" t="s">
        <v>3751</v>
      </c>
      <c r="B922" s="13" t="s">
        <v>680</v>
      </c>
      <c r="C922" s="13" t="s">
        <v>681</v>
      </c>
      <c r="D922" s="13" t="s">
        <v>3752</v>
      </c>
      <c r="E922" s="14">
        <v>45972</v>
      </c>
      <c r="F922" s="14">
        <v>46001</v>
      </c>
      <c r="G922" s="15">
        <v>311777.96999999997</v>
      </c>
      <c r="H922" s="13" t="s">
        <v>3753</v>
      </c>
      <c r="I922" s="13" t="s">
        <v>3754</v>
      </c>
      <c r="J922" s="13" t="s">
        <v>136</v>
      </c>
      <c r="K922" s="13">
        <f t="shared" si="70"/>
        <v>3</v>
      </c>
      <c r="L922" s="13">
        <f t="shared" si="71"/>
        <v>0</v>
      </c>
      <c r="M922" s="13">
        <f>IF(AND(L922=0,COUNTIFS($B$2:$B$1534,B922,$G$2:$G$1534,G922,$E$2:$E$1534,"&gt;="&amp;(E922-Assumptions!$B$5),$E$2:$E$1534,"&lt;="&amp;(E922+Assumptions!$B$5))&gt;1),1,0)</f>
        <v>0</v>
      </c>
      <c r="N922" s="13">
        <f>IF(AND(G922&gt;=Assumptions!$B$4*(1-Assumptions!$B$6),G922&lt;Assumptions!$B$4),1,0)</f>
        <v>0</v>
      </c>
      <c r="O922" s="13">
        <f>IF(AND(G922&gt;=Assumptions!$B$7,MOD(G922,Assumptions!$B$7)=0),1,0)</f>
        <v>0</v>
      </c>
      <c r="P922" s="13">
        <f t="shared" si="72"/>
        <v>0</v>
      </c>
      <c r="Q922" s="13">
        <f t="shared" si="73"/>
        <v>0</v>
      </c>
      <c r="R922" s="13">
        <f>L922*Assumptions!$B$11+M922*Assumptions!$B$12+N922*Assumptions!$B$13+O922*Assumptions!$B$14+P922*Assumptions!$B$15+Q922*Assumptions!$B$16</f>
        <v>0</v>
      </c>
      <c r="S922" s="13" t="str">
        <f>IF(R922&gt;=Assumptions!$B$20,"High",IF(R922&gt;=Assumptions!$B$21,"Medium",IF(R922&gt;=1,"Low","Clear")))</f>
        <v>Clear</v>
      </c>
      <c r="T922" s="13" t="str">
        <f t="shared" si="74"/>
        <v/>
      </c>
    </row>
    <row r="923" spans="1:20" x14ac:dyDescent="0.35">
      <c r="A923" s="13" t="s">
        <v>3755</v>
      </c>
      <c r="B923" s="13" t="s">
        <v>113</v>
      </c>
      <c r="C923" s="13" t="s">
        <v>114</v>
      </c>
      <c r="D923" s="13" t="s">
        <v>3756</v>
      </c>
      <c r="E923" s="14">
        <v>45970</v>
      </c>
      <c r="F923" s="14">
        <v>46001</v>
      </c>
      <c r="G923" s="15">
        <v>935120.91</v>
      </c>
      <c r="H923" s="13" t="s">
        <v>3757</v>
      </c>
      <c r="I923" s="13" t="s">
        <v>3758</v>
      </c>
      <c r="J923" s="13" t="s">
        <v>91</v>
      </c>
      <c r="K923" s="13">
        <f t="shared" si="70"/>
        <v>9</v>
      </c>
      <c r="L923" s="13">
        <f t="shared" si="71"/>
        <v>0</v>
      </c>
      <c r="M923" s="13">
        <f>IF(AND(L923=0,COUNTIFS($B$2:$B$1534,B923,$G$2:$G$1534,G923,$E$2:$E$1534,"&gt;="&amp;(E923-Assumptions!$B$5),$E$2:$E$1534,"&lt;="&amp;(E923+Assumptions!$B$5))&gt;1),1,0)</f>
        <v>0</v>
      </c>
      <c r="N923" s="13">
        <f>IF(AND(G923&gt;=Assumptions!$B$4*(1-Assumptions!$B$6),G923&lt;Assumptions!$B$4),1,0)</f>
        <v>0</v>
      </c>
      <c r="O923" s="13">
        <f>IF(AND(G923&gt;=Assumptions!$B$7,MOD(G923,Assumptions!$B$7)=0),1,0)</f>
        <v>0</v>
      </c>
      <c r="P923" s="13">
        <f t="shared" si="72"/>
        <v>0</v>
      </c>
      <c r="Q923" s="13">
        <f t="shared" si="73"/>
        <v>0</v>
      </c>
      <c r="R923" s="13">
        <f>L923*Assumptions!$B$11+M923*Assumptions!$B$12+N923*Assumptions!$B$13+O923*Assumptions!$B$14+P923*Assumptions!$B$15+Q923*Assumptions!$B$16</f>
        <v>0</v>
      </c>
      <c r="S923" s="13" t="str">
        <f>IF(R923&gt;=Assumptions!$B$20,"High",IF(R923&gt;=Assumptions!$B$21,"Medium",IF(R923&gt;=1,"Low","Clear")))</f>
        <v>Clear</v>
      </c>
      <c r="T923" s="13" t="str">
        <f t="shared" si="74"/>
        <v/>
      </c>
    </row>
    <row r="924" spans="1:20" x14ac:dyDescent="0.35">
      <c r="A924" s="13" t="s">
        <v>3759</v>
      </c>
      <c r="B924" s="13" t="s">
        <v>218</v>
      </c>
      <c r="C924" s="13" t="s">
        <v>219</v>
      </c>
      <c r="D924" s="13" t="s">
        <v>3760</v>
      </c>
      <c r="E924" s="14">
        <v>45962</v>
      </c>
      <c r="F924" s="14">
        <v>46001</v>
      </c>
      <c r="G924" s="15">
        <v>2591.8000000000002</v>
      </c>
      <c r="H924" s="13" t="s">
        <v>3761</v>
      </c>
      <c r="I924" s="13" t="s">
        <v>3762</v>
      </c>
      <c r="J924" s="13" t="s">
        <v>143</v>
      </c>
      <c r="K924" s="13">
        <f t="shared" si="70"/>
        <v>2</v>
      </c>
      <c r="L924" s="13">
        <f t="shared" si="71"/>
        <v>0</v>
      </c>
      <c r="M924" s="13">
        <f>IF(AND(L924=0,COUNTIFS($B$2:$B$1534,B924,$G$2:$G$1534,G924,$E$2:$E$1534,"&gt;="&amp;(E924-Assumptions!$B$5),$E$2:$E$1534,"&lt;="&amp;(E924+Assumptions!$B$5))&gt;1),1,0)</f>
        <v>0</v>
      </c>
      <c r="N924" s="13">
        <f>IF(AND(G924&gt;=Assumptions!$B$4*(1-Assumptions!$B$6),G924&lt;Assumptions!$B$4),1,0)</f>
        <v>0</v>
      </c>
      <c r="O924" s="13">
        <f>IF(AND(G924&gt;=Assumptions!$B$7,MOD(G924,Assumptions!$B$7)=0),1,0)</f>
        <v>0</v>
      </c>
      <c r="P924" s="13">
        <f t="shared" si="72"/>
        <v>0</v>
      </c>
      <c r="Q924" s="13">
        <f t="shared" si="73"/>
        <v>0</v>
      </c>
      <c r="R924" s="13">
        <f>L924*Assumptions!$B$11+M924*Assumptions!$B$12+N924*Assumptions!$B$13+O924*Assumptions!$B$14+P924*Assumptions!$B$15+Q924*Assumptions!$B$16</f>
        <v>0</v>
      </c>
      <c r="S924" s="13" t="str">
        <f>IF(R924&gt;=Assumptions!$B$20,"High",IF(R924&gt;=Assumptions!$B$21,"Medium",IF(R924&gt;=1,"Low","Clear")))</f>
        <v>Clear</v>
      </c>
      <c r="T924" s="13" t="str">
        <f t="shared" si="74"/>
        <v/>
      </c>
    </row>
    <row r="925" spans="1:20" x14ac:dyDescent="0.35">
      <c r="A925" s="13" t="s">
        <v>3763</v>
      </c>
      <c r="B925" s="13" t="s">
        <v>106</v>
      </c>
      <c r="C925" s="13" t="s">
        <v>107</v>
      </c>
      <c r="D925" s="13" t="s">
        <v>3764</v>
      </c>
      <c r="E925" s="14">
        <v>45969</v>
      </c>
      <c r="F925" s="14">
        <v>46001</v>
      </c>
      <c r="G925" s="15">
        <v>3874.27</v>
      </c>
      <c r="H925" s="13" t="s">
        <v>3765</v>
      </c>
      <c r="I925" s="13" t="s">
        <v>3766</v>
      </c>
      <c r="J925" s="13" t="s">
        <v>98</v>
      </c>
      <c r="K925" s="13">
        <f t="shared" si="70"/>
        <v>3</v>
      </c>
      <c r="L925" s="13">
        <f t="shared" si="71"/>
        <v>0</v>
      </c>
      <c r="M925" s="13">
        <f>IF(AND(L925=0,COUNTIFS($B$2:$B$1534,B925,$G$2:$G$1534,G925,$E$2:$E$1534,"&gt;="&amp;(E925-Assumptions!$B$5),$E$2:$E$1534,"&lt;="&amp;(E925+Assumptions!$B$5))&gt;1),1,0)</f>
        <v>0</v>
      </c>
      <c r="N925" s="13">
        <f>IF(AND(G925&gt;=Assumptions!$B$4*(1-Assumptions!$B$6),G925&lt;Assumptions!$B$4),1,0)</f>
        <v>0</v>
      </c>
      <c r="O925" s="13">
        <f>IF(AND(G925&gt;=Assumptions!$B$7,MOD(G925,Assumptions!$B$7)=0),1,0)</f>
        <v>0</v>
      </c>
      <c r="P925" s="13">
        <f t="shared" si="72"/>
        <v>0</v>
      </c>
      <c r="Q925" s="13">
        <f t="shared" si="73"/>
        <v>0</v>
      </c>
      <c r="R925" s="13">
        <f>L925*Assumptions!$B$11+M925*Assumptions!$B$12+N925*Assumptions!$B$13+O925*Assumptions!$B$14+P925*Assumptions!$B$15+Q925*Assumptions!$B$16</f>
        <v>0</v>
      </c>
      <c r="S925" s="13" t="str">
        <f>IF(R925&gt;=Assumptions!$B$20,"High",IF(R925&gt;=Assumptions!$B$21,"Medium",IF(R925&gt;=1,"Low","Clear")))</f>
        <v>Clear</v>
      </c>
      <c r="T925" s="13" t="str">
        <f t="shared" si="74"/>
        <v/>
      </c>
    </row>
    <row r="926" spans="1:20" x14ac:dyDescent="0.35">
      <c r="A926" s="13" t="s">
        <v>3767</v>
      </c>
      <c r="B926" s="13" t="s">
        <v>228</v>
      </c>
      <c r="C926" s="13" t="s">
        <v>229</v>
      </c>
      <c r="D926" s="13" t="s">
        <v>3768</v>
      </c>
      <c r="E926" s="14">
        <v>45974</v>
      </c>
      <c r="F926" s="14">
        <v>46002</v>
      </c>
      <c r="G926" s="15">
        <v>2041.09</v>
      </c>
      <c r="H926" s="13" t="s">
        <v>3769</v>
      </c>
      <c r="I926" s="13" t="s">
        <v>3770</v>
      </c>
      <c r="J926" s="13" t="s">
        <v>91</v>
      </c>
      <c r="K926" s="13">
        <f t="shared" si="70"/>
        <v>2</v>
      </c>
      <c r="L926" s="13">
        <f t="shared" si="71"/>
        <v>0</v>
      </c>
      <c r="M926" s="13">
        <f>IF(AND(L926=0,COUNTIFS($B$2:$B$1534,B926,$G$2:$G$1534,G926,$E$2:$E$1534,"&gt;="&amp;(E926-Assumptions!$B$5),$E$2:$E$1534,"&lt;="&amp;(E926+Assumptions!$B$5))&gt;1),1,0)</f>
        <v>0</v>
      </c>
      <c r="N926" s="13">
        <f>IF(AND(G926&gt;=Assumptions!$B$4*(1-Assumptions!$B$6),G926&lt;Assumptions!$B$4),1,0)</f>
        <v>0</v>
      </c>
      <c r="O926" s="13">
        <f>IF(AND(G926&gt;=Assumptions!$B$7,MOD(G926,Assumptions!$B$7)=0),1,0)</f>
        <v>0</v>
      </c>
      <c r="P926" s="13">
        <f t="shared" si="72"/>
        <v>0</v>
      </c>
      <c r="Q926" s="13">
        <f t="shared" si="73"/>
        <v>0</v>
      </c>
      <c r="R926" s="13">
        <f>L926*Assumptions!$B$11+M926*Assumptions!$B$12+N926*Assumptions!$B$13+O926*Assumptions!$B$14+P926*Assumptions!$B$15+Q926*Assumptions!$B$16</f>
        <v>0</v>
      </c>
      <c r="S926" s="13" t="str">
        <f>IF(R926&gt;=Assumptions!$B$20,"High",IF(R926&gt;=Assumptions!$B$21,"Medium",IF(R926&gt;=1,"Low","Clear")))</f>
        <v>Clear</v>
      </c>
      <c r="T926" s="13" t="str">
        <f t="shared" si="74"/>
        <v/>
      </c>
    </row>
    <row r="927" spans="1:20" x14ac:dyDescent="0.35">
      <c r="A927" s="13" t="s">
        <v>3771</v>
      </c>
      <c r="B927" s="13" t="s">
        <v>670</v>
      </c>
      <c r="C927" s="13" t="s">
        <v>671</v>
      </c>
      <c r="D927" s="13" t="s">
        <v>3772</v>
      </c>
      <c r="E927" s="14">
        <v>45980</v>
      </c>
      <c r="F927" s="14">
        <v>46002</v>
      </c>
      <c r="G927" s="15">
        <v>97343.33</v>
      </c>
      <c r="H927" s="13" t="s">
        <v>3773</v>
      </c>
      <c r="I927" s="13" t="s">
        <v>3774</v>
      </c>
      <c r="J927" s="13" t="s">
        <v>91</v>
      </c>
      <c r="K927" s="13">
        <f t="shared" si="70"/>
        <v>9</v>
      </c>
      <c r="L927" s="13">
        <f t="shared" si="71"/>
        <v>0</v>
      </c>
      <c r="M927" s="13">
        <f>IF(AND(L927=0,COUNTIFS($B$2:$B$1534,B927,$G$2:$G$1534,G927,$E$2:$E$1534,"&gt;="&amp;(E927-Assumptions!$B$5),$E$2:$E$1534,"&lt;="&amp;(E927+Assumptions!$B$5))&gt;1),1,0)</f>
        <v>0</v>
      </c>
      <c r="N927" s="13">
        <f>IF(AND(G927&gt;=Assumptions!$B$4*(1-Assumptions!$B$6),G927&lt;Assumptions!$B$4),1,0)</f>
        <v>0</v>
      </c>
      <c r="O927" s="13">
        <f>IF(AND(G927&gt;=Assumptions!$B$7,MOD(G927,Assumptions!$B$7)=0),1,0)</f>
        <v>0</v>
      </c>
      <c r="P927" s="13">
        <f t="shared" si="72"/>
        <v>0</v>
      </c>
      <c r="Q927" s="13">
        <f t="shared" si="73"/>
        <v>0</v>
      </c>
      <c r="R927" s="13">
        <f>L927*Assumptions!$B$11+M927*Assumptions!$B$12+N927*Assumptions!$B$13+O927*Assumptions!$B$14+P927*Assumptions!$B$15+Q927*Assumptions!$B$16</f>
        <v>0</v>
      </c>
      <c r="S927" s="13" t="str">
        <f>IF(R927&gt;=Assumptions!$B$20,"High",IF(R927&gt;=Assumptions!$B$21,"Medium",IF(R927&gt;=1,"Low","Clear")))</f>
        <v>Clear</v>
      </c>
      <c r="T927" s="13" t="str">
        <f t="shared" si="74"/>
        <v/>
      </c>
    </row>
    <row r="928" spans="1:20" x14ac:dyDescent="0.35">
      <c r="A928" s="13" t="s">
        <v>3775</v>
      </c>
      <c r="B928" s="13" t="s">
        <v>317</v>
      </c>
      <c r="C928" s="13" t="s">
        <v>318</v>
      </c>
      <c r="D928" s="13" t="s">
        <v>3776</v>
      </c>
      <c r="E928" s="14">
        <v>45967</v>
      </c>
      <c r="F928" s="14">
        <v>46002</v>
      </c>
      <c r="G928" s="15">
        <v>14123.73</v>
      </c>
      <c r="H928" s="13" t="s">
        <v>3777</v>
      </c>
      <c r="I928" s="13" t="s">
        <v>3778</v>
      </c>
      <c r="J928" s="13" t="s">
        <v>143</v>
      </c>
      <c r="K928" s="13">
        <f t="shared" si="70"/>
        <v>1</v>
      </c>
      <c r="L928" s="13">
        <f t="shared" si="71"/>
        <v>0</v>
      </c>
      <c r="M928" s="13">
        <f>IF(AND(L928=0,COUNTIFS($B$2:$B$1534,B928,$G$2:$G$1534,G928,$E$2:$E$1534,"&gt;="&amp;(E928-Assumptions!$B$5),$E$2:$E$1534,"&lt;="&amp;(E928+Assumptions!$B$5))&gt;1),1,0)</f>
        <v>0</v>
      </c>
      <c r="N928" s="13">
        <f>IF(AND(G928&gt;=Assumptions!$B$4*(1-Assumptions!$B$6),G928&lt;Assumptions!$B$4),1,0)</f>
        <v>0</v>
      </c>
      <c r="O928" s="13">
        <f>IF(AND(G928&gt;=Assumptions!$B$7,MOD(G928,Assumptions!$B$7)=0),1,0)</f>
        <v>0</v>
      </c>
      <c r="P928" s="13">
        <f t="shared" si="72"/>
        <v>0</v>
      </c>
      <c r="Q928" s="13">
        <f t="shared" si="73"/>
        <v>0</v>
      </c>
      <c r="R928" s="13">
        <f>L928*Assumptions!$B$11+M928*Assumptions!$B$12+N928*Assumptions!$B$13+O928*Assumptions!$B$14+P928*Assumptions!$B$15+Q928*Assumptions!$B$16</f>
        <v>0</v>
      </c>
      <c r="S928" s="13" t="str">
        <f>IF(R928&gt;=Assumptions!$B$20,"High",IF(R928&gt;=Assumptions!$B$21,"Medium",IF(R928&gt;=1,"Low","Clear")))</f>
        <v>Clear</v>
      </c>
      <c r="T928" s="13" t="str">
        <f t="shared" si="74"/>
        <v/>
      </c>
    </row>
    <row r="929" spans="1:20" x14ac:dyDescent="0.35">
      <c r="A929" s="13" t="s">
        <v>3779</v>
      </c>
      <c r="B929" s="13" t="s">
        <v>155</v>
      </c>
      <c r="C929" s="13" t="s">
        <v>156</v>
      </c>
      <c r="D929" s="13" t="s">
        <v>3780</v>
      </c>
      <c r="E929" s="14">
        <v>45981</v>
      </c>
      <c r="F929" s="14">
        <v>46002</v>
      </c>
      <c r="G929" s="15">
        <v>429872.65</v>
      </c>
      <c r="H929" s="13" t="s">
        <v>3781</v>
      </c>
      <c r="I929" s="13" t="s">
        <v>3782</v>
      </c>
      <c r="J929" s="13" t="s">
        <v>91</v>
      </c>
      <c r="K929" s="13">
        <f t="shared" si="70"/>
        <v>4</v>
      </c>
      <c r="L929" s="13">
        <f t="shared" si="71"/>
        <v>0</v>
      </c>
      <c r="M929" s="13">
        <f>IF(AND(L929=0,COUNTIFS($B$2:$B$1534,B929,$G$2:$G$1534,G929,$E$2:$E$1534,"&gt;="&amp;(E929-Assumptions!$B$5),$E$2:$E$1534,"&lt;="&amp;(E929+Assumptions!$B$5))&gt;1),1,0)</f>
        <v>0</v>
      </c>
      <c r="N929" s="13">
        <f>IF(AND(G929&gt;=Assumptions!$B$4*(1-Assumptions!$B$6),G929&lt;Assumptions!$B$4),1,0)</f>
        <v>0</v>
      </c>
      <c r="O929" s="13">
        <f>IF(AND(G929&gt;=Assumptions!$B$7,MOD(G929,Assumptions!$B$7)=0),1,0)</f>
        <v>0</v>
      </c>
      <c r="P929" s="13">
        <f t="shared" si="72"/>
        <v>0</v>
      </c>
      <c r="Q929" s="13">
        <f t="shared" si="73"/>
        <v>0</v>
      </c>
      <c r="R929" s="13">
        <f>L929*Assumptions!$B$11+M929*Assumptions!$B$12+N929*Assumptions!$B$13+O929*Assumptions!$B$14+P929*Assumptions!$B$15+Q929*Assumptions!$B$16</f>
        <v>0</v>
      </c>
      <c r="S929" s="13" t="str">
        <f>IF(R929&gt;=Assumptions!$B$20,"High",IF(R929&gt;=Assumptions!$B$21,"Medium",IF(R929&gt;=1,"Low","Clear")))</f>
        <v>Clear</v>
      </c>
      <c r="T929" s="13" t="str">
        <f t="shared" si="74"/>
        <v/>
      </c>
    </row>
    <row r="930" spans="1:20" x14ac:dyDescent="0.35">
      <c r="A930" s="13" t="s">
        <v>3783</v>
      </c>
      <c r="B930" s="13" t="s">
        <v>161</v>
      </c>
      <c r="C930" s="13" t="s">
        <v>162</v>
      </c>
      <c r="D930" s="13" t="s">
        <v>3784</v>
      </c>
      <c r="E930" s="14">
        <v>45969</v>
      </c>
      <c r="F930" s="14">
        <v>46002</v>
      </c>
      <c r="G930" s="15">
        <v>12662.98</v>
      </c>
      <c r="H930" s="13" t="s">
        <v>3785</v>
      </c>
      <c r="I930" s="13" t="s">
        <v>3786</v>
      </c>
      <c r="J930" s="13" t="s">
        <v>170</v>
      </c>
      <c r="K930" s="13">
        <f t="shared" si="70"/>
        <v>1</v>
      </c>
      <c r="L930" s="13">
        <f t="shared" si="71"/>
        <v>0</v>
      </c>
      <c r="M930" s="13">
        <f>IF(AND(L930=0,COUNTIFS($B$2:$B$1534,B930,$G$2:$G$1534,G930,$E$2:$E$1534,"&gt;="&amp;(E930-Assumptions!$B$5),$E$2:$E$1534,"&lt;="&amp;(E930+Assumptions!$B$5))&gt;1),1,0)</f>
        <v>0</v>
      </c>
      <c r="N930" s="13">
        <f>IF(AND(G930&gt;=Assumptions!$B$4*(1-Assumptions!$B$6),G930&lt;Assumptions!$B$4),1,0)</f>
        <v>0</v>
      </c>
      <c r="O930" s="13">
        <f>IF(AND(G930&gt;=Assumptions!$B$7,MOD(G930,Assumptions!$B$7)=0),1,0)</f>
        <v>0</v>
      </c>
      <c r="P930" s="13">
        <f t="shared" si="72"/>
        <v>0</v>
      </c>
      <c r="Q930" s="13">
        <f t="shared" si="73"/>
        <v>0</v>
      </c>
      <c r="R930" s="13">
        <f>L930*Assumptions!$B$11+M930*Assumptions!$B$12+N930*Assumptions!$B$13+O930*Assumptions!$B$14+P930*Assumptions!$B$15+Q930*Assumptions!$B$16</f>
        <v>0</v>
      </c>
      <c r="S930" s="13" t="str">
        <f>IF(R930&gt;=Assumptions!$B$20,"High",IF(R930&gt;=Assumptions!$B$21,"Medium",IF(R930&gt;=1,"Low","Clear")))</f>
        <v>Clear</v>
      </c>
      <c r="T930" s="13" t="str">
        <f t="shared" si="74"/>
        <v/>
      </c>
    </row>
    <row r="931" spans="1:20" x14ac:dyDescent="0.35">
      <c r="A931" s="13" t="s">
        <v>3787</v>
      </c>
      <c r="B931" s="13" t="s">
        <v>138</v>
      </c>
      <c r="C931" s="13" t="s">
        <v>139</v>
      </c>
      <c r="D931" s="13" t="s">
        <v>3788</v>
      </c>
      <c r="E931" s="14">
        <v>45965</v>
      </c>
      <c r="F931" s="14">
        <v>46002</v>
      </c>
      <c r="G931" s="15">
        <v>288545.48</v>
      </c>
      <c r="H931" s="13" t="s">
        <v>3789</v>
      </c>
      <c r="I931" s="13" t="s">
        <v>3790</v>
      </c>
      <c r="J931" s="13" t="s">
        <v>143</v>
      </c>
      <c r="K931" s="13">
        <f t="shared" si="70"/>
        <v>2</v>
      </c>
      <c r="L931" s="13">
        <f t="shared" si="71"/>
        <v>0</v>
      </c>
      <c r="M931" s="13">
        <f>IF(AND(L931=0,COUNTIFS($B$2:$B$1534,B931,$G$2:$G$1534,G931,$E$2:$E$1534,"&gt;="&amp;(E931-Assumptions!$B$5),$E$2:$E$1534,"&lt;="&amp;(E931+Assumptions!$B$5))&gt;1),1,0)</f>
        <v>0</v>
      </c>
      <c r="N931" s="13">
        <f>IF(AND(G931&gt;=Assumptions!$B$4*(1-Assumptions!$B$6),G931&lt;Assumptions!$B$4),1,0)</f>
        <v>0</v>
      </c>
      <c r="O931" s="13">
        <f>IF(AND(G931&gt;=Assumptions!$B$7,MOD(G931,Assumptions!$B$7)=0),1,0)</f>
        <v>0</v>
      </c>
      <c r="P931" s="13">
        <f t="shared" si="72"/>
        <v>0</v>
      </c>
      <c r="Q931" s="13">
        <f t="shared" si="73"/>
        <v>0</v>
      </c>
      <c r="R931" s="13">
        <f>L931*Assumptions!$B$11+M931*Assumptions!$B$12+N931*Assumptions!$B$13+O931*Assumptions!$B$14+P931*Assumptions!$B$15+Q931*Assumptions!$B$16</f>
        <v>0</v>
      </c>
      <c r="S931" s="13" t="str">
        <f>IF(R931&gt;=Assumptions!$B$20,"High",IF(R931&gt;=Assumptions!$B$21,"Medium",IF(R931&gt;=1,"Low","Clear")))</f>
        <v>Clear</v>
      </c>
      <c r="T931" s="13" t="str">
        <f t="shared" si="74"/>
        <v/>
      </c>
    </row>
    <row r="932" spans="1:20" x14ac:dyDescent="0.35">
      <c r="A932" s="13" t="s">
        <v>3791</v>
      </c>
      <c r="B932" s="13" t="s">
        <v>145</v>
      </c>
      <c r="C932" s="13" t="s">
        <v>146</v>
      </c>
      <c r="D932" s="13" t="s">
        <v>3792</v>
      </c>
      <c r="E932" s="14">
        <v>45976</v>
      </c>
      <c r="F932" s="14">
        <v>46002</v>
      </c>
      <c r="G932" s="15">
        <v>4139.8500000000004</v>
      </c>
      <c r="H932" s="13" t="s">
        <v>3793</v>
      </c>
      <c r="I932" s="13" t="s">
        <v>3794</v>
      </c>
      <c r="J932" s="13" t="s">
        <v>91</v>
      </c>
      <c r="K932" s="13">
        <f t="shared" si="70"/>
        <v>4</v>
      </c>
      <c r="L932" s="13">
        <f t="shared" si="71"/>
        <v>0</v>
      </c>
      <c r="M932" s="13">
        <f>IF(AND(L932=0,COUNTIFS($B$2:$B$1534,B932,$G$2:$G$1534,G932,$E$2:$E$1534,"&gt;="&amp;(E932-Assumptions!$B$5),$E$2:$E$1534,"&lt;="&amp;(E932+Assumptions!$B$5))&gt;1),1,0)</f>
        <v>0</v>
      </c>
      <c r="N932" s="13">
        <f>IF(AND(G932&gt;=Assumptions!$B$4*(1-Assumptions!$B$6),G932&lt;Assumptions!$B$4),1,0)</f>
        <v>0</v>
      </c>
      <c r="O932" s="13">
        <f>IF(AND(G932&gt;=Assumptions!$B$7,MOD(G932,Assumptions!$B$7)=0),1,0)</f>
        <v>0</v>
      </c>
      <c r="P932" s="13">
        <f t="shared" si="72"/>
        <v>0</v>
      </c>
      <c r="Q932" s="13">
        <f t="shared" si="73"/>
        <v>0</v>
      </c>
      <c r="R932" s="13">
        <f>L932*Assumptions!$B$11+M932*Assumptions!$B$12+N932*Assumptions!$B$13+O932*Assumptions!$B$14+P932*Assumptions!$B$15+Q932*Assumptions!$B$16</f>
        <v>0</v>
      </c>
      <c r="S932" s="13" t="str">
        <f>IF(R932&gt;=Assumptions!$B$20,"High",IF(R932&gt;=Assumptions!$B$21,"Medium",IF(R932&gt;=1,"Low","Clear")))</f>
        <v>Clear</v>
      </c>
      <c r="T932" s="13" t="str">
        <f t="shared" si="74"/>
        <v/>
      </c>
    </row>
    <row r="933" spans="1:20" x14ac:dyDescent="0.35">
      <c r="A933" s="13" t="s">
        <v>3795</v>
      </c>
      <c r="B933" s="13" t="s">
        <v>182</v>
      </c>
      <c r="C933" s="13" t="s">
        <v>183</v>
      </c>
      <c r="D933" s="13" t="s">
        <v>3796</v>
      </c>
      <c r="E933" s="14">
        <v>45973</v>
      </c>
      <c r="F933" s="14">
        <v>46003</v>
      </c>
      <c r="G933" s="15">
        <v>18044.34</v>
      </c>
      <c r="H933" s="13" t="s">
        <v>763</v>
      </c>
      <c r="I933" s="13" t="s">
        <v>764</v>
      </c>
      <c r="J933" s="13" t="s">
        <v>98</v>
      </c>
      <c r="K933" s="13">
        <f t="shared" si="70"/>
        <v>1</v>
      </c>
      <c r="L933" s="13">
        <f t="shared" si="71"/>
        <v>0</v>
      </c>
      <c r="M933" s="13">
        <f>IF(AND(L933=0,COUNTIFS($B$2:$B$1534,B933,$G$2:$G$1534,G933,$E$2:$E$1534,"&gt;="&amp;(E933-Assumptions!$B$5),$E$2:$E$1534,"&lt;="&amp;(E933+Assumptions!$B$5))&gt;1),1,0)</f>
        <v>0</v>
      </c>
      <c r="N933" s="13">
        <f>IF(AND(G933&gt;=Assumptions!$B$4*(1-Assumptions!$B$6),G933&lt;Assumptions!$B$4),1,0)</f>
        <v>0</v>
      </c>
      <c r="O933" s="13">
        <f>IF(AND(G933&gt;=Assumptions!$B$7,MOD(G933,Assumptions!$B$7)=0),1,0)</f>
        <v>0</v>
      </c>
      <c r="P933" s="13">
        <f t="shared" si="72"/>
        <v>0</v>
      </c>
      <c r="Q933" s="13">
        <f t="shared" si="73"/>
        <v>0</v>
      </c>
      <c r="R933" s="13">
        <f>L933*Assumptions!$B$11+M933*Assumptions!$B$12+N933*Assumptions!$B$13+O933*Assumptions!$B$14+P933*Assumptions!$B$15+Q933*Assumptions!$B$16</f>
        <v>0</v>
      </c>
      <c r="S933" s="13" t="str">
        <f>IF(R933&gt;=Assumptions!$B$20,"High",IF(R933&gt;=Assumptions!$B$21,"Medium",IF(R933&gt;=1,"Low","Clear")))</f>
        <v>Clear</v>
      </c>
      <c r="T933" s="13" t="str">
        <f t="shared" si="74"/>
        <v/>
      </c>
    </row>
    <row r="934" spans="1:20" x14ac:dyDescent="0.35">
      <c r="A934" s="13" t="s">
        <v>3797</v>
      </c>
      <c r="B934" s="13" t="s">
        <v>113</v>
      </c>
      <c r="C934" s="13" t="s">
        <v>114</v>
      </c>
      <c r="D934" s="13" t="s">
        <v>3798</v>
      </c>
      <c r="E934" s="14">
        <v>45970</v>
      </c>
      <c r="F934" s="14">
        <v>46003</v>
      </c>
      <c r="G934" s="15">
        <v>9035.65</v>
      </c>
      <c r="H934" s="13" t="s">
        <v>3799</v>
      </c>
      <c r="I934" s="13" t="s">
        <v>3800</v>
      </c>
      <c r="J934" s="13" t="s">
        <v>143</v>
      </c>
      <c r="K934" s="13">
        <f t="shared" si="70"/>
        <v>9</v>
      </c>
      <c r="L934" s="13">
        <f t="shared" si="71"/>
        <v>0</v>
      </c>
      <c r="M934" s="13">
        <f>IF(AND(L934=0,COUNTIFS($B$2:$B$1534,B934,$G$2:$G$1534,G934,$E$2:$E$1534,"&gt;="&amp;(E934-Assumptions!$B$5),$E$2:$E$1534,"&lt;="&amp;(E934+Assumptions!$B$5))&gt;1),1,0)</f>
        <v>0</v>
      </c>
      <c r="N934" s="13">
        <f>IF(AND(G934&gt;=Assumptions!$B$4*(1-Assumptions!$B$6),G934&lt;Assumptions!$B$4),1,0)</f>
        <v>0</v>
      </c>
      <c r="O934" s="13">
        <f>IF(AND(G934&gt;=Assumptions!$B$7,MOD(G934,Assumptions!$B$7)=0),1,0)</f>
        <v>0</v>
      </c>
      <c r="P934" s="13">
        <f t="shared" si="72"/>
        <v>0</v>
      </c>
      <c r="Q934" s="13">
        <f t="shared" si="73"/>
        <v>0</v>
      </c>
      <c r="R934" s="13">
        <f>L934*Assumptions!$B$11+M934*Assumptions!$B$12+N934*Assumptions!$B$13+O934*Assumptions!$B$14+P934*Assumptions!$B$15+Q934*Assumptions!$B$16</f>
        <v>0</v>
      </c>
      <c r="S934" s="13" t="str">
        <f>IF(R934&gt;=Assumptions!$B$20,"High",IF(R934&gt;=Assumptions!$B$21,"Medium",IF(R934&gt;=1,"Low","Clear")))</f>
        <v>Clear</v>
      </c>
      <c r="T934" s="13" t="str">
        <f t="shared" si="74"/>
        <v/>
      </c>
    </row>
    <row r="935" spans="1:20" x14ac:dyDescent="0.35">
      <c r="A935" s="13" t="s">
        <v>3801</v>
      </c>
      <c r="B935" s="13" t="s">
        <v>307</v>
      </c>
      <c r="C935" s="13" t="s">
        <v>308</v>
      </c>
      <c r="D935" s="13" t="s">
        <v>3802</v>
      </c>
      <c r="E935" s="14">
        <v>45963</v>
      </c>
      <c r="F935" s="14">
        <v>46003</v>
      </c>
      <c r="G935" s="15">
        <v>68695.839999999997</v>
      </c>
      <c r="H935" s="13" t="s">
        <v>3803</v>
      </c>
      <c r="I935" s="13" t="s">
        <v>3804</v>
      </c>
      <c r="J935" s="13" t="s">
        <v>111</v>
      </c>
      <c r="K935" s="13">
        <f t="shared" si="70"/>
        <v>6</v>
      </c>
      <c r="L935" s="13">
        <f t="shared" si="71"/>
        <v>0</v>
      </c>
      <c r="M935" s="13">
        <f>IF(AND(L935=0,COUNTIFS($B$2:$B$1534,B935,$G$2:$G$1534,G935,$E$2:$E$1534,"&gt;="&amp;(E935-Assumptions!$B$5),$E$2:$E$1534,"&lt;="&amp;(E935+Assumptions!$B$5))&gt;1),1,0)</f>
        <v>0</v>
      </c>
      <c r="N935" s="13">
        <f>IF(AND(G935&gt;=Assumptions!$B$4*(1-Assumptions!$B$6),G935&lt;Assumptions!$B$4),1,0)</f>
        <v>0</v>
      </c>
      <c r="O935" s="13">
        <f>IF(AND(G935&gt;=Assumptions!$B$7,MOD(G935,Assumptions!$B$7)=0),1,0)</f>
        <v>0</v>
      </c>
      <c r="P935" s="13">
        <f t="shared" si="72"/>
        <v>0</v>
      </c>
      <c r="Q935" s="13">
        <f t="shared" si="73"/>
        <v>0</v>
      </c>
      <c r="R935" s="13">
        <f>L935*Assumptions!$B$11+M935*Assumptions!$B$12+N935*Assumptions!$B$13+O935*Assumptions!$B$14+P935*Assumptions!$B$15+Q935*Assumptions!$B$16</f>
        <v>0</v>
      </c>
      <c r="S935" s="13" t="str">
        <f>IF(R935&gt;=Assumptions!$B$20,"High",IF(R935&gt;=Assumptions!$B$21,"Medium",IF(R935&gt;=1,"Low","Clear")))</f>
        <v>Clear</v>
      </c>
      <c r="T935" s="13" t="str">
        <f t="shared" si="74"/>
        <v/>
      </c>
    </row>
    <row r="936" spans="1:20" x14ac:dyDescent="0.35">
      <c r="A936" s="13" t="s">
        <v>3805</v>
      </c>
      <c r="B936" s="13" t="s">
        <v>155</v>
      </c>
      <c r="C936" s="13" t="s">
        <v>156</v>
      </c>
      <c r="D936" s="13" t="s">
        <v>3806</v>
      </c>
      <c r="E936" s="14">
        <v>45974</v>
      </c>
      <c r="F936" s="14">
        <v>46003</v>
      </c>
      <c r="G936" s="15">
        <v>380627.36</v>
      </c>
      <c r="H936" s="13" t="s">
        <v>3807</v>
      </c>
      <c r="I936" s="13" t="s">
        <v>3808</v>
      </c>
      <c r="J936" s="13" t="s">
        <v>91</v>
      </c>
      <c r="K936" s="13">
        <f t="shared" si="70"/>
        <v>3</v>
      </c>
      <c r="L936" s="13">
        <f t="shared" si="71"/>
        <v>0</v>
      </c>
      <c r="M936" s="13">
        <f>IF(AND(L936=0,COUNTIFS($B$2:$B$1534,B936,$G$2:$G$1534,G936,$E$2:$E$1534,"&gt;="&amp;(E936-Assumptions!$B$5),$E$2:$E$1534,"&lt;="&amp;(E936+Assumptions!$B$5))&gt;1),1,0)</f>
        <v>0</v>
      </c>
      <c r="N936" s="13">
        <f>IF(AND(G936&gt;=Assumptions!$B$4*(1-Assumptions!$B$6),G936&lt;Assumptions!$B$4),1,0)</f>
        <v>0</v>
      </c>
      <c r="O936" s="13">
        <f>IF(AND(G936&gt;=Assumptions!$B$7,MOD(G936,Assumptions!$B$7)=0),1,0)</f>
        <v>0</v>
      </c>
      <c r="P936" s="13">
        <f t="shared" si="72"/>
        <v>0</v>
      </c>
      <c r="Q936" s="13">
        <f t="shared" si="73"/>
        <v>0</v>
      </c>
      <c r="R936" s="13">
        <f>L936*Assumptions!$B$11+M936*Assumptions!$B$12+N936*Assumptions!$B$13+O936*Assumptions!$B$14+P936*Assumptions!$B$15+Q936*Assumptions!$B$16</f>
        <v>0</v>
      </c>
      <c r="S936" s="13" t="str">
        <f>IF(R936&gt;=Assumptions!$B$20,"High",IF(R936&gt;=Assumptions!$B$21,"Medium",IF(R936&gt;=1,"Low","Clear")))</f>
        <v>Clear</v>
      </c>
      <c r="T936" s="13" t="str">
        <f t="shared" si="74"/>
        <v/>
      </c>
    </row>
    <row r="937" spans="1:20" x14ac:dyDescent="0.35">
      <c r="A937" s="13" t="s">
        <v>3809</v>
      </c>
      <c r="B937" s="13" t="s">
        <v>176</v>
      </c>
      <c r="C937" s="13" t="s">
        <v>177</v>
      </c>
      <c r="D937" s="13" t="s">
        <v>3810</v>
      </c>
      <c r="E937" s="14">
        <v>45966</v>
      </c>
      <c r="F937" s="14">
        <v>46006</v>
      </c>
      <c r="G937" s="15">
        <v>104544.06</v>
      </c>
      <c r="H937" s="13" t="s">
        <v>3811</v>
      </c>
      <c r="I937" s="13" t="s">
        <v>3812</v>
      </c>
      <c r="J937" s="13" t="s">
        <v>170</v>
      </c>
      <c r="K937" s="13">
        <f t="shared" si="70"/>
        <v>1</v>
      </c>
      <c r="L937" s="13">
        <f t="shared" si="71"/>
        <v>0</v>
      </c>
      <c r="M937" s="13">
        <f>IF(AND(L937=0,COUNTIFS($B$2:$B$1534,B937,$G$2:$G$1534,G937,$E$2:$E$1534,"&gt;="&amp;(E937-Assumptions!$B$5),$E$2:$E$1534,"&lt;="&amp;(E937+Assumptions!$B$5))&gt;1),1,0)</f>
        <v>0</v>
      </c>
      <c r="N937" s="13">
        <f>IF(AND(G937&gt;=Assumptions!$B$4*(1-Assumptions!$B$6),G937&lt;Assumptions!$B$4),1,0)</f>
        <v>0</v>
      </c>
      <c r="O937" s="13">
        <f>IF(AND(G937&gt;=Assumptions!$B$7,MOD(G937,Assumptions!$B$7)=0),1,0)</f>
        <v>0</v>
      </c>
      <c r="P937" s="13">
        <f t="shared" si="72"/>
        <v>0</v>
      </c>
      <c r="Q937" s="13">
        <f t="shared" si="73"/>
        <v>0</v>
      </c>
      <c r="R937" s="13">
        <f>L937*Assumptions!$B$11+M937*Assumptions!$B$12+N937*Assumptions!$B$13+O937*Assumptions!$B$14+P937*Assumptions!$B$15+Q937*Assumptions!$B$16</f>
        <v>0</v>
      </c>
      <c r="S937" s="13" t="str">
        <f>IF(R937&gt;=Assumptions!$B$20,"High",IF(R937&gt;=Assumptions!$B$21,"Medium",IF(R937&gt;=1,"Low","Clear")))</f>
        <v>Clear</v>
      </c>
      <c r="T937" s="13" t="str">
        <f t="shared" si="74"/>
        <v/>
      </c>
    </row>
    <row r="938" spans="1:20" x14ac:dyDescent="0.35">
      <c r="A938" s="13" t="s">
        <v>3813</v>
      </c>
      <c r="B938" s="13" t="s">
        <v>293</v>
      </c>
      <c r="C938" s="13" t="s">
        <v>294</v>
      </c>
      <c r="D938" s="13" t="s">
        <v>3814</v>
      </c>
      <c r="E938" s="14">
        <v>45984</v>
      </c>
      <c r="F938" s="14">
        <v>46006</v>
      </c>
      <c r="G938" s="15">
        <v>3191.3</v>
      </c>
      <c r="H938" s="13" t="s">
        <v>3815</v>
      </c>
      <c r="I938" s="13" t="s">
        <v>3816</v>
      </c>
      <c r="J938" s="13" t="s">
        <v>136</v>
      </c>
      <c r="K938" s="13">
        <f t="shared" si="70"/>
        <v>3</v>
      </c>
      <c r="L938" s="13">
        <f t="shared" si="71"/>
        <v>0</v>
      </c>
      <c r="M938" s="13">
        <f>IF(AND(L938=0,COUNTIFS($B$2:$B$1534,B938,$G$2:$G$1534,G938,$E$2:$E$1534,"&gt;="&amp;(E938-Assumptions!$B$5),$E$2:$E$1534,"&lt;="&amp;(E938+Assumptions!$B$5))&gt;1),1,0)</f>
        <v>0</v>
      </c>
      <c r="N938" s="13">
        <f>IF(AND(G938&gt;=Assumptions!$B$4*(1-Assumptions!$B$6),G938&lt;Assumptions!$B$4),1,0)</f>
        <v>0</v>
      </c>
      <c r="O938" s="13">
        <f>IF(AND(G938&gt;=Assumptions!$B$7,MOD(G938,Assumptions!$B$7)=0),1,0)</f>
        <v>0</v>
      </c>
      <c r="P938" s="13">
        <f t="shared" si="72"/>
        <v>0</v>
      </c>
      <c r="Q938" s="13">
        <f t="shared" si="73"/>
        <v>0</v>
      </c>
      <c r="R938" s="13">
        <f>L938*Assumptions!$B$11+M938*Assumptions!$B$12+N938*Assumptions!$B$13+O938*Assumptions!$B$14+P938*Assumptions!$B$15+Q938*Assumptions!$B$16</f>
        <v>0</v>
      </c>
      <c r="S938" s="13" t="str">
        <f>IF(R938&gt;=Assumptions!$B$20,"High",IF(R938&gt;=Assumptions!$B$21,"Medium",IF(R938&gt;=1,"Low","Clear")))</f>
        <v>Clear</v>
      </c>
      <c r="T938" s="13" t="str">
        <f t="shared" si="74"/>
        <v/>
      </c>
    </row>
    <row r="939" spans="1:20" x14ac:dyDescent="0.35">
      <c r="A939" s="13" t="s">
        <v>3817</v>
      </c>
      <c r="B939" s="13" t="s">
        <v>252</v>
      </c>
      <c r="C939" s="13" t="s">
        <v>253</v>
      </c>
      <c r="D939" s="13" t="s">
        <v>3818</v>
      </c>
      <c r="E939" s="14">
        <v>45973</v>
      </c>
      <c r="F939" s="14">
        <v>46006</v>
      </c>
      <c r="G939" s="15">
        <v>3418.38</v>
      </c>
      <c r="H939" s="13" t="s">
        <v>3819</v>
      </c>
      <c r="I939" s="13" t="s">
        <v>3820</v>
      </c>
      <c r="J939" s="13" t="s">
        <v>136</v>
      </c>
      <c r="K939" s="13">
        <f t="shared" si="70"/>
        <v>3</v>
      </c>
      <c r="L939" s="13">
        <f t="shared" si="71"/>
        <v>0</v>
      </c>
      <c r="M939" s="13">
        <f>IF(AND(L939=0,COUNTIFS($B$2:$B$1534,B939,$G$2:$G$1534,G939,$E$2:$E$1534,"&gt;="&amp;(E939-Assumptions!$B$5),$E$2:$E$1534,"&lt;="&amp;(E939+Assumptions!$B$5))&gt;1),1,0)</f>
        <v>0</v>
      </c>
      <c r="N939" s="13">
        <f>IF(AND(G939&gt;=Assumptions!$B$4*(1-Assumptions!$B$6),G939&lt;Assumptions!$B$4),1,0)</f>
        <v>0</v>
      </c>
      <c r="O939" s="13">
        <f>IF(AND(G939&gt;=Assumptions!$B$7,MOD(G939,Assumptions!$B$7)=0),1,0)</f>
        <v>0</v>
      </c>
      <c r="P939" s="13">
        <f t="shared" si="72"/>
        <v>0</v>
      </c>
      <c r="Q939" s="13">
        <f t="shared" si="73"/>
        <v>0</v>
      </c>
      <c r="R939" s="13">
        <f>L939*Assumptions!$B$11+M939*Assumptions!$B$12+N939*Assumptions!$B$13+O939*Assumptions!$B$14+P939*Assumptions!$B$15+Q939*Assumptions!$B$16</f>
        <v>0</v>
      </c>
      <c r="S939" s="13" t="str">
        <f>IF(R939&gt;=Assumptions!$B$20,"High",IF(R939&gt;=Assumptions!$B$21,"Medium",IF(R939&gt;=1,"Low","Clear")))</f>
        <v>Clear</v>
      </c>
      <c r="T939" s="13" t="str">
        <f t="shared" si="74"/>
        <v/>
      </c>
    </row>
    <row r="940" spans="1:20" x14ac:dyDescent="0.35">
      <c r="A940" s="13" t="s">
        <v>3821</v>
      </c>
      <c r="B940" s="13" t="s">
        <v>200</v>
      </c>
      <c r="C940" s="13" t="s">
        <v>201</v>
      </c>
      <c r="D940" s="13" t="s">
        <v>3822</v>
      </c>
      <c r="E940" s="14">
        <v>45982</v>
      </c>
      <c r="F940" s="14">
        <v>46006</v>
      </c>
      <c r="G940" s="15">
        <v>124375.17</v>
      </c>
      <c r="H940" s="13" t="s">
        <v>3823</v>
      </c>
      <c r="I940" s="13" t="s">
        <v>3824</v>
      </c>
      <c r="J940" s="13" t="s">
        <v>136</v>
      </c>
      <c r="K940" s="13">
        <f t="shared" si="70"/>
        <v>1</v>
      </c>
      <c r="L940" s="13">
        <f t="shared" si="71"/>
        <v>0</v>
      </c>
      <c r="M940" s="13">
        <f>IF(AND(L940=0,COUNTIFS($B$2:$B$1534,B940,$G$2:$G$1534,G940,$E$2:$E$1534,"&gt;="&amp;(E940-Assumptions!$B$5),$E$2:$E$1534,"&lt;="&amp;(E940+Assumptions!$B$5))&gt;1),1,0)</f>
        <v>0</v>
      </c>
      <c r="N940" s="13">
        <f>IF(AND(G940&gt;=Assumptions!$B$4*(1-Assumptions!$B$6),G940&lt;Assumptions!$B$4),1,0)</f>
        <v>0</v>
      </c>
      <c r="O940" s="13">
        <f>IF(AND(G940&gt;=Assumptions!$B$7,MOD(G940,Assumptions!$B$7)=0),1,0)</f>
        <v>0</v>
      </c>
      <c r="P940" s="13">
        <f t="shared" si="72"/>
        <v>0</v>
      </c>
      <c r="Q940" s="13">
        <f t="shared" si="73"/>
        <v>0</v>
      </c>
      <c r="R940" s="13">
        <f>L940*Assumptions!$B$11+M940*Assumptions!$B$12+N940*Assumptions!$B$13+O940*Assumptions!$B$14+P940*Assumptions!$B$15+Q940*Assumptions!$B$16</f>
        <v>0</v>
      </c>
      <c r="S940" s="13" t="str">
        <f>IF(R940&gt;=Assumptions!$B$20,"High",IF(R940&gt;=Assumptions!$B$21,"Medium",IF(R940&gt;=1,"Low","Clear")))</f>
        <v>Clear</v>
      </c>
      <c r="T940" s="13" t="str">
        <f t="shared" si="74"/>
        <v/>
      </c>
    </row>
    <row r="941" spans="1:20" x14ac:dyDescent="0.35">
      <c r="A941" s="13" t="s">
        <v>3825</v>
      </c>
      <c r="B941" s="13" t="s">
        <v>200</v>
      </c>
      <c r="C941" s="13" t="s">
        <v>201</v>
      </c>
      <c r="D941" s="13" t="s">
        <v>3826</v>
      </c>
      <c r="E941" s="14">
        <v>45965</v>
      </c>
      <c r="F941" s="14">
        <v>46006</v>
      </c>
      <c r="G941" s="15">
        <v>1052.6600000000001</v>
      </c>
      <c r="H941" s="13" t="s">
        <v>3827</v>
      </c>
      <c r="I941" s="13" t="s">
        <v>3828</v>
      </c>
      <c r="J941" s="13" t="s">
        <v>136</v>
      </c>
      <c r="K941" s="13">
        <f t="shared" si="70"/>
        <v>1</v>
      </c>
      <c r="L941" s="13">
        <f t="shared" si="71"/>
        <v>0</v>
      </c>
      <c r="M941" s="13">
        <f>IF(AND(L941=0,COUNTIFS($B$2:$B$1534,B941,$G$2:$G$1534,G941,$E$2:$E$1534,"&gt;="&amp;(E941-Assumptions!$B$5),$E$2:$E$1534,"&lt;="&amp;(E941+Assumptions!$B$5))&gt;1),1,0)</f>
        <v>0</v>
      </c>
      <c r="N941" s="13">
        <f>IF(AND(G941&gt;=Assumptions!$B$4*(1-Assumptions!$B$6),G941&lt;Assumptions!$B$4),1,0)</f>
        <v>0</v>
      </c>
      <c r="O941" s="13">
        <f>IF(AND(G941&gt;=Assumptions!$B$7,MOD(G941,Assumptions!$B$7)=0),1,0)</f>
        <v>0</v>
      </c>
      <c r="P941" s="13">
        <f t="shared" si="72"/>
        <v>0</v>
      </c>
      <c r="Q941" s="13">
        <f t="shared" si="73"/>
        <v>0</v>
      </c>
      <c r="R941" s="13">
        <f>L941*Assumptions!$B$11+M941*Assumptions!$B$12+N941*Assumptions!$B$13+O941*Assumptions!$B$14+P941*Assumptions!$B$15+Q941*Assumptions!$B$16</f>
        <v>0</v>
      </c>
      <c r="S941" s="13" t="str">
        <f>IF(R941&gt;=Assumptions!$B$20,"High",IF(R941&gt;=Assumptions!$B$21,"Medium",IF(R941&gt;=1,"Low","Clear")))</f>
        <v>Clear</v>
      </c>
      <c r="T941" s="13" t="str">
        <f t="shared" si="74"/>
        <v/>
      </c>
    </row>
    <row r="942" spans="1:20" x14ac:dyDescent="0.35">
      <c r="A942" s="13" t="s">
        <v>3829</v>
      </c>
      <c r="B942" s="13" t="s">
        <v>131</v>
      </c>
      <c r="C942" s="13" t="s">
        <v>132</v>
      </c>
      <c r="D942" s="13" t="s">
        <v>3830</v>
      </c>
      <c r="E942" s="14">
        <v>45973</v>
      </c>
      <c r="F942" s="14">
        <v>46006</v>
      </c>
      <c r="G942" s="15">
        <v>5793.19</v>
      </c>
      <c r="H942" s="13" t="s">
        <v>3831</v>
      </c>
      <c r="I942" s="13" t="s">
        <v>3832</v>
      </c>
      <c r="J942" s="13" t="s">
        <v>98</v>
      </c>
      <c r="K942" s="13">
        <f t="shared" si="70"/>
        <v>5</v>
      </c>
      <c r="L942" s="13">
        <f t="shared" si="71"/>
        <v>0</v>
      </c>
      <c r="M942" s="13">
        <f>IF(AND(L942=0,COUNTIFS($B$2:$B$1534,B942,$G$2:$G$1534,G942,$E$2:$E$1534,"&gt;="&amp;(E942-Assumptions!$B$5),$E$2:$E$1534,"&lt;="&amp;(E942+Assumptions!$B$5))&gt;1),1,0)</f>
        <v>0</v>
      </c>
      <c r="N942" s="13">
        <f>IF(AND(G942&gt;=Assumptions!$B$4*(1-Assumptions!$B$6),G942&lt;Assumptions!$B$4),1,0)</f>
        <v>0</v>
      </c>
      <c r="O942" s="13">
        <f>IF(AND(G942&gt;=Assumptions!$B$7,MOD(G942,Assumptions!$B$7)=0),1,0)</f>
        <v>0</v>
      </c>
      <c r="P942" s="13">
        <f t="shared" si="72"/>
        <v>0</v>
      </c>
      <c r="Q942" s="13">
        <f t="shared" si="73"/>
        <v>0</v>
      </c>
      <c r="R942" s="13">
        <f>L942*Assumptions!$B$11+M942*Assumptions!$B$12+N942*Assumptions!$B$13+O942*Assumptions!$B$14+P942*Assumptions!$B$15+Q942*Assumptions!$B$16</f>
        <v>0</v>
      </c>
      <c r="S942" s="13" t="str">
        <f>IF(R942&gt;=Assumptions!$B$20,"High",IF(R942&gt;=Assumptions!$B$21,"Medium",IF(R942&gt;=1,"Low","Clear")))</f>
        <v>Clear</v>
      </c>
      <c r="T942" s="13" t="str">
        <f t="shared" si="74"/>
        <v/>
      </c>
    </row>
    <row r="943" spans="1:20" x14ac:dyDescent="0.35">
      <c r="A943" s="13" t="s">
        <v>3833</v>
      </c>
      <c r="B943" s="13" t="s">
        <v>466</v>
      </c>
      <c r="C943" s="13" t="s">
        <v>467</v>
      </c>
      <c r="D943" s="13" t="s">
        <v>3834</v>
      </c>
      <c r="E943" s="14">
        <v>45985</v>
      </c>
      <c r="F943" s="14">
        <v>46006</v>
      </c>
      <c r="G943" s="15">
        <v>48045.87</v>
      </c>
      <c r="H943" s="13" t="s">
        <v>3835</v>
      </c>
      <c r="I943" s="13" t="s">
        <v>3836</v>
      </c>
      <c r="J943" s="13" t="s">
        <v>98</v>
      </c>
      <c r="K943" s="13">
        <f t="shared" si="70"/>
        <v>4</v>
      </c>
      <c r="L943" s="13">
        <f t="shared" si="71"/>
        <v>0</v>
      </c>
      <c r="M943" s="13">
        <f>IF(AND(L943=0,COUNTIFS($B$2:$B$1534,B943,$G$2:$G$1534,G943,$E$2:$E$1534,"&gt;="&amp;(E943-Assumptions!$B$5),$E$2:$E$1534,"&lt;="&amp;(E943+Assumptions!$B$5))&gt;1),1,0)</f>
        <v>0</v>
      </c>
      <c r="N943" s="13">
        <f>IF(AND(G943&gt;=Assumptions!$B$4*(1-Assumptions!$B$6),G943&lt;Assumptions!$B$4),1,0)</f>
        <v>1</v>
      </c>
      <c r="O943" s="13">
        <f>IF(AND(G943&gt;=Assumptions!$B$7,MOD(G943,Assumptions!$B$7)=0),1,0)</f>
        <v>0</v>
      </c>
      <c r="P943" s="13">
        <f t="shared" si="72"/>
        <v>0</v>
      </c>
      <c r="Q943" s="13">
        <f t="shared" si="73"/>
        <v>0</v>
      </c>
      <c r="R943" s="13">
        <f>L943*Assumptions!$B$11+M943*Assumptions!$B$12+N943*Assumptions!$B$13+O943*Assumptions!$B$14+P943*Assumptions!$B$15+Q943*Assumptions!$B$16</f>
        <v>3</v>
      </c>
      <c r="S943" s="13" t="str">
        <f>IF(R943&gt;=Assumptions!$B$20,"High",IF(R943&gt;=Assumptions!$B$21,"Medium",IF(R943&gt;=1,"Low","Clear")))</f>
        <v>Medium</v>
      </c>
      <c r="T943" s="13" t="str">
        <f t="shared" si="74"/>
        <v xml:space="preserve">Just below limit; </v>
      </c>
    </row>
    <row r="944" spans="1:20" x14ac:dyDescent="0.35">
      <c r="A944" s="13" t="s">
        <v>3837</v>
      </c>
      <c r="B944" s="13" t="s">
        <v>466</v>
      </c>
      <c r="C944" s="13" t="s">
        <v>467</v>
      </c>
      <c r="D944" s="13" t="s">
        <v>3838</v>
      </c>
      <c r="E944" s="14">
        <v>45973</v>
      </c>
      <c r="F944" s="14">
        <v>46006</v>
      </c>
      <c r="G944" s="15">
        <v>49845.15</v>
      </c>
      <c r="H944" s="13" t="s">
        <v>3839</v>
      </c>
      <c r="I944" s="13" t="s">
        <v>3840</v>
      </c>
      <c r="J944" s="13" t="s">
        <v>143</v>
      </c>
      <c r="K944" s="13">
        <f t="shared" si="70"/>
        <v>4</v>
      </c>
      <c r="L944" s="13">
        <f t="shared" si="71"/>
        <v>0</v>
      </c>
      <c r="M944" s="13">
        <f>IF(AND(L944=0,COUNTIFS($B$2:$B$1534,B944,$G$2:$G$1534,G944,$E$2:$E$1534,"&gt;="&amp;(E944-Assumptions!$B$5),$E$2:$E$1534,"&lt;="&amp;(E944+Assumptions!$B$5))&gt;1),1,0)</f>
        <v>0</v>
      </c>
      <c r="N944" s="13">
        <f>IF(AND(G944&gt;=Assumptions!$B$4*(1-Assumptions!$B$6),G944&lt;Assumptions!$B$4),1,0)</f>
        <v>1</v>
      </c>
      <c r="O944" s="13">
        <f>IF(AND(G944&gt;=Assumptions!$B$7,MOD(G944,Assumptions!$B$7)=0),1,0)</f>
        <v>0</v>
      </c>
      <c r="P944" s="13">
        <f t="shared" si="72"/>
        <v>0</v>
      </c>
      <c r="Q944" s="13">
        <f t="shared" si="73"/>
        <v>0</v>
      </c>
      <c r="R944" s="13">
        <f>L944*Assumptions!$B$11+M944*Assumptions!$B$12+N944*Assumptions!$B$13+O944*Assumptions!$B$14+P944*Assumptions!$B$15+Q944*Assumptions!$B$16</f>
        <v>3</v>
      </c>
      <c r="S944" s="13" t="str">
        <f>IF(R944&gt;=Assumptions!$B$20,"High",IF(R944&gt;=Assumptions!$B$21,"Medium",IF(R944&gt;=1,"Low","Clear")))</f>
        <v>Medium</v>
      </c>
      <c r="T944" s="13" t="str">
        <f t="shared" si="74"/>
        <v xml:space="preserve">Just below limit; </v>
      </c>
    </row>
    <row r="945" spans="1:20" x14ac:dyDescent="0.35">
      <c r="A945" s="13" t="s">
        <v>3841</v>
      </c>
      <c r="B945" s="13" t="s">
        <v>212</v>
      </c>
      <c r="C945" s="13" t="s">
        <v>213</v>
      </c>
      <c r="D945" s="13" t="s">
        <v>3842</v>
      </c>
      <c r="E945" s="14">
        <v>45982</v>
      </c>
      <c r="F945" s="14">
        <v>46006</v>
      </c>
      <c r="G945" s="15">
        <v>55247.4</v>
      </c>
      <c r="H945" s="13" t="s">
        <v>3843</v>
      </c>
      <c r="I945" s="13" t="s">
        <v>3844</v>
      </c>
      <c r="J945" s="13" t="s">
        <v>136</v>
      </c>
      <c r="K945" s="13">
        <f t="shared" si="70"/>
        <v>5</v>
      </c>
      <c r="L945" s="13">
        <f t="shared" si="71"/>
        <v>0</v>
      </c>
      <c r="M945" s="13">
        <f>IF(AND(L945=0,COUNTIFS($B$2:$B$1534,B945,$G$2:$G$1534,G945,$E$2:$E$1534,"&gt;="&amp;(E945-Assumptions!$B$5),$E$2:$E$1534,"&lt;="&amp;(E945+Assumptions!$B$5))&gt;1),1,0)</f>
        <v>0</v>
      </c>
      <c r="N945" s="13">
        <f>IF(AND(G945&gt;=Assumptions!$B$4*(1-Assumptions!$B$6),G945&lt;Assumptions!$B$4),1,0)</f>
        <v>0</v>
      </c>
      <c r="O945" s="13">
        <f>IF(AND(G945&gt;=Assumptions!$B$7,MOD(G945,Assumptions!$B$7)=0),1,0)</f>
        <v>0</v>
      </c>
      <c r="P945" s="13">
        <f t="shared" si="72"/>
        <v>0</v>
      </c>
      <c r="Q945" s="13">
        <f t="shared" si="73"/>
        <v>0</v>
      </c>
      <c r="R945" s="13">
        <f>L945*Assumptions!$B$11+M945*Assumptions!$B$12+N945*Assumptions!$B$13+O945*Assumptions!$B$14+P945*Assumptions!$B$15+Q945*Assumptions!$B$16</f>
        <v>0</v>
      </c>
      <c r="S945" s="13" t="str">
        <f>IF(R945&gt;=Assumptions!$B$20,"High",IF(R945&gt;=Assumptions!$B$21,"Medium",IF(R945&gt;=1,"Low","Clear")))</f>
        <v>Clear</v>
      </c>
      <c r="T945" s="13" t="str">
        <f t="shared" si="74"/>
        <v/>
      </c>
    </row>
    <row r="946" spans="1:20" x14ac:dyDescent="0.35">
      <c r="A946" s="13" t="s">
        <v>3845</v>
      </c>
      <c r="B946" s="13" t="s">
        <v>476</v>
      </c>
      <c r="C946" s="13" t="s">
        <v>477</v>
      </c>
      <c r="D946" s="13" t="s">
        <v>3846</v>
      </c>
      <c r="E946" s="14">
        <v>45978</v>
      </c>
      <c r="F946" s="14">
        <v>46006</v>
      </c>
      <c r="G946" s="15">
        <v>180023.98</v>
      </c>
      <c r="H946" s="13" t="s">
        <v>3847</v>
      </c>
      <c r="I946" s="13" t="s">
        <v>3848</v>
      </c>
      <c r="J946" s="13" t="s">
        <v>91</v>
      </c>
      <c r="K946" s="13">
        <f t="shared" si="70"/>
        <v>1</v>
      </c>
      <c r="L946" s="13">
        <f t="shared" si="71"/>
        <v>0</v>
      </c>
      <c r="M946" s="13">
        <f>IF(AND(L946=0,COUNTIFS($B$2:$B$1534,B946,$G$2:$G$1534,G946,$E$2:$E$1534,"&gt;="&amp;(E946-Assumptions!$B$5),$E$2:$E$1534,"&lt;="&amp;(E946+Assumptions!$B$5))&gt;1),1,0)</f>
        <v>0</v>
      </c>
      <c r="N946" s="13">
        <f>IF(AND(G946&gt;=Assumptions!$B$4*(1-Assumptions!$B$6),G946&lt;Assumptions!$B$4),1,0)</f>
        <v>0</v>
      </c>
      <c r="O946" s="13">
        <f>IF(AND(G946&gt;=Assumptions!$B$7,MOD(G946,Assumptions!$B$7)=0),1,0)</f>
        <v>0</v>
      </c>
      <c r="P946" s="13">
        <f t="shared" si="72"/>
        <v>0</v>
      </c>
      <c r="Q946" s="13">
        <f t="shared" si="73"/>
        <v>0</v>
      </c>
      <c r="R946" s="13">
        <f>L946*Assumptions!$B$11+M946*Assumptions!$B$12+N946*Assumptions!$B$13+O946*Assumptions!$B$14+P946*Assumptions!$B$15+Q946*Assumptions!$B$16</f>
        <v>0</v>
      </c>
      <c r="S946" s="13" t="str">
        <f>IF(R946&gt;=Assumptions!$B$20,"High",IF(R946&gt;=Assumptions!$B$21,"Medium",IF(R946&gt;=1,"Low","Clear")))</f>
        <v>Clear</v>
      </c>
      <c r="T946" s="13" t="str">
        <f t="shared" si="74"/>
        <v/>
      </c>
    </row>
    <row r="947" spans="1:20" x14ac:dyDescent="0.35">
      <c r="A947" s="13" t="s">
        <v>3849</v>
      </c>
      <c r="B947" s="13" t="s">
        <v>100</v>
      </c>
      <c r="C947" s="13" t="s">
        <v>101</v>
      </c>
      <c r="D947" s="13" t="s">
        <v>3850</v>
      </c>
      <c r="E947" s="14">
        <v>45976</v>
      </c>
      <c r="F947" s="14">
        <v>46006</v>
      </c>
      <c r="G947" s="15">
        <v>2270.5</v>
      </c>
      <c r="H947" s="13" t="s">
        <v>3851</v>
      </c>
      <c r="I947" s="13" t="s">
        <v>3852</v>
      </c>
      <c r="J947" s="13" t="s">
        <v>111</v>
      </c>
      <c r="K947" s="13">
        <f t="shared" si="70"/>
        <v>2</v>
      </c>
      <c r="L947" s="13">
        <f t="shared" si="71"/>
        <v>0</v>
      </c>
      <c r="M947" s="13">
        <f>IF(AND(L947=0,COUNTIFS($B$2:$B$1534,B947,$G$2:$G$1534,G947,$E$2:$E$1534,"&gt;="&amp;(E947-Assumptions!$B$5),$E$2:$E$1534,"&lt;="&amp;(E947+Assumptions!$B$5))&gt;1),1,0)</f>
        <v>0</v>
      </c>
      <c r="N947" s="13">
        <f>IF(AND(G947&gt;=Assumptions!$B$4*(1-Assumptions!$B$6),G947&lt;Assumptions!$B$4),1,0)</f>
        <v>0</v>
      </c>
      <c r="O947" s="13">
        <f>IF(AND(G947&gt;=Assumptions!$B$7,MOD(G947,Assumptions!$B$7)=0),1,0)</f>
        <v>0</v>
      </c>
      <c r="P947" s="13">
        <f t="shared" si="72"/>
        <v>0</v>
      </c>
      <c r="Q947" s="13">
        <f t="shared" si="73"/>
        <v>0</v>
      </c>
      <c r="R947" s="13">
        <f>L947*Assumptions!$B$11+M947*Assumptions!$B$12+N947*Assumptions!$B$13+O947*Assumptions!$B$14+P947*Assumptions!$B$15+Q947*Assumptions!$B$16</f>
        <v>0</v>
      </c>
      <c r="S947" s="13" t="str">
        <f>IF(R947&gt;=Assumptions!$B$20,"High",IF(R947&gt;=Assumptions!$B$21,"Medium",IF(R947&gt;=1,"Low","Clear")))</f>
        <v>Clear</v>
      </c>
      <c r="T947" s="13" t="str">
        <f t="shared" si="74"/>
        <v/>
      </c>
    </row>
    <row r="948" spans="1:20" x14ac:dyDescent="0.35">
      <c r="A948" s="13" t="s">
        <v>3853</v>
      </c>
      <c r="B948" s="13" t="s">
        <v>339</v>
      </c>
      <c r="C948" s="13" t="s">
        <v>340</v>
      </c>
      <c r="D948" s="13" t="s">
        <v>3854</v>
      </c>
      <c r="E948" s="14">
        <v>45970</v>
      </c>
      <c r="F948" s="14">
        <v>46006</v>
      </c>
      <c r="G948" s="15">
        <v>303230.13</v>
      </c>
      <c r="H948" s="13" t="s">
        <v>3855</v>
      </c>
      <c r="I948" s="13" t="s">
        <v>3856</v>
      </c>
      <c r="J948" s="13" t="s">
        <v>143</v>
      </c>
      <c r="K948" s="13">
        <f t="shared" si="70"/>
        <v>3</v>
      </c>
      <c r="L948" s="13">
        <f t="shared" si="71"/>
        <v>0</v>
      </c>
      <c r="M948" s="13">
        <f>IF(AND(L948=0,COUNTIFS($B$2:$B$1534,B948,$G$2:$G$1534,G948,$E$2:$E$1534,"&gt;="&amp;(E948-Assumptions!$B$5),$E$2:$E$1534,"&lt;="&amp;(E948+Assumptions!$B$5))&gt;1),1,0)</f>
        <v>0</v>
      </c>
      <c r="N948" s="13">
        <f>IF(AND(G948&gt;=Assumptions!$B$4*(1-Assumptions!$B$6),G948&lt;Assumptions!$B$4),1,0)</f>
        <v>0</v>
      </c>
      <c r="O948" s="13">
        <f>IF(AND(G948&gt;=Assumptions!$B$7,MOD(G948,Assumptions!$B$7)=0),1,0)</f>
        <v>0</v>
      </c>
      <c r="P948" s="13">
        <f t="shared" si="72"/>
        <v>0</v>
      </c>
      <c r="Q948" s="13">
        <f t="shared" si="73"/>
        <v>0</v>
      </c>
      <c r="R948" s="13">
        <f>L948*Assumptions!$B$11+M948*Assumptions!$B$12+N948*Assumptions!$B$13+O948*Assumptions!$B$14+P948*Assumptions!$B$15+Q948*Assumptions!$B$16</f>
        <v>0</v>
      </c>
      <c r="S948" s="13" t="str">
        <f>IF(R948&gt;=Assumptions!$B$20,"High",IF(R948&gt;=Assumptions!$B$21,"Medium",IF(R948&gt;=1,"Low","Clear")))</f>
        <v>Clear</v>
      </c>
      <c r="T948" s="13" t="str">
        <f t="shared" si="74"/>
        <v/>
      </c>
    </row>
    <row r="949" spans="1:20" x14ac:dyDescent="0.35">
      <c r="A949" s="13" t="s">
        <v>3857</v>
      </c>
      <c r="B949" s="13" t="s">
        <v>125</v>
      </c>
      <c r="C949" s="13" t="s">
        <v>126</v>
      </c>
      <c r="D949" s="13" t="s">
        <v>3858</v>
      </c>
      <c r="E949" s="14">
        <v>45974</v>
      </c>
      <c r="F949" s="14">
        <v>46006</v>
      </c>
      <c r="G949" s="15">
        <v>509864.66</v>
      </c>
      <c r="H949" s="13" t="s">
        <v>3859</v>
      </c>
      <c r="I949" s="13" t="s">
        <v>3860</v>
      </c>
      <c r="J949" s="13" t="s">
        <v>170</v>
      </c>
      <c r="K949" s="13">
        <f t="shared" si="70"/>
        <v>5</v>
      </c>
      <c r="L949" s="13">
        <f t="shared" si="71"/>
        <v>0</v>
      </c>
      <c r="M949" s="13">
        <f>IF(AND(L949=0,COUNTIFS($B$2:$B$1534,B949,$G$2:$G$1534,G949,$E$2:$E$1534,"&gt;="&amp;(E949-Assumptions!$B$5),$E$2:$E$1534,"&lt;="&amp;(E949+Assumptions!$B$5))&gt;1),1,0)</f>
        <v>0</v>
      </c>
      <c r="N949" s="13">
        <f>IF(AND(G949&gt;=Assumptions!$B$4*(1-Assumptions!$B$6),G949&lt;Assumptions!$B$4),1,0)</f>
        <v>0</v>
      </c>
      <c r="O949" s="13">
        <f>IF(AND(G949&gt;=Assumptions!$B$7,MOD(G949,Assumptions!$B$7)=0),1,0)</f>
        <v>0</v>
      </c>
      <c r="P949" s="13">
        <f t="shared" si="72"/>
        <v>0</v>
      </c>
      <c r="Q949" s="13">
        <f t="shared" si="73"/>
        <v>0</v>
      </c>
      <c r="R949" s="13">
        <f>L949*Assumptions!$B$11+M949*Assumptions!$B$12+N949*Assumptions!$B$13+O949*Assumptions!$B$14+P949*Assumptions!$B$15+Q949*Assumptions!$B$16</f>
        <v>0</v>
      </c>
      <c r="S949" s="13" t="str">
        <f>IF(R949&gt;=Assumptions!$B$20,"High",IF(R949&gt;=Assumptions!$B$21,"Medium",IF(R949&gt;=1,"Low","Clear")))</f>
        <v>Clear</v>
      </c>
      <c r="T949" s="13" t="str">
        <f t="shared" si="74"/>
        <v/>
      </c>
    </row>
    <row r="950" spans="1:20" x14ac:dyDescent="0.35">
      <c r="A950" s="13" t="s">
        <v>3861</v>
      </c>
      <c r="B950" s="13" t="s">
        <v>357</v>
      </c>
      <c r="C950" s="13" t="s">
        <v>358</v>
      </c>
      <c r="D950" s="13" t="s">
        <v>3862</v>
      </c>
      <c r="E950" s="14">
        <v>45982</v>
      </c>
      <c r="F950" s="14">
        <v>46006</v>
      </c>
      <c r="G950" s="15">
        <v>2150.67</v>
      </c>
      <c r="H950" s="13" t="s">
        <v>3863</v>
      </c>
      <c r="I950" s="13" t="s">
        <v>3864</v>
      </c>
      <c r="J950" s="13" t="s">
        <v>91</v>
      </c>
      <c r="K950" s="13">
        <f t="shared" si="70"/>
        <v>2</v>
      </c>
      <c r="L950" s="13">
        <f t="shared" si="71"/>
        <v>0</v>
      </c>
      <c r="M950" s="13">
        <f>IF(AND(L950=0,COUNTIFS($B$2:$B$1534,B950,$G$2:$G$1534,G950,$E$2:$E$1534,"&gt;="&amp;(E950-Assumptions!$B$5),$E$2:$E$1534,"&lt;="&amp;(E950+Assumptions!$B$5))&gt;1),1,0)</f>
        <v>0</v>
      </c>
      <c r="N950" s="13">
        <f>IF(AND(G950&gt;=Assumptions!$B$4*(1-Assumptions!$B$6),G950&lt;Assumptions!$B$4),1,0)</f>
        <v>0</v>
      </c>
      <c r="O950" s="13">
        <f>IF(AND(G950&gt;=Assumptions!$B$7,MOD(G950,Assumptions!$B$7)=0),1,0)</f>
        <v>0</v>
      </c>
      <c r="P950" s="13">
        <f t="shared" si="72"/>
        <v>0</v>
      </c>
      <c r="Q950" s="13">
        <f t="shared" si="73"/>
        <v>0</v>
      </c>
      <c r="R950" s="13">
        <f>L950*Assumptions!$B$11+M950*Assumptions!$B$12+N950*Assumptions!$B$13+O950*Assumptions!$B$14+P950*Assumptions!$B$15+Q950*Assumptions!$B$16</f>
        <v>0</v>
      </c>
      <c r="S950" s="13" t="str">
        <f>IF(R950&gt;=Assumptions!$B$20,"High",IF(R950&gt;=Assumptions!$B$21,"Medium",IF(R950&gt;=1,"Low","Clear")))</f>
        <v>Clear</v>
      </c>
      <c r="T950" s="13" t="str">
        <f t="shared" si="74"/>
        <v/>
      </c>
    </row>
    <row r="951" spans="1:20" x14ac:dyDescent="0.35">
      <c r="A951" s="13" t="s">
        <v>3865</v>
      </c>
      <c r="B951" s="13" t="s">
        <v>228</v>
      </c>
      <c r="C951" s="13" t="s">
        <v>229</v>
      </c>
      <c r="D951" s="13" t="s">
        <v>3866</v>
      </c>
      <c r="E951" s="14">
        <v>45984</v>
      </c>
      <c r="F951" s="14">
        <v>46007</v>
      </c>
      <c r="G951" s="15">
        <v>258041.92</v>
      </c>
      <c r="H951" s="13" t="s">
        <v>3867</v>
      </c>
      <c r="I951" s="13" t="s">
        <v>3868</v>
      </c>
      <c r="J951" s="13" t="s">
        <v>111</v>
      </c>
      <c r="K951" s="13">
        <f t="shared" si="70"/>
        <v>2</v>
      </c>
      <c r="L951" s="13">
        <f t="shared" si="71"/>
        <v>0</v>
      </c>
      <c r="M951" s="13">
        <f>IF(AND(L951=0,COUNTIFS($B$2:$B$1534,B951,$G$2:$G$1534,G951,$E$2:$E$1534,"&gt;="&amp;(E951-Assumptions!$B$5),$E$2:$E$1534,"&lt;="&amp;(E951+Assumptions!$B$5))&gt;1),1,0)</f>
        <v>0</v>
      </c>
      <c r="N951" s="13">
        <f>IF(AND(G951&gt;=Assumptions!$B$4*(1-Assumptions!$B$6),G951&lt;Assumptions!$B$4),1,0)</f>
        <v>0</v>
      </c>
      <c r="O951" s="13">
        <f>IF(AND(G951&gt;=Assumptions!$B$7,MOD(G951,Assumptions!$B$7)=0),1,0)</f>
        <v>0</v>
      </c>
      <c r="P951" s="13">
        <f t="shared" si="72"/>
        <v>0</v>
      </c>
      <c r="Q951" s="13">
        <f t="shared" si="73"/>
        <v>0</v>
      </c>
      <c r="R951" s="13">
        <f>L951*Assumptions!$B$11+M951*Assumptions!$B$12+N951*Assumptions!$B$13+O951*Assumptions!$B$14+P951*Assumptions!$B$15+Q951*Assumptions!$B$16</f>
        <v>0</v>
      </c>
      <c r="S951" s="13" t="str">
        <f>IF(R951&gt;=Assumptions!$B$20,"High",IF(R951&gt;=Assumptions!$B$21,"Medium",IF(R951&gt;=1,"Low","Clear")))</f>
        <v>Clear</v>
      </c>
      <c r="T951" s="13" t="str">
        <f t="shared" si="74"/>
        <v/>
      </c>
    </row>
    <row r="952" spans="1:20" x14ac:dyDescent="0.35">
      <c r="A952" s="13" t="s">
        <v>3869</v>
      </c>
      <c r="B952" s="13" t="s">
        <v>670</v>
      </c>
      <c r="C952" s="13" t="s">
        <v>671</v>
      </c>
      <c r="D952" s="13" t="s">
        <v>3870</v>
      </c>
      <c r="E952" s="14">
        <v>45984</v>
      </c>
      <c r="F952" s="14">
        <v>46007</v>
      </c>
      <c r="G952" s="15">
        <v>87726.15</v>
      </c>
      <c r="H952" s="13" t="s">
        <v>3871</v>
      </c>
      <c r="I952" s="13" t="s">
        <v>3872</v>
      </c>
      <c r="J952" s="13" t="s">
        <v>136</v>
      </c>
      <c r="K952" s="13">
        <f t="shared" si="70"/>
        <v>8</v>
      </c>
      <c r="L952" s="13">
        <f t="shared" si="71"/>
        <v>0</v>
      </c>
      <c r="M952" s="13">
        <f>IF(AND(L952=0,COUNTIFS($B$2:$B$1534,B952,$G$2:$G$1534,G952,$E$2:$E$1534,"&gt;="&amp;(E952-Assumptions!$B$5),$E$2:$E$1534,"&lt;="&amp;(E952+Assumptions!$B$5))&gt;1),1,0)</f>
        <v>0</v>
      </c>
      <c r="N952" s="13">
        <f>IF(AND(G952&gt;=Assumptions!$B$4*(1-Assumptions!$B$6),G952&lt;Assumptions!$B$4),1,0)</f>
        <v>0</v>
      </c>
      <c r="O952" s="13">
        <f>IF(AND(G952&gt;=Assumptions!$B$7,MOD(G952,Assumptions!$B$7)=0),1,0)</f>
        <v>0</v>
      </c>
      <c r="P952" s="13">
        <f t="shared" si="72"/>
        <v>0</v>
      </c>
      <c r="Q952" s="13">
        <f t="shared" si="73"/>
        <v>0</v>
      </c>
      <c r="R952" s="13">
        <f>L952*Assumptions!$B$11+M952*Assumptions!$B$12+N952*Assumptions!$B$13+O952*Assumptions!$B$14+P952*Assumptions!$B$15+Q952*Assumptions!$B$16</f>
        <v>0</v>
      </c>
      <c r="S952" s="13" t="str">
        <f>IF(R952&gt;=Assumptions!$B$20,"High",IF(R952&gt;=Assumptions!$B$21,"Medium",IF(R952&gt;=1,"Low","Clear")))</f>
        <v>Clear</v>
      </c>
      <c r="T952" s="13" t="str">
        <f t="shared" si="74"/>
        <v/>
      </c>
    </row>
    <row r="953" spans="1:20" x14ac:dyDescent="0.35">
      <c r="A953" s="13" t="s">
        <v>3873</v>
      </c>
      <c r="B953" s="13" t="s">
        <v>279</v>
      </c>
      <c r="C953" s="13" t="s">
        <v>280</v>
      </c>
      <c r="D953" s="13" t="s">
        <v>3874</v>
      </c>
      <c r="E953" s="14">
        <v>45976</v>
      </c>
      <c r="F953" s="14">
        <v>46007</v>
      </c>
      <c r="G953" s="15">
        <v>1894.28</v>
      </c>
      <c r="H953" s="13" t="s">
        <v>3875</v>
      </c>
      <c r="I953" s="13" t="s">
        <v>3876</v>
      </c>
      <c r="J953" s="13" t="s">
        <v>136</v>
      </c>
      <c r="K953" s="13">
        <f t="shared" si="70"/>
        <v>1</v>
      </c>
      <c r="L953" s="13">
        <f t="shared" si="71"/>
        <v>0</v>
      </c>
      <c r="M953" s="13">
        <f>IF(AND(L953=0,COUNTIFS($B$2:$B$1534,B953,$G$2:$G$1534,G953,$E$2:$E$1534,"&gt;="&amp;(E953-Assumptions!$B$5),$E$2:$E$1534,"&lt;="&amp;(E953+Assumptions!$B$5))&gt;1),1,0)</f>
        <v>0</v>
      </c>
      <c r="N953" s="13">
        <f>IF(AND(G953&gt;=Assumptions!$B$4*(1-Assumptions!$B$6),G953&lt;Assumptions!$B$4),1,0)</f>
        <v>0</v>
      </c>
      <c r="O953" s="13">
        <f>IF(AND(G953&gt;=Assumptions!$B$7,MOD(G953,Assumptions!$B$7)=0),1,0)</f>
        <v>0</v>
      </c>
      <c r="P953" s="13">
        <f t="shared" si="72"/>
        <v>0</v>
      </c>
      <c r="Q953" s="13">
        <f t="shared" si="73"/>
        <v>0</v>
      </c>
      <c r="R953" s="13">
        <f>L953*Assumptions!$B$11+M953*Assumptions!$B$12+N953*Assumptions!$B$13+O953*Assumptions!$B$14+P953*Assumptions!$B$15+Q953*Assumptions!$B$16</f>
        <v>0</v>
      </c>
      <c r="S953" s="13" t="str">
        <f>IF(R953&gt;=Assumptions!$B$20,"High",IF(R953&gt;=Assumptions!$B$21,"Medium",IF(R953&gt;=1,"Low","Clear")))</f>
        <v>Clear</v>
      </c>
      <c r="T953" s="13" t="str">
        <f t="shared" si="74"/>
        <v/>
      </c>
    </row>
    <row r="954" spans="1:20" x14ac:dyDescent="0.35">
      <c r="A954" s="13" t="s">
        <v>3877</v>
      </c>
      <c r="B954" s="13" t="s">
        <v>556</v>
      </c>
      <c r="C954" s="13" t="s">
        <v>557</v>
      </c>
      <c r="D954" s="13" t="s">
        <v>3878</v>
      </c>
      <c r="E954" s="14">
        <v>45971</v>
      </c>
      <c r="F954" s="14">
        <v>46007</v>
      </c>
      <c r="G954" s="15">
        <v>757223.45</v>
      </c>
      <c r="H954" s="13" t="s">
        <v>3879</v>
      </c>
      <c r="I954" s="13" t="s">
        <v>3880</v>
      </c>
      <c r="J954" s="13" t="s">
        <v>170</v>
      </c>
      <c r="K954" s="13">
        <f t="shared" si="70"/>
        <v>7</v>
      </c>
      <c r="L954" s="13">
        <f t="shared" si="71"/>
        <v>0</v>
      </c>
      <c r="M954" s="13">
        <f>IF(AND(L954=0,COUNTIFS($B$2:$B$1534,B954,$G$2:$G$1534,G954,$E$2:$E$1534,"&gt;="&amp;(E954-Assumptions!$B$5),$E$2:$E$1534,"&lt;="&amp;(E954+Assumptions!$B$5))&gt;1),1,0)</f>
        <v>0</v>
      </c>
      <c r="N954" s="13">
        <f>IF(AND(G954&gt;=Assumptions!$B$4*(1-Assumptions!$B$6),G954&lt;Assumptions!$B$4),1,0)</f>
        <v>0</v>
      </c>
      <c r="O954" s="13">
        <f>IF(AND(G954&gt;=Assumptions!$B$7,MOD(G954,Assumptions!$B$7)=0),1,0)</f>
        <v>0</v>
      </c>
      <c r="P954" s="13">
        <f t="shared" si="72"/>
        <v>0</v>
      </c>
      <c r="Q954" s="13">
        <f t="shared" si="73"/>
        <v>0</v>
      </c>
      <c r="R954" s="13">
        <f>L954*Assumptions!$B$11+M954*Assumptions!$B$12+N954*Assumptions!$B$13+O954*Assumptions!$B$14+P954*Assumptions!$B$15+Q954*Assumptions!$B$16</f>
        <v>0</v>
      </c>
      <c r="S954" s="13" t="str">
        <f>IF(R954&gt;=Assumptions!$B$20,"High",IF(R954&gt;=Assumptions!$B$21,"Medium",IF(R954&gt;=1,"Low","Clear")))</f>
        <v>Clear</v>
      </c>
      <c r="T954" s="13" t="str">
        <f t="shared" si="74"/>
        <v/>
      </c>
    </row>
    <row r="955" spans="1:20" x14ac:dyDescent="0.35">
      <c r="A955" s="13" t="s">
        <v>3881</v>
      </c>
      <c r="B955" s="13" t="s">
        <v>125</v>
      </c>
      <c r="C955" s="13" t="s">
        <v>126</v>
      </c>
      <c r="D955" s="13" t="s">
        <v>3882</v>
      </c>
      <c r="E955" s="14">
        <v>45974</v>
      </c>
      <c r="F955" s="14">
        <v>46007</v>
      </c>
      <c r="G955" s="15">
        <v>6599.34</v>
      </c>
      <c r="H955" s="13" t="s">
        <v>3883</v>
      </c>
      <c r="I955" s="13" t="s">
        <v>3884</v>
      </c>
      <c r="J955" s="13" t="s">
        <v>111</v>
      </c>
      <c r="K955" s="13">
        <f t="shared" si="70"/>
        <v>6</v>
      </c>
      <c r="L955" s="13">
        <f t="shared" si="71"/>
        <v>0</v>
      </c>
      <c r="M955" s="13">
        <f>IF(AND(L955=0,COUNTIFS($B$2:$B$1534,B955,$G$2:$G$1534,G955,$E$2:$E$1534,"&gt;="&amp;(E955-Assumptions!$B$5),$E$2:$E$1534,"&lt;="&amp;(E955+Assumptions!$B$5))&gt;1),1,0)</f>
        <v>0</v>
      </c>
      <c r="N955" s="13">
        <f>IF(AND(G955&gt;=Assumptions!$B$4*(1-Assumptions!$B$6),G955&lt;Assumptions!$B$4),1,0)</f>
        <v>0</v>
      </c>
      <c r="O955" s="13">
        <f>IF(AND(G955&gt;=Assumptions!$B$7,MOD(G955,Assumptions!$B$7)=0),1,0)</f>
        <v>0</v>
      </c>
      <c r="P955" s="13">
        <f t="shared" si="72"/>
        <v>0</v>
      </c>
      <c r="Q955" s="13">
        <f t="shared" si="73"/>
        <v>0</v>
      </c>
      <c r="R955" s="13">
        <f>L955*Assumptions!$B$11+M955*Assumptions!$B$12+N955*Assumptions!$B$13+O955*Assumptions!$B$14+P955*Assumptions!$B$15+Q955*Assumptions!$B$16</f>
        <v>0</v>
      </c>
      <c r="S955" s="13" t="str">
        <f>IF(R955&gt;=Assumptions!$B$20,"High",IF(R955&gt;=Assumptions!$B$21,"Medium",IF(R955&gt;=1,"Low","Clear")))</f>
        <v>Clear</v>
      </c>
      <c r="T955" s="13" t="str">
        <f t="shared" si="74"/>
        <v/>
      </c>
    </row>
    <row r="956" spans="1:20" x14ac:dyDescent="0.35">
      <c r="A956" s="13" t="s">
        <v>3885</v>
      </c>
      <c r="B956" s="13" t="s">
        <v>125</v>
      </c>
      <c r="C956" s="13" t="s">
        <v>126</v>
      </c>
      <c r="D956" s="13" t="s">
        <v>3886</v>
      </c>
      <c r="E956" s="14">
        <v>45967</v>
      </c>
      <c r="F956" s="14">
        <v>46007</v>
      </c>
      <c r="G956" s="15">
        <v>5415.63</v>
      </c>
      <c r="H956" s="13" t="s">
        <v>3887</v>
      </c>
      <c r="I956" s="13" t="s">
        <v>3888</v>
      </c>
      <c r="J956" s="13" t="s">
        <v>91</v>
      </c>
      <c r="K956" s="13">
        <f t="shared" si="70"/>
        <v>5</v>
      </c>
      <c r="L956" s="13">
        <f t="shared" si="71"/>
        <v>0</v>
      </c>
      <c r="M956" s="13">
        <f>IF(AND(L956=0,COUNTIFS($B$2:$B$1534,B956,$G$2:$G$1534,G956,$E$2:$E$1534,"&gt;="&amp;(E956-Assumptions!$B$5),$E$2:$E$1534,"&lt;="&amp;(E956+Assumptions!$B$5))&gt;1),1,0)</f>
        <v>0</v>
      </c>
      <c r="N956" s="13">
        <f>IF(AND(G956&gt;=Assumptions!$B$4*(1-Assumptions!$B$6),G956&lt;Assumptions!$B$4),1,0)</f>
        <v>0</v>
      </c>
      <c r="O956" s="13">
        <f>IF(AND(G956&gt;=Assumptions!$B$7,MOD(G956,Assumptions!$B$7)=0),1,0)</f>
        <v>0</v>
      </c>
      <c r="P956" s="13">
        <f t="shared" si="72"/>
        <v>0</v>
      </c>
      <c r="Q956" s="13">
        <f t="shared" si="73"/>
        <v>0</v>
      </c>
      <c r="R956" s="13">
        <f>L956*Assumptions!$B$11+M956*Assumptions!$B$12+N956*Assumptions!$B$13+O956*Assumptions!$B$14+P956*Assumptions!$B$15+Q956*Assumptions!$B$16</f>
        <v>0</v>
      </c>
      <c r="S956" s="13" t="str">
        <f>IF(R956&gt;=Assumptions!$B$20,"High",IF(R956&gt;=Assumptions!$B$21,"Medium",IF(R956&gt;=1,"Low","Clear")))</f>
        <v>Clear</v>
      </c>
      <c r="T956" s="13" t="str">
        <f t="shared" si="74"/>
        <v/>
      </c>
    </row>
    <row r="957" spans="1:20" x14ac:dyDescent="0.35">
      <c r="A957" s="13" t="s">
        <v>3889</v>
      </c>
      <c r="B957" s="13" t="s">
        <v>228</v>
      </c>
      <c r="C957" s="13" t="s">
        <v>229</v>
      </c>
      <c r="D957" s="13" t="s">
        <v>3890</v>
      </c>
      <c r="E957" s="14">
        <v>45978</v>
      </c>
      <c r="F957" s="14">
        <v>46008</v>
      </c>
      <c r="G957" s="15">
        <v>6015.99</v>
      </c>
      <c r="H957" s="13" t="s">
        <v>3891</v>
      </c>
      <c r="I957" s="13" t="s">
        <v>3892</v>
      </c>
      <c r="J957" s="13" t="s">
        <v>91</v>
      </c>
      <c r="K957" s="13">
        <f t="shared" si="70"/>
        <v>6</v>
      </c>
      <c r="L957" s="13">
        <f t="shared" si="71"/>
        <v>0</v>
      </c>
      <c r="M957" s="13">
        <f>IF(AND(L957=0,COUNTIFS($B$2:$B$1534,B957,$G$2:$G$1534,G957,$E$2:$E$1534,"&gt;="&amp;(E957-Assumptions!$B$5),$E$2:$E$1534,"&lt;="&amp;(E957+Assumptions!$B$5))&gt;1),1,0)</f>
        <v>0</v>
      </c>
      <c r="N957" s="13">
        <f>IF(AND(G957&gt;=Assumptions!$B$4*(1-Assumptions!$B$6),G957&lt;Assumptions!$B$4),1,0)</f>
        <v>0</v>
      </c>
      <c r="O957" s="13">
        <f>IF(AND(G957&gt;=Assumptions!$B$7,MOD(G957,Assumptions!$B$7)=0),1,0)</f>
        <v>0</v>
      </c>
      <c r="P957" s="13">
        <f t="shared" si="72"/>
        <v>0</v>
      </c>
      <c r="Q957" s="13">
        <f t="shared" si="73"/>
        <v>0</v>
      </c>
      <c r="R957" s="13">
        <f>L957*Assumptions!$B$11+M957*Assumptions!$B$12+N957*Assumptions!$B$13+O957*Assumptions!$B$14+P957*Assumptions!$B$15+Q957*Assumptions!$B$16</f>
        <v>0</v>
      </c>
      <c r="S957" s="13" t="str">
        <f>IF(R957&gt;=Assumptions!$B$20,"High",IF(R957&gt;=Assumptions!$B$21,"Medium",IF(R957&gt;=1,"Low","Clear")))</f>
        <v>Clear</v>
      </c>
      <c r="T957" s="13" t="str">
        <f t="shared" si="74"/>
        <v/>
      </c>
    </row>
    <row r="958" spans="1:20" x14ac:dyDescent="0.35">
      <c r="A958" s="13" t="s">
        <v>3893</v>
      </c>
      <c r="B958" s="13" t="s">
        <v>307</v>
      </c>
      <c r="C958" s="13" t="s">
        <v>308</v>
      </c>
      <c r="D958" s="13" t="s">
        <v>3894</v>
      </c>
      <c r="E958" s="14">
        <v>45968</v>
      </c>
      <c r="F958" s="14">
        <v>46008</v>
      </c>
      <c r="G958" s="15">
        <v>836904.94</v>
      </c>
      <c r="H958" s="13" t="s">
        <v>3895</v>
      </c>
      <c r="I958" s="13" t="s">
        <v>3896</v>
      </c>
      <c r="J958" s="13" t="s">
        <v>170</v>
      </c>
      <c r="K958" s="13">
        <f t="shared" si="70"/>
        <v>8</v>
      </c>
      <c r="L958" s="13">
        <f t="shared" si="71"/>
        <v>0</v>
      </c>
      <c r="M958" s="13">
        <f>IF(AND(L958=0,COUNTIFS($B$2:$B$1534,B958,$G$2:$G$1534,G958,$E$2:$E$1534,"&gt;="&amp;(E958-Assumptions!$B$5),$E$2:$E$1534,"&lt;="&amp;(E958+Assumptions!$B$5))&gt;1),1,0)</f>
        <v>0</v>
      </c>
      <c r="N958" s="13">
        <f>IF(AND(G958&gt;=Assumptions!$B$4*(1-Assumptions!$B$6),G958&lt;Assumptions!$B$4),1,0)</f>
        <v>0</v>
      </c>
      <c r="O958" s="13">
        <f>IF(AND(G958&gt;=Assumptions!$B$7,MOD(G958,Assumptions!$B$7)=0),1,0)</f>
        <v>0</v>
      </c>
      <c r="P958" s="13">
        <f t="shared" si="72"/>
        <v>0</v>
      </c>
      <c r="Q958" s="13">
        <f t="shared" si="73"/>
        <v>0</v>
      </c>
      <c r="R958" s="13">
        <f>L958*Assumptions!$B$11+M958*Assumptions!$B$12+N958*Assumptions!$B$13+O958*Assumptions!$B$14+P958*Assumptions!$B$15+Q958*Assumptions!$B$16</f>
        <v>0</v>
      </c>
      <c r="S958" s="13" t="str">
        <f>IF(R958&gt;=Assumptions!$B$20,"High",IF(R958&gt;=Assumptions!$B$21,"Medium",IF(R958&gt;=1,"Low","Clear")))</f>
        <v>Clear</v>
      </c>
      <c r="T958" s="13" t="str">
        <f t="shared" si="74"/>
        <v/>
      </c>
    </row>
    <row r="959" spans="1:20" x14ac:dyDescent="0.35">
      <c r="A959" s="13" t="s">
        <v>3897</v>
      </c>
      <c r="B959" s="13" t="s">
        <v>307</v>
      </c>
      <c r="C959" s="13" t="s">
        <v>308</v>
      </c>
      <c r="D959" s="13" t="s">
        <v>3898</v>
      </c>
      <c r="E959" s="14">
        <v>45987</v>
      </c>
      <c r="F959" s="14">
        <v>46008</v>
      </c>
      <c r="G959" s="15">
        <v>2038.49</v>
      </c>
      <c r="H959" s="13" t="s">
        <v>3899</v>
      </c>
      <c r="I959" s="13" t="s">
        <v>3900</v>
      </c>
      <c r="J959" s="13" t="s">
        <v>111</v>
      </c>
      <c r="K959" s="13">
        <f t="shared" si="70"/>
        <v>2</v>
      </c>
      <c r="L959" s="13">
        <f t="shared" si="71"/>
        <v>0</v>
      </c>
      <c r="M959" s="13">
        <f>IF(AND(L959=0,COUNTIFS($B$2:$B$1534,B959,$G$2:$G$1534,G959,$E$2:$E$1534,"&gt;="&amp;(E959-Assumptions!$B$5),$E$2:$E$1534,"&lt;="&amp;(E959+Assumptions!$B$5))&gt;1),1,0)</f>
        <v>0</v>
      </c>
      <c r="N959" s="13">
        <f>IF(AND(G959&gt;=Assumptions!$B$4*(1-Assumptions!$B$6),G959&lt;Assumptions!$B$4),1,0)</f>
        <v>0</v>
      </c>
      <c r="O959" s="13">
        <f>IF(AND(G959&gt;=Assumptions!$B$7,MOD(G959,Assumptions!$B$7)=0),1,0)</f>
        <v>0</v>
      </c>
      <c r="P959" s="13">
        <f t="shared" si="72"/>
        <v>0</v>
      </c>
      <c r="Q959" s="13">
        <f t="shared" si="73"/>
        <v>0</v>
      </c>
      <c r="R959" s="13">
        <f>L959*Assumptions!$B$11+M959*Assumptions!$B$12+N959*Assumptions!$B$13+O959*Assumptions!$B$14+P959*Assumptions!$B$15+Q959*Assumptions!$B$16</f>
        <v>0</v>
      </c>
      <c r="S959" s="13" t="str">
        <f>IF(R959&gt;=Assumptions!$B$20,"High",IF(R959&gt;=Assumptions!$B$21,"Medium",IF(R959&gt;=1,"Low","Clear")))</f>
        <v>Clear</v>
      </c>
      <c r="T959" s="13" t="str">
        <f t="shared" si="74"/>
        <v/>
      </c>
    </row>
    <row r="960" spans="1:20" x14ac:dyDescent="0.35">
      <c r="A960" s="13" t="s">
        <v>3901</v>
      </c>
      <c r="B960" s="13" t="s">
        <v>212</v>
      </c>
      <c r="C960" s="13" t="s">
        <v>213</v>
      </c>
      <c r="D960" s="13" t="s">
        <v>3902</v>
      </c>
      <c r="E960" s="14">
        <v>45972</v>
      </c>
      <c r="F960" s="14">
        <v>46008</v>
      </c>
      <c r="G960" s="15">
        <v>22618.22</v>
      </c>
      <c r="H960" s="13" t="s">
        <v>3903</v>
      </c>
      <c r="I960" s="13" t="s">
        <v>3904</v>
      </c>
      <c r="J960" s="13" t="s">
        <v>111</v>
      </c>
      <c r="K960" s="13">
        <f t="shared" si="70"/>
        <v>2</v>
      </c>
      <c r="L960" s="13">
        <f t="shared" si="71"/>
        <v>0</v>
      </c>
      <c r="M960" s="13">
        <f>IF(AND(L960=0,COUNTIFS($B$2:$B$1534,B960,$G$2:$G$1534,G960,$E$2:$E$1534,"&gt;="&amp;(E960-Assumptions!$B$5),$E$2:$E$1534,"&lt;="&amp;(E960+Assumptions!$B$5))&gt;1),1,0)</f>
        <v>0</v>
      </c>
      <c r="N960" s="13">
        <f>IF(AND(G960&gt;=Assumptions!$B$4*(1-Assumptions!$B$6),G960&lt;Assumptions!$B$4),1,0)</f>
        <v>0</v>
      </c>
      <c r="O960" s="13">
        <f>IF(AND(G960&gt;=Assumptions!$B$7,MOD(G960,Assumptions!$B$7)=0),1,0)</f>
        <v>0</v>
      </c>
      <c r="P960" s="13">
        <f t="shared" si="72"/>
        <v>0</v>
      </c>
      <c r="Q960" s="13">
        <f t="shared" si="73"/>
        <v>0</v>
      </c>
      <c r="R960" s="13">
        <f>L960*Assumptions!$B$11+M960*Assumptions!$B$12+N960*Assumptions!$B$13+O960*Assumptions!$B$14+P960*Assumptions!$B$15+Q960*Assumptions!$B$16</f>
        <v>0</v>
      </c>
      <c r="S960" s="13" t="str">
        <f>IF(R960&gt;=Assumptions!$B$20,"High",IF(R960&gt;=Assumptions!$B$21,"Medium",IF(R960&gt;=1,"Low","Clear")))</f>
        <v>Clear</v>
      </c>
      <c r="T960" s="13" t="str">
        <f t="shared" si="74"/>
        <v/>
      </c>
    </row>
    <row r="961" spans="1:20" x14ac:dyDescent="0.35">
      <c r="A961" s="13" t="s">
        <v>3905</v>
      </c>
      <c r="B961" s="13" t="s">
        <v>329</v>
      </c>
      <c r="C961" s="13" t="s">
        <v>330</v>
      </c>
      <c r="D961" s="13" t="s">
        <v>3906</v>
      </c>
      <c r="E961" s="14">
        <v>45973</v>
      </c>
      <c r="F961" s="14">
        <v>46008</v>
      </c>
      <c r="G961" s="15">
        <v>156729.54999999999</v>
      </c>
      <c r="H961" s="13" t="s">
        <v>3907</v>
      </c>
      <c r="I961" s="13" t="s">
        <v>3908</v>
      </c>
      <c r="J961" s="13" t="s">
        <v>143</v>
      </c>
      <c r="K961" s="13">
        <f t="shared" si="70"/>
        <v>1</v>
      </c>
      <c r="L961" s="13">
        <f t="shared" si="71"/>
        <v>0</v>
      </c>
      <c r="M961" s="13">
        <f>IF(AND(L961=0,COUNTIFS($B$2:$B$1534,B961,$G$2:$G$1534,G961,$E$2:$E$1534,"&gt;="&amp;(E961-Assumptions!$B$5),$E$2:$E$1534,"&lt;="&amp;(E961+Assumptions!$B$5))&gt;1),1,0)</f>
        <v>0</v>
      </c>
      <c r="N961" s="13">
        <f>IF(AND(G961&gt;=Assumptions!$B$4*(1-Assumptions!$B$6),G961&lt;Assumptions!$B$4),1,0)</f>
        <v>0</v>
      </c>
      <c r="O961" s="13">
        <f>IF(AND(G961&gt;=Assumptions!$B$7,MOD(G961,Assumptions!$B$7)=0),1,0)</f>
        <v>0</v>
      </c>
      <c r="P961" s="13">
        <f t="shared" si="72"/>
        <v>0</v>
      </c>
      <c r="Q961" s="13">
        <f t="shared" si="73"/>
        <v>0</v>
      </c>
      <c r="R961" s="13">
        <f>L961*Assumptions!$B$11+M961*Assumptions!$B$12+N961*Assumptions!$B$13+O961*Assumptions!$B$14+P961*Assumptions!$B$15+Q961*Assumptions!$B$16</f>
        <v>0</v>
      </c>
      <c r="S961" s="13" t="str">
        <f>IF(R961&gt;=Assumptions!$B$20,"High",IF(R961&gt;=Assumptions!$B$21,"Medium",IF(R961&gt;=1,"Low","Clear")))</f>
        <v>Clear</v>
      </c>
      <c r="T961" s="13" t="str">
        <f t="shared" si="74"/>
        <v/>
      </c>
    </row>
    <row r="962" spans="1:20" x14ac:dyDescent="0.35">
      <c r="A962" s="13" t="s">
        <v>3909</v>
      </c>
      <c r="B962" s="13" t="s">
        <v>100</v>
      </c>
      <c r="C962" s="13" t="s">
        <v>101</v>
      </c>
      <c r="D962" s="13" t="s">
        <v>3910</v>
      </c>
      <c r="E962" s="14">
        <v>45976</v>
      </c>
      <c r="F962" s="14">
        <v>46008</v>
      </c>
      <c r="G962" s="15">
        <v>26873.18</v>
      </c>
      <c r="H962" s="13" t="s">
        <v>3911</v>
      </c>
      <c r="I962" s="13" t="s">
        <v>3912</v>
      </c>
      <c r="J962" s="13" t="s">
        <v>98</v>
      </c>
      <c r="K962" s="13">
        <f t="shared" ref="K962:K1025" si="75">VALUE(LEFT(TEXT(G962,"0"),1))</f>
        <v>2</v>
      </c>
      <c r="L962" s="13">
        <f t="shared" ref="L962:L1025" si="76">IF(COUNTIFS($B$2:$B$1534,B962,$D$2:$D$1534,D962)&gt;1,1,0)</f>
        <v>0</v>
      </c>
      <c r="M962" s="13">
        <f>IF(AND(L962=0,COUNTIFS($B$2:$B$1534,B962,$G$2:$G$1534,G962,$E$2:$E$1534,"&gt;="&amp;(E962-Assumptions!$B$5),$E$2:$E$1534,"&lt;="&amp;(E962+Assumptions!$B$5))&gt;1),1,0)</f>
        <v>0</v>
      </c>
      <c r="N962" s="13">
        <f>IF(AND(G962&gt;=Assumptions!$B$4*(1-Assumptions!$B$6),G962&lt;Assumptions!$B$4),1,0)</f>
        <v>0</v>
      </c>
      <c r="O962" s="13">
        <f>IF(AND(G962&gt;=Assumptions!$B$7,MOD(G962,Assumptions!$B$7)=0),1,0)</f>
        <v>0</v>
      </c>
      <c r="P962" s="13">
        <f t="shared" ref="P962:P1025" si="77">IF(OR(H962="",I962=""),1,0)</f>
        <v>0</v>
      </c>
      <c r="Q962" s="13">
        <f t="shared" ref="Q962:Q1025" si="78">IF(WEEKDAY(F962,2)&gt;5,1,0)</f>
        <v>0</v>
      </c>
      <c r="R962" s="13">
        <f>L962*Assumptions!$B$11+M962*Assumptions!$B$12+N962*Assumptions!$B$13+O962*Assumptions!$B$14+P962*Assumptions!$B$15+Q962*Assumptions!$B$16</f>
        <v>0</v>
      </c>
      <c r="S962" s="13" t="str">
        <f>IF(R962&gt;=Assumptions!$B$20,"High",IF(R962&gt;=Assumptions!$B$21,"Medium",IF(R962&gt;=1,"Low","Clear")))</f>
        <v>Clear</v>
      </c>
      <c r="T962" s="13" t="str">
        <f t="shared" ref="T962:T1025" si="79">IF(R962=0,"",IF(L962=1,"Duplicate invoice; ","")&amp;IF(M962=1,"Near-duplicate; ","")&amp;IF(N962=1,"Just below limit; ","")&amp;IF(O962=1,"Round amount; ","")&amp;IF(P962=1,"No PO/GRN; ","")&amp;IF(Q962=1,"Weekend payment; ",""))</f>
        <v/>
      </c>
    </row>
    <row r="963" spans="1:20" x14ac:dyDescent="0.35">
      <c r="A963" s="13" t="s">
        <v>3913</v>
      </c>
      <c r="B963" s="13" t="s">
        <v>670</v>
      </c>
      <c r="C963" s="13" t="s">
        <v>671</v>
      </c>
      <c r="D963" s="13" t="s">
        <v>3914</v>
      </c>
      <c r="E963" s="14">
        <v>45988</v>
      </c>
      <c r="F963" s="14">
        <v>46009</v>
      </c>
      <c r="G963" s="15">
        <v>397356.31</v>
      </c>
      <c r="H963" s="13" t="s">
        <v>3915</v>
      </c>
      <c r="I963" s="13" t="s">
        <v>3916</v>
      </c>
      <c r="J963" s="13" t="s">
        <v>91</v>
      </c>
      <c r="K963" s="13">
        <f t="shared" si="75"/>
        <v>3</v>
      </c>
      <c r="L963" s="13">
        <f t="shared" si="76"/>
        <v>0</v>
      </c>
      <c r="M963" s="13">
        <f>IF(AND(L963=0,COUNTIFS($B$2:$B$1534,B963,$G$2:$G$1534,G963,$E$2:$E$1534,"&gt;="&amp;(E963-Assumptions!$B$5),$E$2:$E$1534,"&lt;="&amp;(E963+Assumptions!$B$5))&gt;1),1,0)</f>
        <v>0</v>
      </c>
      <c r="N963" s="13">
        <f>IF(AND(G963&gt;=Assumptions!$B$4*(1-Assumptions!$B$6),G963&lt;Assumptions!$B$4),1,0)</f>
        <v>0</v>
      </c>
      <c r="O963" s="13">
        <f>IF(AND(G963&gt;=Assumptions!$B$7,MOD(G963,Assumptions!$B$7)=0),1,0)</f>
        <v>0</v>
      </c>
      <c r="P963" s="13">
        <f t="shared" si="77"/>
        <v>0</v>
      </c>
      <c r="Q963" s="13">
        <f t="shared" si="78"/>
        <v>0</v>
      </c>
      <c r="R963" s="13">
        <f>L963*Assumptions!$B$11+M963*Assumptions!$B$12+N963*Assumptions!$B$13+O963*Assumptions!$B$14+P963*Assumptions!$B$15+Q963*Assumptions!$B$16</f>
        <v>0</v>
      </c>
      <c r="S963" s="13" t="str">
        <f>IF(R963&gt;=Assumptions!$B$20,"High",IF(R963&gt;=Assumptions!$B$21,"Medium",IF(R963&gt;=1,"Low","Clear")))</f>
        <v>Clear</v>
      </c>
      <c r="T963" s="13" t="str">
        <f t="shared" si="79"/>
        <v/>
      </c>
    </row>
    <row r="964" spans="1:20" x14ac:dyDescent="0.35">
      <c r="A964" s="13" t="s">
        <v>3917</v>
      </c>
      <c r="B964" s="13" t="s">
        <v>670</v>
      </c>
      <c r="C964" s="13" t="s">
        <v>671</v>
      </c>
      <c r="D964" s="13" t="s">
        <v>3918</v>
      </c>
      <c r="E964" s="14">
        <v>45986</v>
      </c>
      <c r="F964" s="14">
        <v>46009</v>
      </c>
      <c r="G964" s="15">
        <v>36239.550000000003</v>
      </c>
      <c r="H964" s="13" t="s">
        <v>3919</v>
      </c>
      <c r="I964" s="13" t="s">
        <v>3920</v>
      </c>
      <c r="J964" s="13" t="s">
        <v>136</v>
      </c>
      <c r="K964" s="13">
        <f t="shared" si="75"/>
        <v>3</v>
      </c>
      <c r="L964" s="13">
        <f t="shared" si="76"/>
        <v>0</v>
      </c>
      <c r="M964" s="13">
        <f>IF(AND(L964=0,COUNTIFS($B$2:$B$1534,B964,$G$2:$G$1534,G964,$E$2:$E$1534,"&gt;="&amp;(E964-Assumptions!$B$5),$E$2:$E$1534,"&lt;="&amp;(E964+Assumptions!$B$5))&gt;1),1,0)</f>
        <v>0</v>
      </c>
      <c r="N964" s="13">
        <f>IF(AND(G964&gt;=Assumptions!$B$4*(1-Assumptions!$B$6),G964&lt;Assumptions!$B$4),1,0)</f>
        <v>0</v>
      </c>
      <c r="O964" s="13">
        <f>IF(AND(G964&gt;=Assumptions!$B$7,MOD(G964,Assumptions!$B$7)=0),1,0)</f>
        <v>0</v>
      </c>
      <c r="P964" s="13">
        <f t="shared" si="77"/>
        <v>0</v>
      </c>
      <c r="Q964" s="13">
        <f t="shared" si="78"/>
        <v>0</v>
      </c>
      <c r="R964" s="13">
        <f>L964*Assumptions!$B$11+M964*Assumptions!$B$12+N964*Assumptions!$B$13+O964*Assumptions!$B$14+P964*Assumptions!$B$15+Q964*Assumptions!$B$16</f>
        <v>0</v>
      </c>
      <c r="S964" s="13" t="str">
        <f>IF(R964&gt;=Assumptions!$B$20,"High",IF(R964&gt;=Assumptions!$B$21,"Medium",IF(R964&gt;=1,"Low","Clear")))</f>
        <v>Clear</v>
      </c>
      <c r="T964" s="13" t="str">
        <f t="shared" si="79"/>
        <v/>
      </c>
    </row>
    <row r="965" spans="1:20" x14ac:dyDescent="0.35">
      <c r="A965" s="13" t="s">
        <v>3921</v>
      </c>
      <c r="B965" s="13" t="s">
        <v>466</v>
      </c>
      <c r="C965" s="13" t="s">
        <v>467</v>
      </c>
      <c r="D965" s="13" t="s">
        <v>3922</v>
      </c>
      <c r="E965" s="14">
        <v>45987</v>
      </c>
      <c r="F965" s="14">
        <v>46009</v>
      </c>
      <c r="G965" s="15">
        <v>82478.649999999994</v>
      </c>
      <c r="H965" s="13" t="s">
        <v>3923</v>
      </c>
      <c r="I965" s="13" t="s">
        <v>3924</v>
      </c>
      <c r="J965" s="13" t="s">
        <v>136</v>
      </c>
      <c r="K965" s="13">
        <f t="shared" si="75"/>
        <v>8</v>
      </c>
      <c r="L965" s="13">
        <f t="shared" si="76"/>
        <v>0</v>
      </c>
      <c r="M965" s="13">
        <f>IF(AND(L965=0,COUNTIFS($B$2:$B$1534,B965,$G$2:$G$1534,G965,$E$2:$E$1534,"&gt;="&amp;(E965-Assumptions!$B$5),$E$2:$E$1534,"&lt;="&amp;(E965+Assumptions!$B$5))&gt;1),1,0)</f>
        <v>0</v>
      </c>
      <c r="N965" s="13">
        <f>IF(AND(G965&gt;=Assumptions!$B$4*(1-Assumptions!$B$6),G965&lt;Assumptions!$B$4),1,0)</f>
        <v>0</v>
      </c>
      <c r="O965" s="13">
        <f>IF(AND(G965&gt;=Assumptions!$B$7,MOD(G965,Assumptions!$B$7)=0),1,0)</f>
        <v>0</v>
      </c>
      <c r="P965" s="13">
        <f t="shared" si="77"/>
        <v>0</v>
      </c>
      <c r="Q965" s="13">
        <f t="shared" si="78"/>
        <v>0</v>
      </c>
      <c r="R965" s="13">
        <f>L965*Assumptions!$B$11+M965*Assumptions!$B$12+N965*Assumptions!$B$13+O965*Assumptions!$B$14+P965*Assumptions!$B$15+Q965*Assumptions!$B$16</f>
        <v>0</v>
      </c>
      <c r="S965" s="13" t="str">
        <f>IF(R965&gt;=Assumptions!$B$20,"High",IF(R965&gt;=Assumptions!$B$21,"Medium",IF(R965&gt;=1,"Low","Clear")))</f>
        <v>Clear</v>
      </c>
      <c r="T965" s="13" t="str">
        <f t="shared" si="79"/>
        <v/>
      </c>
    </row>
    <row r="966" spans="1:20" x14ac:dyDescent="0.35">
      <c r="A966" s="13" t="s">
        <v>3925</v>
      </c>
      <c r="B966" s="13" t="s">
        <v>206</v>
      </c>
      <c r="C966" s="13" t="s">
        <v>207</v>
      </c>
      <c r="D966" s="13" t="s">
        <v>3926</v>
      </c>
      <c r="E966" s="14">
        <v>45982</v>
      </c>
      <c r="F966" s="14">
        <v>46009</v>
      </c>
      <c r="G966" s="15">
        <v>19171.98</v>
      </c>
      <c r="H966" s="13" t="s">
        <v>3927</v>
      </c>
      <c r="I966" s="13" t="s">
        <v>3928</v>
      </c>
      <c r="J966" s="13" t="s">
        <v>136</v>
      </c>
      <c r="K966" s="13">
        <f t="shared" si="75"/>
        <v>1</v>
      </c>
      <c r="L966" s="13">
        <f t="shared" si="76"/>
        <v>0</v>
      </c>
      <c r="M966" s="13">
        <f>IF(AND(L966=0,COUNTIFS($B$2:$B$1534,B966,$G$2:$G$1534,G966,$E$2:$E$1534,"&gt;="&amp;(E966-Assumptions!$B$5),$E$2:$E$1534,"&lt;="&amp;(E966+Assumptions!$B$5))&gt;1),1,0)</f>
        <v>0</v>
      </c>
      <c r="N966" s="13">
        <f>IF(AND(G966&gt;=Assumptions!$B$4*(1-Assumptions!$B$6),G966&lt;Assumptions!$B$4),1,0)</f>
        <v>0</v>
      </c>
      <c r="O966" s="13">
        <f>IF(AND(G966&gt;=Assumptions!$B$7,MOD(G966,Assumptions!$B$7)=0),1,0)</f>
        <v>0</v>
      </c>
      <c r="P966" s="13">
        <f t="shared" si="77"/>
        <v>0</v>
      </c>
      <c r="Q966" s="13">
        <f t="shared" si="78"/>
        <v>0</v>
      </c>
      <c r="R966" s="13">
        <f>L966*Assumptions!$B$11+M966*Assumptions!$B$12+N966*Assumptions!$B$13+O966*Assumptions!$B$14+P966*Assumptions!$B$15+Q966*Assumptions!$B$16</f>
        <v>0</v>
      </c>
      <c r="S966" s="13" t="str">
        <f>IF(R966&gt;=Assumptions!$B$20,"High",IF(R966&gt;=Assumptions!$B$21,"Medium",IF(R966&gt;=1,"Low","Clear")))</f>
        <v>Clear</v>
      </c>
      <c r="T966" s="13" t="str">
        <f t="shared" si="79"/>
        <v/>
      </c>
    </row>
    <row r="967" spans="1:20" x14ac:dyDescent="0.35">
      <c r="A967" s="13" t="s">
        <v>3929</v>
      </c>
      <c r="B967" s="13" t="s">
        <v>317</v>
      </c>
      <c r="C967" s="13" t="s">
        <v>318</v>
      </c>
      <c r="D967" s="13" t="s">
        <v>3930</v>
      </c>
      <c r="E967" s="14">
        <v>45981</v>
      </c>
      <c r="F967" s="14">
        <v>46009</v>
      </c>
      <c r="G967" s="15">
        <v>321458.59000000003</v>
      </c>
      <c r="H967" s="13" t="s">
        <v>3931</v>
      </c>
      <c r="I967" s="13" t="s">
        <v>3932</v>
      </c>
      <c r="J967" s="13" t="s">
        <v>98</v>
      </c>
      <c r="K967" s="13">
        <f t="shared" si="75"/>
        <v>3</v>
      </c>
      <c r="L967" s="13">
        <f t="shared" si="76"/>
        <v>0</v>
      </c>
      <c r="M967" s="13">
        <f>IF(AND(L967=0,COUNTIFS($B$2:$B$1534,B967,$G$2:$G$1534,G967,$E$2:$E$1534,"&gt;="&amp;(E967-Assumptions!$B$5),$E$2:$E$1534,"&lt;="&amp;(E967+Assumptions!$B$5))&gt;1),1,0)</f>
        <v>0</v>
      </c>
      <c r="N967" s="13">
        <f>IF(AND(G967&gt;=Assumptions!$B$4*(1-Assumptions!$B$6),G967&lt;Assumptions!$B$4),1,0)</f>
        <v>0</v>
      </c>
      <c r="O967" s="13">
        <f>IF(AND(G967&gt;=Assumptions!$B$7,MOD(G967,Assumptions!$B$7)=0),1,0)</f>
        <v>0</v>
      </c>
      <c r="P967" s="13">
        <f t="shared" si="77"/>
        <v>0</v>
      </c>
      <c r="Q967" s="13">
        <f t="shared" si="78"/>
        <v>0</v>
      </c>
      <c r="R967" s="13">
        <f>L967*Assumptions!$B$11+M967*Assumptions!$B$12+N967*Assumptions!$B$13+O967*Assumptions!$B$14+P967*Assumptions!$B$15+Q967*Assumptions!$B$16</f>
        <v>0</v>
      </c>
      <c r="S967" s="13" t="str">
        <f>IF(R967&gt;=Assumptions!$B$20,"High",IF(R967&gt;=Assumptions!$B$21,"Medium",IF(R967&gt;=1,"Low","Clear")))</f>
        <v>Clear</v>
      </c>
      <c r="T967" s="13" t="str">
        <f t="shared" si="79"/>
        <v/>
      </c>
    </row>
    <row r="968" spans="1:20" x14ac:dyDescent="0.35">
      <c r="A968" s="13" t="s">
        <v>3933</v>
      </c>
      <c r="B968" s="13" t="s">
        <v>155</v>
      </c>
      <c r="C968" s="13" t="s">
        <v>156</v>
      </c>
      <c r="D968" s="13" t="s">
        <v>3934</v>
      </c>
      <c r="E968" s="14">
        <v>45977</v>
      </c>
      <c r="F968" s="14">
        <v>46009</v>
      </c>
      <c r="G968" s="15">
        <v>1001.35</v>
      </c>
      <c r="H968" s="13" t="s">
        <v>3935</v>
      </c>
      <c r="I968" s="13" t="s">
        <v>3936</v>
      </c>
      <c r="J968" s="13" t="s">
        <v>91</v>
      </c>
      <c r="K968" s="13">
        <f t="shared" si="75"/>
        <v>1</v>
      </c>
      <c r="L968" s="13">
        <f t="shared" si="76"/>
        <v>0</v>
      </c>
      <c r="M968" s="13">
        <f>IF(AND(L968=0,COUNTIFS($B$2:$B$1534,B968,$G$2:$G$1534,G968,$E$2:$E$1534,"&gt;="&amp;(E968-Assumptions!$B$5),$E$2:$E$1534,"&lt;="&amp;(E968+Assumptions!$B$5))&gt;1),1,0)</f>
        <v>0</v>
      </c>
      <c r="N968" s="13">
        <f>IF(AND(G968&gt;=Assumptions!$B$4*(1-Assumptions!$B$6),G968&lt;Assumptions!$B$4),1,0)</f>
        <v>0</v>
      </c>
      <c r="O968" s="13">
        <f>IF(AND(G968&gt;=Assumptions!$B$7,MOD(G968,Assumptions!$B$7)=0),1,0)</f>
        <v>0</v>
      </c>
      <c r="P968" s="13">
        <f t="shared" si="77"/>
        <v>0</v>
      </c>
      <c r="Q968" s="13">
        <f t="shared" si="78"/>
        <v>0</v>
      </c>
      <c r="R968" s="13">
        <f>L968*Assumptions!$B$11+M968*Assumptions!$B$12+N968*Assumptions!$B$13+O968*Assumptions!$B$14+P968*Assumptions!$B$15+Q968*Assumptions!$B$16</f>
        <v>0</v>
      </c>
      <c r="S968" s="13" t="str">
        <f>IF(R968&gt;=Assumptions!$B$20,"High",IF(R968&gt;=Assumptions!$B$21,"Medium",IF(R968&gt;=1,"Low","Clear")))</f>
        <v>Clear</v>
      </c>
      <c r="T968" s="13" t="str">
        <f t="shared" si="79"/>
        <v/>
      </c>
    </row>
    <row r="969" spans="1:20" x14ac:dyDescent="0.35">
      <c r="A969" s="13" t="s">
        <v>3937</v>
      </c>
      <c r="B969" s="13" t="s">
        <v>161</v>
      </c>
      <c r="C969" s="13" t="s">
        <v>162</v>
      </c>
      <c r="D969" s="13" t="s">
        <v>3938</v>
      </c>
      <c r="E969" s="14">
        <v>45985</v>
      </c>
      <c r="F969" s="14">
        <v>46009</v>
      </c>
      <c r="G969" s="15">
        <v>419369.76</v>
      </c>
      <c r="H969" s="13" t="s">
        <v>3939</v>
      </c>
      <c r="I969" s="13" t="s">
        <v>3940</v>
      </c>
      <c r="J969" s="13" t="s">
        <v>170</v>
      </c>
      <c r="K969" s="13">
        <f t="shared" si="75"/>
        <v>4</v>
      </c>
      <c r="L969" s="13">
        <f t="shared" si="76"/>
        <v>0</v>
      </c>
      <c r="M969" s="13">
        <f>IF(AND(L969=0,COUNTIFS($B$2:$B$1534,B969,$G$2:$G$1534,G969,$E$2:$E$1534,"&gt;="&amp;(E969-Assumptions!$B$5),$E$2:$E$1534,"&lt;="&amp;(E969+Assumptions!$B$5))&gt;1),1,0)</f>
        <v>0</v>
      </c>
      <c r="N969" s="13">
        <f>IF(AND(G969&gt;=Assumptions!$B$4*(1-Assumptions!$B$6),G969&lt;Assumptions!$B$4),1,0)</f>
        <v>0</v>
      </c>
      <c r="O969" s="13">
        <f>IF(AND(G969&gt;=Assumptions!$B$7,MOD(G969,Assumptions!$B$7)=0),1,0)</f>
        <v>0</v>
      </c>
      <c r="P969" s="13">
        <f t="shared" si="77"/>
        <v>0</v>
      </c>
      <c r="Q969" s="13">
        <f t="shared" si="78"/>
        <v>0</v>
      </c>
      <c r="R969" s="13">
        <f>L969*Assumptions!$B$11+M969*Assumptions!$B$12+N969*Assumptions!$B$13+O969*Assumptions!$B$14+P969*Assumptions!$B$15+Q969*Assumptions!$B$16</f>
        <v>0</v>
      </c>
      <c r="S969" s="13" t="str">
        <f>IF(R969&gt;=Assumptions!$B$20,"High",IF(R969&gt;=Assumptions!$B$21,"Medium",IF(R969&gt;=1,"Low","Clear")))</f>
        <v>Clear</v>
      </c>
      <c r="T969" s="13" t="str">
        <f t="shared" si="79"/>
        <v/>
      </c>
    </row>
    <row r="970" spans="1:20" x14ac:dyDescent="0.35">
      <c r="A970" s="13" t="s">
        <v>3941</v>
      </c>
      <c r="B970" s="13" t="s">
        <v>206</v>
      </c>
      <c r="C970" s="13" t="s">
        <v>207</v>
      </c>
      <c r="D970" s="13" t="s">
        <v>3942</v>
      </c>
      <c r="E970" s="14">
        <v>45971</v>
      </c>
      <c r="F970" s="14">
        <v>46010</v>
      </c>
      <c r="G970" s="15">
        <v>896824.67</v>
      </c>
      <c r="H970" s="13" t="s">
        <v>3943</v>
      </c>
      <c r="I970" s="13" t="s">
        <v>3944</v>
      </c>
      <c r="J970" s="13" t="s">
        <v>91</v>
      </c>
      <c r="K970" s="13">
        <f t="shared" si="75"/>
        <v>8</v>
      </c>
      <c r="L970" s="13">
        <f t="shared" si="76"/>
        <v>0</v>
      </c>
      <c r="M970" s="13">
        <f>IF(AND(L970=0,COUNTIFS($B$2:$B$1534,B970,$G$2:$G$1534,G970,$E$2:$E$1534,"&gt;="&amp;(E970-Assumptions!$B$5),$E$2:$E$1534,"&lt;="&amp;(E970+Assumptions!$B$5))&gt;1),1,0)</f>
        <v>0</v>
      </c>
      <c r="N970" s="13">
        <f>IF(AND(G970&gt;=Assumptions!$B$4*(1-Assumptions!$B$6),G970&lt;Assumptions!$B$4),1,0)</f>
        <v>0</v>
      </c>
      <c r="O970" s="13">
        <f>IF(AND(G970&gt;=Assumptions!$B$7,MOD(G970,Assumptions!$B$7)=0),1,0)</f>
        <v>0</v>
      </c>
      <c r="P970" s="13">
        <f t="shared" si="77"/>
        <v>0</v>
      </c>
      <c r="Q970" s="13">
        <f t="shared" si="78"/>
        <v>0</v>
      </c>
      <c r="R970" s="13">
        <f>L970*Assumptions!$B$11+M970*Assumptions!$B$12+N970*Assumptions!$B$13+O970*Assumptions!$B$14+P970*Assumptions!$B$15+Q970*Assumptions!$B$16</f>
        <v>0</v>
      </c>
      <c r="S970" s="13" t="str">
        <f>IF(R970&gt;=Assumptions!$B$20,"High",IF(R970&gt;=Assumptions!$B$21,"Medium",IF(R970&gt;=1,"Low","Clear")))</f>
        <v>Clear</v>
      </c>
      <c r="T970" s="13" t="str">
        <f t="shared" si="79"/>
        <v/>
      </c>
    </row>
    <row r="971" spans="1:20" x14ac:dyDescent="0.35">
      <c r="A971" s="13" t="s">
        <v>3945</v>
      </c>
      <c r="B971" s="13" t="s">
        <v>119</v>
      </c>
      <c r="C971" s="13" t="s">
        <v>120</v>
      </c>
      <c r="D971" s="13" t="s">
        <v>3946</v>
      </c>
      <c r="E971" s="14">
        <v>45977</v>
      </c>
      <c r="F971" s="14">
        <v>46010</v>
      </c>
      <c r="G971" s="15">
        <v>1154.57</v>
      </c>
      <c r="H971" s="13" t="s">
        <v>3947</v>
      </c>
      <c r="I971" s="13" t="s">
        <v>3948</v>
      </c>
      <c r="J971" s="13" t="s">
        <v>98</v>
      </c>
      <c r="K971" s="13">
        <f t="shared" si="75"/>
        <v>1</v>
      </c>
      <c r="L971" s="13">
        <f t="shared" si="76"/>
        <v>0</v>
      </c>
      <c r="M971" s="13">
        <f>IF(AND(L971=0,COUNTIFS($B$2:$B$1534,B971,$G$2:$G$1534,G971,$E$2:$E$1534,"&gt;="&amp;(E971-Assumptions!$B$5),$E$2:$E$1534,"&lt;="&amp;(E971+Assumptions!$B$5))&gt;1),1,0)</f>
        <v>0</v>
      </c>
      <c r="N971" s="13">
        <f>IF(AND(G971&gt;=Assumptions!$B$4*(1-Assumptions!$B$6),G971&lt;Assumptions!$B$4),1,0)</f>
        <v>0</v>
      </c>
      <c r="O971" s="13">
        <f>IF(AND(G971&gt;=Assumptions!$B$7,MOD(G971,Assumptions!$B$7)=0),1,0)</f>
        <v>0</v>
      </c>
      <c r="P971" s="13">
        <f t="shared" si="77"/>
        <v>0</v>
      </c>
      <c r="Q971" s="13">
        <f t="shared" si="78"/>
        <v>0</v>
      </c>
      <c r="R971" s="13">
        <f>L971*Assumptions!$B$11+M971*Assumptions!$B$12+N971*Assumptions!$B$13+O971*Assumptions!$B$14+P971*Assumptions!$B$15+Q971*Assumptions!$B$16</f>
        <v>0</v>
      </c>
      <c r="S971" s="13" t="str">
        <f>IF(R971&gt;=Assumptions!$B$20,"High",IF(R971&gt;=Assumptions!$B$21,"Medium",IF(R971&gt;=1,"Low","Clear")))</f>
        <v>Clear</v>
      </c>
      <c r="T971" s="13" t="str">
        <f t="shared" si="79"/>
        <v/>
      </c>
    </row>
    <row r="972" spans="1:20" x14ac:dyDescent="0.35">
      <c r="A972" s="13" t="s">
        <v>3949</v>
      </c>
      <c r="B972" s="13" t="s">
        <v>206</v>
      </c>
      <c r="C972" s="13" t="s">
        <v>207</v>
      </c>
      <c r="D972" s="13" t="s">
        <v>3950</v>
      </c>
      <c r="E972" s="14">
        <v>45970</v>
      </c>
      <c r="F972" s="14">
        <v>46011</v>
      </c>
      <c r="G972" s="15">
        <v>4647.5</v>
      </c>
      <c r="H972" s="13" t="s">
        <v>1140</v>
      </c>
      <c r="I972" s="13" t="s">
        <v>1141</v>
      </c>
      <c r="J972" s="13" t="s">
        <v>91</v>
      </c>
      <c r="K972" s="13">
        <f t="shared" si="75"/>
        <v>4</v>
      </c>
      <c r="L972" s="13">
        <f t="shared" si="76"/>
        <v>0</v>
      </c>
      <c r="M972" s="13">
        <f>IF(AND(L972=0,COUNTIFS($B$2:$B$1534,B972,$G$2:$G$1534,G972,$E$2:$E$1534,"&gt;="&amp;(E972-Assumptions!$B$5),$E$2:$E$1534,"&lt;="&amp;(E972+Assumptions!$B$5))&gt;1),1,0)</f>
        <v>0</v>
      </c>
      <c r="N972" s="13">
        <f>IF(AND(G972&gt;=Assumptions!$B$4*(1-Assumptions!$B$6),G972&lt;Assumptions!$B$4),1,0)</f>
        <v>0</v>
      </c>
      <c r="O972" s="13">
        <f>IF(AND(G972&gt;=Assumptions!$B$7,MOD(G972,Assumptions!$B$7)=0),1,0)</f>
        <v>0</v>
      </c>
      <c r="P972" s="13">
        <f t="shared" si="77"/>
        <v>0</v>
      </c>
      <c r="Q972" s="13">
        <f t="shared" si="78"/>
        <v>1</v>
      </c>
      <c r="R972" s="13">
        <f>L972*Assumptions!$B$11+M972*Assumptions!$B$12+N972*Assumptions!$B$13+O972*Assumptions!$B$14+P972*Assumptions!$B$15+Q972*Assumptions!$B$16</f>
        <v>1</v>
      </c>
      <c r="S972" s="13" t="str">
        <f>IF(R972&gt;=Assumptions!$B$20,"High",IF(R972&gt;=Assumptions!$B$21,"Medium",IF(R972&gt;=1,"Low","Clear")))</f>
        <v>Low</v>
      </c>
      <c r="T972" s="13" t="str">
        <f t="shared" si="79"/>
        <v xml:space="preserve">Weekend payment; </v>
      </c>
    </row>
    <row r="973" spans="1:20" x14ac:dyDescent="0.35">
      <c r="A973" s="13" t="s">
        <v>3951</v>
      </c>
      <c r="B973" s="13" t="s">
        <v>409</v>
      </c>
      <c r="C973" s="13" t="s">
        <v>410</v>
      </c>
      <c r="D973" s="13" t="s">
        <v>3952</v>
      </c>
      <c r="E973" s="14">
        <v>45990</v>
      </c>
      <c r="F973" s="14">
        <v>46013</v>
      </c>
      <c r="G973" s="15">
        <v>8415.1200000000008</v>
      </c>
      <c r="H973" s="13" t="s">
        <v>3953</v>
      </c>
      <c r="I973" s="13" t="s">
        <v>3954</v>
      </c>
      <c r="J973" s="13" t="s">
        <v>98</v>
      </c>
      <c r="K973" s="13">
        <f t="shared" si="75"/>
        <v>8</v>
      </c>
      <c r="L973" s="13">
        <f t="shared" si="76"/>
        <v>0</v>
      </c>
      <c r="M973" s="13">
        <f>IF(AND(L973=0,COUNTIFS($B$2:$B$1534,B973,$G$2:$G$1534,G973,$E$2:$E$1534,"&gt;="&amp;(E973-Assumptions!$B$5),$E$2:$E$1534,"&lt;="&amp;(E973+Assumptions!$B$5))&gt;1),1,0)</f>
        <v>0</v>
      </c>
      <c r="N973" s="13">
        <f>IF(AND(G973&gt;=Assumptions!$B$4*(1-Assumptions!$B$6),G973&lt;Assumptions!$B$4),1,0)</f>
        <v>0</v>
      </c>
      <c r="O973" s="13">
        <f>IF(AND(G973&gt;=Assumptions!$B$7,MOD(G973,Assumptions!$B$7)=0),1,0)</f>
        <v>0</v>
      </c>
      <c r="P973" s="13">
        <f t="shared" si="77"/>
        <v>0</v>
      </c>
      <c r="Q973" s="13">
        <f t="shared" si="78"/>
        <v>0</v>
      </c>
      <c r="R973" s="13">
        <f>L973*Assumptions!$B$11+M973*Assumptions!$B$12+N973*Assumptions!$B$13+O973*Assumptions!$B$14+P973*Assumptions!$B$15+Q973*Assumptions!$B$16</f>
        <v>0</v>
      </c>
      <c r="S973" s="13" t="str">
        <f>IF(R973&gt;=Assumptions!$B$20,"High",IF(R973&gt;=Assumptions!$B$21,"Medium",IF(R973&gt;=1,"Low","Clear")))</f>
        <v>Clear</v>
      </c>
      <c r="T973" s="13" t="str">
        <f t="shared" si="79"/>
        <v/>
      </c>
    </row>
    <row r="974" spans="1:20" x14ac:dyDescent="0.35">
      <c r="A974" s="13" t="s">
        <v>3955</v>
      </c>
      <c r="B974" s="13" t="s">
        <v>498</v>
      </c>
      <c r="C974" s="13" t="s">
        <v>499</v>
      </c>
      <c r="D974" s="13" t="s">
        <v>3956</v>
      </c>
      <c r="E974" s="14">
        <v>45990</v>
      </c>
      <c r="F974" s="14">
        <v>46013</v>
      </c>
      <c r="G974" s="15">
        <v>4507.0600000000004</v>
      </c>
      <c r="H974" s="13" t="s">
        <v>3957</v>
      </c>
      <c r="I974" s="13" t="s">
        <v>3958</v>
      </c>
      <c r="J974" s="13" t="s">
        <v>170</v>
      </c>
      <c r="K974" s="13">
        <f t="shared" si="75"/>
        <v>4</v>
      </c>
      <c r="L974" s="13">
        <f t="shared" si="76"/>
        <v>0</v>
      </c>
      <c r="M974" s="13">
        <f>IF(AND(L974=0,COUNTIFS($B$2:$B$1534,B974,$G$2:$G$1534,G974,$E$2:$E$1534,"&gt;="&amp;(E974-Assumptions!$B$5),$E$2:$E$1534,"&lt;="&amp;(E974+Assumptions!$B$5))&gt;1),1,0)</f>
        <v>0</v>
      </c>
      <c r="N974" s="13">
        <f>IF(AND(G974&gt;=Assumptions!$B$4*(1-Assumptions!$B$6),G974&lt;Assumptions!$B$4),1,0)</f>
        <v>0</v>
      </c>
      <c r="O974" s="13">
        <f>IF(AND(G974&gt;=Assumptions!$B$7,MOD(G974,Assumptions!$B$7)=0),1,0)</f>
        <v>0</v>
      </c>
      <c r="P974" s="13">
        <f t="shared" si="77"/>
        <v>0</v>
      </c>
      <c r="Q974" s="13">
        <f t="shared" si="78"/>
        <v>0</v>
      </c>
      <c r="R974" s="13">
        <f>L974*Assumptions!$B$11+M974*Assumptions!$B$12+N974*Assumptions!$B$13+O974*Assumptions!$B$14+P974*Assumptions!$B$15+Q974*Assumptions!$B$16</f>
        <v>0</v>
      </c>
      <c r="S974" s="13" t="str">
        <f>IF(R974&gt;=Assumptions!$B$20,"High",IF(R974&gt;=Assumptions!$B$21,"Medium",IF(R974&gt;=1,"Low","Clear")))</f>
        <v>Clear</v>
      </c>
      <c r="T974" s="13" t="str">
        <f t="shared" si="79"/>
        <v/>
      </c>
    </row>
    <row r="975" spans="1:20" x14ac:dyDescent="0.35">
      <c r="A975" s="13" t="s">
        <v>3959</v>
      </c>
      <c r="B975" s="13" t="s">
        <v>93</v>
      </c>
      <c r="C975" s="13" t="s">
        <v>94</v>
      </c>
      <c r="D975" s="13" t="s">
        <v>3960</v>
      </c>
      <c r="E975" s="14">
        <v>45983</v>
      </c>
      <c r="F975" s="14">
        <v>46014</v>
      </c>
      <c r="G975" s="15">
        <v>8233.27</v>
      </c>
      <c r="H975" s="13" t="s">
        <v>3961</v>
      </c>
      <c r="I975" s="13" t="s">
        <v>3962</v>
      </c>
      <c r="J975" s="13" t="s">
        <v>111</v>
      </c>
      <c r="K975" s="13">
        <f t="shared" si="75"/>
        <v>8</v>
      </c>
      <c r="L975" s="13">
        <f t="shared" si="76"/>
        <v>0</v>
      </c>
      <c r="M975" s="13">
        <f>IF(AND(L975=0,COUNTIFS($B$2:$B$1534,B975,$G$2:$G$1534,G975,$E$2:$E$1534,"&gt;="&amp;(E975-Assumptions!$B$5),$E$2:$E$1534,"&lt;="&amp;(E975+Assumptions!$B$5))&gt;1),1,0)</f>
        <v>0</v>
      </c>
      <c r="N975" s="13">
        <f>IF(AND(G975&gt;=Assumptions!$B$4*(1-Assumptions!$B$6),G975&lt;Assumptions!$B$4),1,0)</f>
        <v>0</v>
      </c>
      <c r="O975" s="13">
        <f>IF(AND(G975&gt;=Assumptions!$B$7,MOD(G975,Assumptions!$B$7)=0),1,0)</f>
        <v>0</v>
      </c>
      <c r="P975" s="13">
        <f t="shared" si="77"/>
        <v>0</v>
      </c>
      <c r="Q975" s="13">
        <f t="shared" si="78"/>
        <v>0</v>
      </c>
      <c r="R975" s="13">
        <f>L975*Assumptions!$B$11+M975*Assumptions!$B$12+N975*Assumptions!$B$13+O975*Assumptions!$B$14+P975*Assumptions!$B$15+Q975*Assumptions!$B$16</f>
        <v>0</v>
      </c>
      <c r="S975" s="13" t="str">
        <f>IF(R975&gt;=Assumptions!$B$20,"High",IF(R975&gt;=Assumptions!$B$21,"Medium",IF(R975&gt;=1,"Low","Clear")))</f>
        <v>Clear</v>
      </c>
      <c r="T975" s="13" t="str">
        <f t="shared" si="79"/>
        <v/>
      </c>
    </row>
    <row r="976" spans="1:20" x14ac:dyDescent="0.35">
      <c r="A976" s="13" t="s">
        <v>3963</v>
      </c>
      <c r="B976" s="13" t="s">
        <v>206</v>
      </c>
      <c r="C976" s="13" t="s">
        <v>207</v>
      </c>
      <c r="D976" s="13" t="s">
        <v>3964</v>
      </c>
      <c r="E976" s="14">
        <v>45979</v>
      </c>
      <c r="F976" s="14">
        <v>46014</v>
      </c>
      <c r="G976" s="15">
        <v>417366.45</v>
      </c>
      <c r="H976" s="13" t="s">
        <v>3965</v>
      </c>
      <c r="I976" s="13" t="s">
        <v>3966</v>
      </c>
      <c r="J976" s="13" t="s">
        <v>143</v>
      </c>
      <c r="K976" s="13">
        <f t="shared" si="75"/>
        <v>4</v>
      </c>
      <c r="L976" s="13">
        <f t="shared" si="76"/>
        <v>0</v>
      </c>
      <c r="M976" s="13">
        <f>IF(AND(L976=0,COUNTIFS($B$2:$B$1534,B976,$G$2:$G$1534,G976,$E$2:$E$1534,"&gt;="&amp;(E976-Assumptions!$B$5),$E$2:$E$1534,"&lt;="&amp;(E976+Assumptions!$B$5))&gt;1),1,0)</f>
        <v>0</v>
      </c>
      <c r="N976" s="13">
        <f>IF(AND(G976&gt;=Assumptions!$B$4*(1-Assumptions!$B$6),G976&lt;Assumptions!$B$4),1,0)</f>
        <v>0</v>
      </c>
      <c r="O976" s="13">
        <f>IF(AND(G976&gt;=Assumptions!$B$7,MOD(G976,Assumptions!$B$7)=0),1,0)</f>
        <v>0</v>
      </c>
      <c r="P976" s="13">
        <f t="shared" si="77"/>
        <v>0</v>
      </c>
      <c r="Q976" s="13">
        <f t="shared" si="78"/>
        <v>0</v>
      </c>
      <c r="R976" s="13">
        <f>L976*Assumptions!$B$11+M976*Assumptions!$B$12+N976*Assumptions!$B$13+O976*Assumptions!$B$14+P976*Assumptions!$B$15+Q976*Assumptions!$B$16</f>
        <v>0</v>
      </c>
      <c r="S976" s="13" t="str">
        <f>IF(R976&gt;=Assumptions!$B$20,"High",IF(R976&gt;=Assumptions!$B$21,"Medium",IF(R976&gt;=1,"Low","Clear")))</f>
        <v>Clear</v>
      </c>
      <c r="T976" s="13" t="str">
        <f t="shared" si="79"/>
        <v/>
      </c>
    </row>
    <row r="977" spans="1:20" x14ac:dyDescent="0.35">
      <c r="A977" s="13" t="s">
        <v>3967</v>
      </c>
      <c r="B977" s="13" t="s">
        <v>119</v>
      </c>
      <c r="C977" s="13" t="s">
        <v>120</v>
      </c>
      <c r="D977" s="13" t="s">
        <v>3968</v>
      </c>
      <c r="E977" s="14">
        <v>45991</v>
      </c>
      <c r="F977" s="14">
        <v>46014</v>
      </c>
      <c r="G977" s="15">
        <v>20629.93</v>
      </c>
      <c r="H977" s="13" t="s">
        <v>3969</v>
      </c>
      <c r="I977" s="13" t="s">
        <v>3970</v>
      </c>
      <c r="J977" s="13" t="s">
        <v>170</v>
      </c>
      <c r="K977" s="13">
        <f t="shared" si="75"/>
        <v>2</v>
      </c>
      <c r="L977" s="13">
        <f t="shared" si="76"/>
        <v>0</v>
      </c>
      <c r="M977" s="13">
        <f>IF(AND(L977=0,COUNTIFS($B$2:$B$1534,B977,$G$2:$G$1534,G977,$E$2:$E$1534,"&gt;="&amp;(E977-Assumptions!$B$5),$E$2:$E$1534,"&lt;="&amp;(E977+Assumptions!$B$5))&gt;1),1,0)</f>
        <v>0</v>
      </c>
      <c r="N977" s="13">
        <f>IF(AND(G977&gt;=Assumptions!$B$4*(1-Assumptions!$B$6),G977&lt;Assumptions!$B$4),1,0)</f>
        <v>0</v>
      </c>
      <c r="O977" s="13">
        <f>IF(AND(G977&gt;=Assumptions!$B$7,MOD(G977,Assumptions!$B$7)=0),1,0)</f>
        <v>0</v>
      </c>
      <c r="P977" s="13">
        <f t="shared" si="77"/>
        <v>0</v>
      </c>
      <c r="Q977" s="13">
        <f t="shared" si="78"/>
        <v>0</v>
      </c>
      <c r="R977" s="13">
        <f>L977*Assumptions!$B$11+M977*Assumptions!$B$12+N977*Assumptions!$B$13+O977*Assumptions!$B$14+P977*Assumptions!$B$15+Q977*Assumptions!$B$16</f>
        <v>0</v>
      </c>
      <c r="S977" s="13" t="str">
        <f>IF(R977&gt;=Assumptions!$B$20,"High",IF(R977&gt;=Assumptions!$B$21,"Medium",IF(R977&gt;=1,"Low","Clear")))</f>
        <v>Clear</v>
      </c>
      <c r="T977" s="13" t="str">
        <f t="shared" si="79"/>
        <v/>
      </c>
    </row>
    <row r="978" spans="1:20" x14ac:dyDescent="0.35">
      <c r="A978" s="13" t="s">
        <v>3971</v>
      </c>
      <c r="B978" s="13" t="s">
        <v>212</v>
      </c>
      <c r="C978" s="13" t="s">
        <v>213</v>
      </c>
      <c r="D978" s="13" t="s">
        <v>3972</v>
      </c>
      <c r="E978" s="14">
        <v>45989</v>
      </c>
      <c r="F978" s="14">
        <v>46014</v>
      </c>
      <c r="G978" s="15">
        <v>73371.460000000006</v>
      </c>
      <c r="H978" s="13" t="s">
        <v>3973</v>
      </c>
      <c r="I978" s="13" t="s">
        <v>3974</v>
      </c>
      <c r="J978" s="13" t="s">
        <v>136</v>
      </c>
      <c r="K978" s="13">
        <f t="shared" si="75"/>
        <v>7</v>
      </c>
      <c r="L978" s="13">
        <f t="shared" si="76"/>
        <v>0</v>
      </c>
      <c r="M978" s="13">
        <f>IF(AND(L978=0,COUNTIFS($B$2:$B$1534,B978,$G$2:$G$1534,G978,$E$2:$E$1534,"&gt;="&amp;(E978-Assumptions!$B$5),$E$2:$E$1534,"&lt;="&amp;(E978+Assumptions!$B$5))&gt;1),1,0)</f>
        <v>0</v>
      </c>
      <c r="N978" s="13">
        <f>IF(AND(G978&gt;=Assumptions!$B$4*(1-Assumptions!$B$6),G978&lt;Assumptions!$B$4),1,0)</f>
        <v>0</v>
      </c>
      <c r="O978" s="13">
        <f>IF(AND(G978&gt;=Assumptions!$B$7,MOD(G978,Assumptions!$B$7)=0),1,0)</f>
        <v>0</v>
      </c>
      <c r="P978" s="13">
        <f t="shared" si="77"/>
        <v>0</v>
      </c>
      <c r="Q978" s="13">
        <f t="shared" si="78"/>
        <v>0</v>
      </c>
      <c r="R978" s="13">
        <f>L978*Assumptions!$B$11+M978*Assumptions!$B$12+N978*Assumptions!$B$13+O978*Assumptions!$B$14+P978*Assumptions!$B$15+Q978*Assumptions!$B$16</f>
        <v>0</v>
      </c>
      <c r="S978" s="13" t="str">
        <f>IF(R978&gt;=Assumptions!$B$20,"High",IF(R978&gt;=Assumptions!$B$21,"Medium",IF(R978&gt;=1,"Low","Clear")))</f>
        <v>Clear</v>
      </c>
      <c r="T978" s="13" t="str">
        <f t="shared" si="79"/>
        <v/>
      </c>
    </row>
    <row r="979" spans="1:20" x14ac:dyDescent="0.35">
      <c r="A979" s="13" t="s">
        <v>3975</v>
      </c>
      <c r="B979" s="13" t="s">
        <v>218</v>
      </c>
      <c r="C979" s="13" t="s">
        <v>219</v>
      </c>
      <c r="D979" s="13" t="s">
        <v>3976</v>
      </c>
      <c r="E979" s="14">
        <v>45985</v>
      </c>
      <c r="F979" s="14">
        <v>46014</v>
      </c>
      <c r="G979" s="15">
        <v>22951.41</v>
      </c>
      <c r="H979" s="13" t="s">
        <v>3977</v>
      </c>
      <c r="I979" s="13" t="s">
        <v>3978</v>
      </c>
      <c r="J979" s="13" t="s">
        <v>91</v>
      </c>
      <c r="K979" s="13">
        <f t="shared" si="75"/>
        <v>2</v>
      </c>
      <c r="L979" s="13">
        <f t="shared" si="76"/>
        <v>0</v>
      </c>
      <c r="M979" s="13">
        <f>IF(AND(L979=0,COUNTIFS($B$2:$B$1534,B979,$G$2:$G$1534,G979,$E$2:$E$1534,"&gt;="&amp;(E979-Assumptions!$B$5),$E$2:$E$1534,"&lt;="&amp;(E979+Assumptions!$B$5))&gt;1),1,0)</f>
        <v>0</v>
      </c>
      <c r="N979" s="13">
        <f>IF(AND(G979&gt;=Assumptions!$B$4*(1-Assumptions!$B$6),G979&lt;Assumptions!$B$4),1,0)</f>
        <v>0</v>
      </c>
      <c r="O979" s="13">
        <f>IF(AND(G979&gt;=Assumptions!$B$7,MOD(G979,Assumptions!$B$7)=0),1,0)</f>
        <v>0</v>
      </c>
      <c r="P979" s="13">
        <f t="shared" si="77"/>
        <v>0</v>
      </c>
      <c r="Q979" s="13">
        <f t="shared" si="78"/>
        <v>0</v>
      </c>
      <c r="R979" s="13">
        <f>L979*Assumptions!$B$11+M979*Assumptions!$B$12+N979*Assumptions!$B$13+O979*Assumptions!$B$14+P979*Assumptions!$B$15+Q979*Assumptions!$B$16</f>
        <v>0</v>
      </c>
      <c r="S979" s="13" t="str">
        <f>IF(R979&gt;=Assumptions!$B$20,"High",IF(R979&gt;=Assumptions!$B$21,"Medium",IF(R979&gt;=1,"Low","Clear")))</f>
        <v>Clear</v>
      </c>
      <c r="T979" s="13" t="str">
        <f t="shared" si="79"/>
        <v/>
      </c>
    </row>
    <row r="980" spans="1:20" x14ac:dyDescent="0.35">
      <c r="A980" s="13" t="s">
        <v>3979</v>
      </c>
      <c r="B980" s="13" t="s">
        <v>161</v>
      </c>
      <c r="C980" s="13" t="s">
        <v>162</v>
      </c>
      <c r="D980" s="13" t="s">
        <v>3980</v>
      </c>
      <c r="E980" s="14">
        <v>45984</v>
      </c>
      <c r="F980" s="14">
        <v>46014</v>
      </c>
      <c r="G980" s="15">
        <v>237544.33</v>
      </c>
      <c r="H980" s="13"/>
      <c r="I980" s="13"/>
      <c r="J980" s="13" t="s">
        <v>98</v>
      </c>
      <c r="K980" s="13">
        <f t="shared" si="75"/>
        <v>2</v>
      </c>
      <c r="L980" s="13">
        <f t="shared" si="76"/>
        <v>0</v>
      </c>
      <c r="M980" s="13">
        <f>IF(AND(L980=0,COUNTIFS($B$2:$B$1534,B980,$G$2:$G$1534,G980,$E$2:$E$1534,"&gt;="&amp;(E980-Assumptions!$B$5),$E$2:$E$1534,"&lt;="&amp;(E980+Assumptions!$B$5))&gt;1),1,0)</f>
        <v>0</v>
      </c>
      <c r="N980" s="13">
        <f>IF(AND(G980&gt;=Assumptions!$B$4*(1-Assumptions!$B$6),G980&lt;Assumptions!$B$4),1,0)</f>
        <v>0</v>
      </c>
      <c r="O980" s="13">
        <f>IF(AND(G980&gt;=Assumptions!$B$7,MOD(G980,Assumptions!$B$7)=0),1,0)</f>
        <v>0</v>
      </c>
      <c r="P980" s="13">
        <f t="shared" si="77"/>
        <v>1</v>
      </c>
      <c r="Q980" s="13">
        <f t="shared" si="78"/>
        <v>0</v>
      </c>
      <c r="R980" s="13">
        <f>L980*Assumptions!$B$11+M980*Assumptions!$B$12+N980*Assumptions!$B$13+O980*Assumptions!$B$14+P980*Assumptions!$B$15+Q980*Assumptions!$B$16</f>
        <v>4</v>
      </c>
      <c r="S980" s="13" t="str">
        <f>IF(R980&gt;=Assumptions!$B$20,"High",IF(R980&gt;=Assumptions!$B$21,"Medium",IF(R980&gt;=1,"Low","Clear")))</f>
        <v>Medium</v>
      </c>
      <c r="T980" s="13" t="str">
        <f t="shared" si="79"/>
        <v xml:space="preserve">No PO/GRN; </v>
      </c>
    </row>
    <row r="981" spans="1:20" x14ac:dyDescent="0.35">
      <c r="A981" s="13" t="s">
        <v>3981</v>
      </c>
      <c r="B981" s="13" t="s">
        <v>476</v>
      </c>
      <c r="C981" s="13" t="s">
        <v>477</v>
      </c>
      <c r="D981" s="13" t="s">
        <v>3982</v>
      </c>
      <c r="E981" s="14">
        <v>45991</v>
      </c>
      <c r="F981" s="14">
        <v>46014</v>
      </c>
      <c r="G981" s="15">
        <v>49441.24</v>
      </c>
      <c r="H981" s="13" t="s">
        <v>3983</v>
      </c>
      <c r="I981" s="13" t="s">
        <v>3984</v>
      </c>
      <c r="J981" s="13" t="s">
        <v>98</v>
      </c>
      <c r="K981" s="13">
        <f t="shared" si="75"/>
        <v>4</v>
      </c>
      <c r="L981" s="13">
        <f t="shared" si="76"/>
        <v>0</v>
      </c>
      <c r="M981" s="13">
        <f>IF(AND(L981=0,COUNTIFS($B$2:$B$1534,B981,$G$2:$G$1534,G981,$E$2:$E$1534,"&gt;="&amp;(E981-Assumptions!$B$5),$E$2:$E$1534,"&lt;="&amp;(E981+Assumptions!$B$5))&gt;1),1,0)</f>
        <v>0</v>
      </c>
      <c r="N981" s="13">
        <f>IF(AND(G981&gt;=Assumptions!$B$4*(1-Assumptions!$B$6),G981&lt;Assumptions!$B$4),1,0)</f>
        <v>1</v>
      </c>
      <c r="O981" s="13">
        <f>IF(AND(G981&gt;=Assumptions!$B$7,MOD(G981,Assumptions!$B$7)=0),1,0)</f>
        <v>0</v>
      </c>
      <c r="P981" s="13">
        <f t="shared" si="77"/>
        <v>0</v>
      </c>
      <c r="Q981" s="13">
        <f t="shared" si="78"/>
        <v>0</v>
      </c>
      <c r="R981" s="13">
        <f>L981*Assumptions!$B$11+M981*Assumptions!$B$12+N981*Assumptions!$B$13+O981*Assumptions!$B$14+P981*Assumptions!$B$15+Q981*Assumptions!$B$16</f>
        <v>3</v>
      </c>
      <c r="S981" s="13" t="str">
        <f>IF(R981&gt;=Assumptions!$B$20,"High",IF(R981&gt;=Assumptions!$B$21,"Medium",IF(R981&gt;=1,"Low","Clear")))</f>
        <v>Medium</v>
      </c>
      <c r="T981" s="13" t="str">
        <f t="shared" si="79"/>
        <v xml:space="preserve">Just below limit; </v>
      </c>
    </row>
    <row r="982" spans="1:20" x14ac:dyDescent="0.35">
      <c r="A982" s="13" t="s">
        <v>3985</v>
      </c>
      <c r="B982" s="13" t="s">
        <v>293</v>
      </c>
      <c r="C982" s="13" t="s">
        <v>294</v>
      </c>
      <c r="D982" s="13" t="s">
        <v>3986</v>
      </c>
      <c r="E982" s="14">
        <v>45976</v>
      </c>
      <c r="F982" s="14">
        <v>46015</v>
      </c>
      <c r="G982" s="15">
        <v>103769.78</v>
      </c>
      <c r="H982" s="13" t="s">
        <v>3987</v>
      </c>
      <c r="I982" s="13" t="s">
        <v>3988</v>
      </c>
      <c r="J982" s="13" t="s">
        <v>136</v>
      </c>
      <c r="K982" s="13">
        <f t="shared" si="75"/>
        <v>1</v>
      </c>
      <c r="L982" s="13">
        <f t="shared" si="76"/>
        <v>0</v>
      </c>
      <c r="M982" s="13">
        <f>IF(AND(L982=0,COUNTIFS($B$2:$B$1534,B982,$G$2:$G$1534,G982,$E$2:$E$1534,"&gt;="&amp;(E982-Assumptions!$B$5),$E$2:$E$1534,"&lt;="&amp;(E982+Assumptions!$B$5))&gt;1),1,0)</f>
        <v>0</v>
      </c>
      <c r="N982" s="13">
        <f>IF(AND(G982&gt;=Assumptions!$B$4*(1-Assumptions!$B$6),G982&lt;Assumptions!$B$4),1,0)</f>
        <v>0</v>
      </c>
      <c r="O982" s="13">
        <f>IF(AND(G982&gt;=Assumptions!$B$7,MOD(G982,Assumptions!$B$7)=0),1,0)</f>
        <v>0</v>
      </c>
      <c r="P982" s="13">
        <f t="shared" si="77"/>
        <v>0</v>
      </c>
      <c r="Q982" s="13">
        <f t="shared" si="78"/>
        <v>0</v>
      </c>
      <c r="R982" s="13">
        <f>L982*Assumptions!$B$11+M982*Assumptions!$B$12+N982*Assumptions!$B$13+O982*Assumptions!$B$14+P982*Assumptions!$B$15+Q982*Assumptions!$B$16</f>
        <v>0</v>
      </c>
      <c r="S982" s="13" t="str">
        <f>IF(R982&gt;=Assumptions!$B$20,"High",IF(R982&gt;=Assumptions!$B$21,"Medium",IF(R982&gt;=1,"Low","Clear")))</f>
        <v>Clear</v>
      </c>
      <c r="T982" s="13" t="str">
        <f t="shared" si="79"/>
        <v/>
      </c>
    </row>
    <row r="983" spans="1:20" x14ac:dyDescent="0.35">
      <c r="A983" s="13" t="s">
        <v>3989</v>
      </c>
      <c r="B983" s="13" t="s">
        <v>476</v>
      </c>
      <c r="C983" s="13" t="s">
        <v>477</v>
      </c>
      <c r="D983" s="13" t="s">
        <v>3990</v>
      </c>
      <c r="E983" s="14">
        <v>45989</v>
      </c>
      <c r="F983" s="14">
        <v>46015</v>
      </c>
      <c r="G983" s="15">
        <v>48645.39</v>
      </c>
      <c r="H983" s="13" t="s">
        <v>3991</v>
      </c>
      <c r="I983" s="13" t="s">
        <v>3992</v>
      </c>
      <c r="J983" s="13" t="s">
        <v>143</v>
      </c>
      <c r="K983" s="13">
        <f t="shared" si="75"/>
        <v>4</v>
      </c>
      <c r="L983" s="13">
        <f t="shared" si="76"/>
        <v>0</v>
      </c>
      <c r="M983" s="13">
        <f>IF(AND(L983=0,COUNTIFS($B$2:$B$1534,B983,$G$2:$G$1534,G983,$E$2:$E$1534,"&gt;="&amp;(E983-Assumptions!$B$5),$E$2:$E$1534,"&lt;="&amp;(E983+Assumptions!$B$5))&gt;1),1,0)</f>
        <v>0</v>
      </c>
      <c r="N983" s="13">
        <f>IF(AND(G983&gt;=Assumptions!$B$4*(1-Assumptions!$B$6),G983&lt;Assumptions!$B$4),1,0)</f>
        <v>1</v>
      </c>
      <c r="O983" s="13">
        <f>IF(AND(G983&gt;=Assumptions!$B$7,MOD(G983,Assumptions!$B$7)=0),1,0)</f>
        <v>0</v>
      </c>
      <c r="P983" s="13">
        <f t="shared" si="77"/>
        <v>0</v>
      </c>
      <c r="Q983" s="13">
        <f t="shared" si="78"/>
        <v>0</v>
      </c>
      <c r="R983" s="13">
        <f>L983*Assumptions!$B$11+M983*Assumptions!$B$12+N983*Assumptions!$B$13+O983*Assumptions!$B$14+P983*Assumptions!$B$15+Q983*Assumptions!$B$16</f>
        <v>3</v>
      </c>
      <c r="S983" s="13" t="str">
        <f>IF(R983&gt;=Assumptions!$B$20,"High",IF(R983&gt;=Assumptions!$B$21,"Medium",IF(R983&gt;=1,"Low","Clear")))</f>
        <v>Medium</v>
      </c>
      <c r="T983" s="13" t="str">
        <f t="shared" si="79"/>
        <v xml:space="preserve">Just below limit; </v>
      </c>
    </row>
    <row r="984" spans="1:20" x14ac:dyDescent="0.35">
      <c r="A984" s="13" t="s">
        <v>3993</v>
      </c>
      <c r="B984" s="13" t="s">
        <v>357</v>
      </c>
      <c r="C984" s="13" t="s">
        <v>358</v>
      </c>
      <c r="D984" s="13" t="s">
        <v>3994</v>
      </c>
      <c r="E984" s="14">
        <v>45995</v>
      </c>
      <c r="F984" s="14">
        <v>46015</v>
      </c>
      <c r="G984" s="15">
        <v>19677.5</v>
      </c>
      <c r="H984" s="13" t="s">
        <v>3995</v>
      </c>
      <c r="I984" s="13"/>
      <c r="J984" s="13" t="s">
        <v>91</v>
      </c>
      <c r="K984" s="13">
        <f t="shared" si="75"/>
        <v>1</v>
      </c>
      <c r="L984" s="13">
        <f t="shared" si="76"/>
        <v>0</v>
      </c>
      <c r="M984" s="13">
        <f>IF(AND(L984=0,COUNTIFS($B$2:$B$1534,B984,$G$2:$G$1534,G984,$E$2:$E$1534,"&gt;="&amp;(E984-Assumptions!$B$5),$E$2:$E$1534,"&lt;="&amp;(E984+Assumptions!$B$5))&gt;1),1,0)</f>
        <v>0</v>
      </c>
      <c r="N984" s="13">
        <f>IF(AND(G984&gt;=Assumptions!$B$4*(1-Assumptions!$B$6),G984&lt;Assumptions!$B$4),1,0)</f>
        <v>0</v>
      </c>
      <c r="O984" s="13">
        <f>IF(AND(G984&gt;=Assumptions!$B$7,MOD(G984,Assumptions!$B$7)=0),1,0)</f>
        <v>0</v>
      </c>
      <c r="P984" s="13">
        <f t="shared" si="77"/>
        <v>1</v>
      </c>
      <c r="Q984" s="13">
        <f t="shared" si="78"/>
        <v>0</v>
      </c>
      <c r="R984" s="13">
        <f>L984*Assumptions!$B$11+M984*Assumptions!$B$12+N984*Assumptions!$B$13+O984*Assumptions!$B$14+P984*Assumptions!$B$15+Q984*Assumptions!$B$16</f>
        <v>4</v>
      </c>
      <c r="S984" s="13" t="str">
        <f>IF(R984&gt;=Assumptions!$B$20,"High",IF(R984&gt;=Assumptions!$B$21,"Medium",IF(R984&gt;=1,"Low","Clear")))</f>
        <v>Medium</v>
      </c>
      <c r="T984" s="13" t="str">
        <f t="shared" si="79"/>
        <v xml:space="preserve">No PO/GRN; </v>
      </c>
    </row>
    <row r="985" spans="1:20" x14ac:dyDescent="0.35">
      <c r="A985" s="13" t="s">
        <v>3996</v>
      </c>
      <c r="B985" s="13" t="s">
        <v>182</v>
      </c>
      <c r="C985" s="13" t="s">
        <v>183</v>
      </c>
      <c r="D985" s="13" t="s">
        <v>3997</v>
      </c>
      <c r="E985" s="14">
        <v>45980</v>
      </c>
      <c r="F985" s="14">
        <v>46016</v>
      </c>
      <c r="G985" s="15">
        <v>9651.19</v>
      </c>
      <c r="H985" s="13" t="s">
        <v>3998</v>
      </c>
      <c r="I985" s="13" t="s">
        <v>3999</v>
      </c>
      <c r="J985" s="13" t="s">
        <v>111</v>
      </c>
      <c r="K985" s="13">
        <f t="shared" si="75"/>
        <v>9</v>
      </c>
      <c r="L985" s="13">
        <f t="shared" si="76"/>
        <v>0</v>
      </c>
      <c r="M985" s="13">
        <f>IF(AND(L985=0,COUNTIFS($B$2:$B$1534,B985,$G$2:$G$1534,G985,$E$2:$E$1534,"&gt;="&amp;(E985-Assumptions!$B$5),$E$2:$E$1534,"&lt;="&amp;(E985+Assumptions!$B$5))&gt;1),1,0)</f>
        <v>0</v>
      </c>
      <c r="N985" s="13">
        <f>IF(AND(G985&gt;=Assumptions!$B$4*(1-Assumptions!$B$6),G985&lt;Assumptions!$B$4),1,0)</f>
        <v>0</v>
      </c>
      <c r="O985" s="13">
        <f>IF(AND(G985&gt;=Assumptions!$B$7,MOD(G985,Assumptions!$B$7)=0),1,0)</f>
        <v>0</v>
      </c>
      <c r="P985" s="13">
        <f t="shared" si="77"/>
        <v>0</v>
      </c>
      <c r="Q985" s="13">
        <f t="shared" si="78"/>
        <v>0</v>
      </c>
      <c r="R985" s="13">
        <f>L985*Assumptions!$B$11+M985*Assumptions!$B$12+N985*Assumptions!$B$13+O985*Assumptions!$B$14+P985*Assumptions!$B$15+Q985*Assumptions!$B$16</f>
        <v>0</v>
      </c>
      <c r="S985" s="13" t="str">
        <f>IF(R985&gt;=Assumptions!$B$20,"High",IF(R985&gt;=Assumptions!$B$21,"Medium",IF(R985&gt;=1,"Low","Clear")))</f>
        <v>Clear</v>
      </c>
      <c r="T985" s="13" t="str">
        <f t="shared" si="79"/>
        <v/>
      </c>
    </row>
    <row r="986" spans="1:20" x14ac:dyDescent="0.35">
      <c r="A986" s="13" t="s">
        <v>4000</v>
      </c>
      <c r="B986" s="13" t="s">
        <v>293</v>
      </c>
      <c r="C986" s="13" t="s">
        <v>294</v>
      </c>
      <c r="D986" s="13" t="s">
        <v>4001</v>
      </c>
      <c r="E986" s="14">
        <v>45978</v>
      </c>
      <c r="F986" s="14">
        <v>46016</v>
      </c>
      <c r="G986" s="15">
        <v>90263.54</v>
      </c>
      <c r="H986" s="13" t="s">
        <v>4002</v>
      </c>
      <c r="I986" s="13" t="s">
        <v>4003</v>
      </c>
      <c r="J986" s="13" t="s">
        <v>98</v>
      </c>
      <c r="K986" s="13">
        <f t="shared" si="75"/>
        <v>9</v>
      </c>
      <c r="L986" s="13">
        <f t="shared" si="76"/>
        <v>0</v>
      </c>
      <c r="M986" s="13">
        <f>IF(AND(L986=0,COUNTIFS($B$2:$B$1534,B986,$G$2:$G$1534,G986,$E$2:$E$1534,"&gt;="&amp;(E986-Assumptions!$B$5),$E$2:$E$1534,"&lt;="&amp;(E986+Assumptions!$B$5))&gt;1),1,0)</f>
        <v>0</v>
      </c>
      <c r="N986" s="13">
        <f>IF(AND(G986&gt;=Assumptions!$B$4*(1-Assumptions!$B$6),G986&lt;Assumptions!$B$4),1,0)</f>
        <v>0</v>
      </c>
      <c r="O986" s="13">
        <f>IF(AND(G986&gt;=Assumptions!$B$7,MOD(G986,Assumptions!$B$7)=0),1,0)</f>
        <v>0</v>
      </c>
      <c r="P986" s="13">
        <f t="shared" si="77"/>
        <v>0</v>
      </c>
      <c r="Q986" s="13">
        <f t="shared" si="78"/>
        <v>0</v>
      </c>
      <c r="R986" s="13">
        <f>L986*Assumptions!$B$11+M986*Assumptions!$B$12+N986*Assumptions!$B$13+O986*Assumptions!$B$14+P986*Assumptions!$B$15+Q986*Assumptions!$B$16</f>
        <v>0</v>
      </c>
      <c r="S986" s="13" t="str">
        <f>IF(R986&gt;=Assumptions!$B$20,"High",IF(R986&gt;=Assumptions!$B$21,"Medium",IF(R986&gt;=1,"Low","Clear")))</f>
        <v>Clear</v>
      </c>
      <c r="T986" s="13" t="str">
        <f t="shared" si="79"/>
        <v/>
      </c>
    </row>
    <row r="987" spans="1:20" x14ac:dyDescent="0.35">
      <c r="A987" s="13" t="s">
        <v>4004</v>
      </c>
      <c r="B987" s="13" t="s">
        <v>293</v>
      </c>
      <c r="C987" s="13" t="s">
        <v>294</v>
      </c>
      <c r="D987" s="13" t="s">
        <v>4005</v>
      </c>
      <c r="E987" s="14">
        <v>45983</v>
      </c>
      <c r="F987" s="14">
        <v>46016</v>
      </c>
      <c r="G987" s="15">
        <v>50599.73</v>
      </c>
      <c r="H987" s="13" t="s">
        <v>4006</v>
      </c>
      <c r="I987" s="13" t="s">
        <v>4007</v>
      </c>
      <c r="J987" s="13" t="s">
        <v>111</v>
      </c>
      <c r="K987" s="13">
        <f t="shared" si="75"/>
        <v>5</v>
      </c>
      <c r="L987" s="13">
        <f t="shared" si="76"/>
        <v>0</v>
      </c>
      <c r="M987" s="13">
        <f>IF(AND(L987=0,COUNTIFS($B$2:$B$1534,B987,$G$2:$G$1534,G987,$E$2:$E$1534,"&gt;="&amp;(E987-Assumptions!$B$5),$E$2:$E$1534,"&lt;="&amp;(E987+Assumptions!$B$5))&gt;1),1,0)</f>
        <v>0</v>
      </c>
      <c r="N987" s="13">
        <f>IF(AND(G987&gt;=Assumptions!$B$4*(1-Assumptions!$B$6),G987&lt;Assumptions!$B$4),1,0)</f>
        <v>0</v>
      </c>
      <c r="O987" s="13">
        <f>IF(AND(G987&gt;=Assumptions!$B$7,MOD(G987,Assumptions!$B$7)=0),1,0)</f>
        <v>0</v>
      </c>
      <c r="P987" s="13">
        <f t="shared" si="77"/>
        <v>0</v>
      </c>
      <c r="Q987" s="13">
        <f t="shared" si="78"/>
        <v>0</v>
      </c>
      <c r="R987" s="13">
        <f>L987*Assumptions!$B$11+M987*Assumptions!$B$12+N987*Assumptions!$B$13+O987*Assumptions!$B$14+P987*Assumptions!$B$15+Q987*Assumptions!$B$16</f>
        <v>0</v>
      </c>
      <c r="S987" s="13" t="str">
        <f>IF(R987&gt;=Assumptions!$B$20,"High",IF(R987&gt;=Assumptions!$B$21,"Medium",IF(R987&gt;=1,"Low","Clear")))</f>
        <v>Clear</v>
      </c>
      <c r="T987" s="13" t="str">
        <f t="shared" si="79"/>
        <v/>
      </c>
    </row>
    <row r="988" spans="1:20" x14ac:dyDescent="0.35">
      <c r="A988" s="13" t="s">
        <v>4008</v>
      </c>
      <c r="B988" s="13" t="s">
        <v>228</v>
      </c>
      <c r="C988" s="13" t="s">
        <v>229</v>
      </c>
      <c r="D988" s="13" t="s">
        <v>4009</v>
      </c>
      <c r="E988" s="14">
        <v>45994</v>
      </c>
      <c r="F988" s="14">
        <v>46016</v>
      </c>
      <c r="G988" s="15">
        <v>10205.89</v>
      </c>
      <c r="H988" s="13" t="s">
        <v>4010</v>
      </c>
      <c r="I988" s="13" t="s">
        <v>4011</v>
      </c>
      <c r="J988" s="13" t="s">
        <v>170</v>
      </c>
      <c r="K988" s="13">
        <f t="shared" si="75"/>
        <v>1</v>
      </c>
      <c r="L988" s="13">
        <f t="shared" si="76"/>
        <v>0</v>
      </c>
      <c r="M988" s="13">
        <f>IF(AND(L988=0,COUNTIFS($B$2:$B$1534,B988,$G$2:$G$1534,G988,$E$2:$E$1534,"&gt;="&amp;(E988-Assumptions!$B$5),$E$2:$E$1534,"&lt;="&amp;(E988+Assumptions!$B$5))&gt;1),1,0)</f>
        <v>0</v>
      </c>
      <c r="N988" s="13">
        <f>IF(AND(G988&gt;=Assumptions!$B$4*(1-Assumptions!$B$6),G988&lt;Assumptions!$B$4),1,0)</f>
        <v>0</v>
      </c>
      <c r="O988" s="13">
        <f>IF(AND(G988&gt;=Assumptions!$B$7,MOD(G988,Assumptions!$B$7)=0),1,0)</f>
        <v>0</v>
      </c>
      <c r="P988" s="13">
        <f t="shared" si="77"/>
        <v>0</v>
      </c>
      <c r="Q988" s="13">
        <f t="shared" si="78"/>
        <v>0</v>
      </c>
      <c r="R988" s="13">
        <f>L988*Assumptions!$B$11+M988*Assumptions!$B$12+N988*Assumptions!$B$13+O988*Assumptions!$B$14+P988*Assumptions!$B$15+Q988*Assumptions!$B$16</f>
        <v>0</v>
      </c>
      <c r="S988" s="13" t="str">
        <f>IF(R988&gt;=Assumptions!$B$20,"High",IF(R988&gt;=Assumptions!$B$21,"Medium",IF(R988&gt;=1,"Low","Clear")))</f>
        <v>Clear</v>
      </c>
      <c r="T988" s="13" t="str">
        <f t="shared" si="79"/>
        <v/>
      </c>
    </row>
    <row r="989" spans="1:20" x14ac:dyDescent="0.35">
      <c r="A989" s="13" t="s">
        <v>4012</v>
      </c>
      <c r="B989" s="13" t="s">
        <v>670</v>
      </c>
      <c r="C989" s="13" t="s">
        <v>671</v>
      </c>
      <c r="D989" s="13" t="s">
        <v>4013</v>
      </c>
      <c r="E989" s="14">
        <v>45987</v>
      </c>
      <c r="F989" s="14">
        <v>46016</v>
      </c>
      <c r="G989" s="15">
        <v>125661.16</v>
      </c>
      <c r="H989" s="13" t="s">
        <v>4014</v>
      </c>
      <c r="I989" s="13" t="s">
        <v>4015</v>
      </c>
      <c r="J989" s="13" t="s">
        <v>91</v>
      </c>
      <c r="K989" s="13">
        <f t="shared" si="75"/>
        <v>1</v>
      </c>
      <c r="L989" s="13">
        <f t="shared" si="76"/>
        <v>0</v>
      </c>
      <c r="M989" s="13">
        <f>IF(AND(L989=0,COUNTIFS($B$2:$B$1534,B989,$G$2:$G$1534,G989,$E$2:$E$1534,"&gt;="&amp;(E989-Assumptions!$B$5),$E$2:$E$1534,"&lt;="&amp;(E989+Assumptions!$B$5))&gt;1),1,0)</f>
        <v>0</v>
      </c>
      <c r="N989" s="13">
        <f>IF(AND(G989&gt;=Assumptions!$B$4*(1-Assumptions!$B$6),G989&lt;Assumptions!$B$4),1,0)</f>
        <v>0</v>
      </c>
      <c r="O989" s="13">
        <f>IF(AND(G989&gt;=Assumptions!$B$7,MOD(G989,Assumptions!$B$7)=0),1,0)</f>
        <v>0</v>
      </c>
      <c r="P989" s="13">
        <f t="shared" si="77"/>
        <v>0</v>
      </c>
      <c r="Q989" s="13">
        <f t="shared" si="78"/>
        <v>0</v>
      </c>
      <c r="R989" s="13">
        <f>L989*Assumptions!$B$11+M989*Assumptions!$B$12+N989*Assumptions!$B$13+O989*Assumptions!$B$14+P989*Assumptions!$B$15+Q989*Assumptions!$B$16</f>
        <v>0</v>
      </c>
      <c r="S989" s="13" t="str">
        <f>IF(R989&gt;=Assumptions!$B$20,"High",IF(R989&gt;=Assumptions!$B$21,"Medium",IF(R989&gt;=1,"Low","Clear")))</f>
        <v>Clear</v>
      </c>
      <c r="T989" s="13" t="str">
        <f t="shared" si="79"/>
        <v/>
      </c>
    </row>
    <row r="990" spans="1:20" x14ac:dyDescent="0.35">
      <c r="A990" s="13" t="s">
        <v>4016</v>
      </c>
      <c r="B990" s="13" t="s">
        <v>476</v>
      </c>
      <c r="C990" s="13" t="s">
        <v>477</v>
      </c>
      <c r="D990" s="13" t="s">
        <v>4017</v>
      </c>
      <c r="E990" s="14">
        <v>45977</v>
      </c>
      <c r="F990" s="14">
        <v>46016</v>
      </c>
      <c r="G990" s="15">
        <v>1036.94</v>
      </c>
      <c r="H990" s="13" t="s">
        <v>4018</v>
      </c>
      <c r="I990" s="13" t="s">
        <v>4019</v>
      </c>
      <c r="J990" s="13" t="s">
        <v>170</v>
      </c>
      <c r="K990" s="13">
        <f t="shared" si="75"/>
        <v>1</v>
      </c>
      <c r="L990" s="13">
        <f t="shared" si="76"/>
        <v>0</v>
      </c>
      <c r="M990" s="13">
        <f>IF(AND(L990=0,COUNTIFS($B$2:$B$1534,B990,$G$2:$G$1534,G990,$E$2:$E$1534,"&gt;="&amp;(E990-Assumptions!$B$5),$E$2:$E$1534,"&lt;="&amp;(E990+Assumptions!$B$5))&gt;1),1,0)</f>
        <v>0</v>
      </c>
      <c r="N990" s="13">
        <f>IF(AND(G990&gt;=Assumptions!$B$4*(1-Assumptions!$B$6),G990&lt;Assumptions!$B$4),1,0)</f>
        <v>0</v>
      </c>
      <c r="O990" s="13">
        <f>IF(AND(G990&gt;=Assumptions!$B$7,MOD(G990,Assumptions!$B$7)=0),1,0)</f>
        <v>0</v>
      </c>
      <c r="P990" s="13">
        <f t="shared" si="77"/>
        <v>0</v>
      </c>
      <c r="Q990" s="13">
        <f t="shared" si="78"/>
        <v>0</v>
      </c>
      <c r="R990" s="13">
        <f>L990*Assumptions!$B$11+M990*Assumptions!$B$12+N990*Assumptions!$B$13+O990*Assumptions!$B$14+P990*Assumptions!$B$15+Q990*Assumptions!$B$16</f>
        <v>0</v>
      </c>
      <c r="S990" s="13" t="str">
        <f>IF(R990&gt;=Assumptions!$B$20,"High",IF(R990&gt;=Assumptions!$B$21,"Medium",IF(R990&gt;=1,"Low","Clear")))</f>
        <v>Clear</v>
      </c>
      <c r="T990" s="13" t="str">
        <f t="shared" si="79"/>
        <v/>
      </c>
    </row>
    <row r="991" spans="1:20" x14ac:dyDescent="0.35">
      <c r="A991" s="13" t="s">
        <v>4020</v>
      </c>
      <c r="B991" s="13" t="s">
        <v>145</v>
      </c>
      <c r="C991" s="13" t="s">
        <v>146</v>
      </c>
      <c r="D991" s="13" t="s">
        <v>4021</v>
      </c>
      <c r="E991" s="14">
        <v>45977</v>
      </c>
      <c r="F991" s="14">
        <v>46017</v>
      </c>
      <c r="G991" s="15">
        <v>60000</v>
      </c>
      <c r="H991" s="13" t="s">
        <v>4022</v>
      </c>
      <c r="I991" s="13" t="s">
        <v>4023</v>
      </c>
      <c r="J991" s="13" t="s">
        <v>170</v>
      </c>
      <c r="K991" s="13">
        <f t="shared" si="75"/>
        <v>6</v>
      </c>
      <c r="L991" s="13">
        <f t="shared" si="76"/>
        <v>0</v>
      </c>
      <c r="M991" s="13">
        <f>IF(AND(L991=0,COUNTIFS($B$2:$B$1534,B991,$G$2:$G$1534,G991,$E$2:$E$1534,"&gt;="&amp;(E991-Assumptions!$B$5),$E$2:$E$1534,"&lt;="&amp;(E991+Assumptions!$B$5))&gt;1),1,0)</f>
        <v>0</v>
      </c>
      <c r="N991" s="13">
        <f>IF(AND(G991&gt;=Assumptions!$B$4*(1-Assumptions!$B$6),G991&lt;Assumptions!$B$4),1,0)</f>
        <v>0</v>
      </c>
      <c r="O991" s="13">
        <f>IF(AND(G991&gt;=Assumptions!$B$7,MOD(G991,Assumptions!$B$7)=0),1,0)</f>
        <v>1</v>
      </c>
      <c r="P991" s="13">
        <f t="shared" si="77"/>
        <v>0</v>
      </c>
      <c r="Q991" s="13">
        <f t="shared" si="78"/>
        <v>0</v>
      </c>
      <c r="R991" s="13">
        <f>L991*Assumptions!$B$11+M991*Assumptions!$B$12+N991*Assumptions!$B$13+O991*Assumptions!$B$14+P991*Assumptions!$B$15+Q991*Assumptions!$B$16</f>
        <v>1</v>
      </c>
      <c r="S991" s="13" t="str">
        <f>IF(R991&gt;=Assumptions!$B$20,"High",IF(R991&gt;=Assumptions!$B$21,"Medium",IF(R991&gt;=1,"Low","Clear")))</f>
        <v>Low</v>
      </c>
      <c r="T991" s="13" t="str">
        <f t="shared" si="79"/>
        <v xml:space="preserve">Round amount; </v>
      </c>
    </row>
    <row r="992" spans="1:20" x14ac:dyDescent="0.35">
      <c r="A992" s="13" t="s">
        <v>4024</v>
      </c>
      <c r="B992" s="13" t="s">
        <v>409</v>
      </c>
      <c r="C992" s="13" t="s">
        <v>410</v>
      </c>
      <c r="D992" s="13" t="s">
        <v>4025</v>
      </c>
      <c r="E992" s="14">
        <v>45994</v>
      </c>
      <c r="F992" s="14">
        <v>46020</v>
      </c>
      <c r="G992" s="15">
        <v>508105.93</v>
      </c>
      <c r="H992" s="13" t="s">
        <v>4026</v>
      </c>
      <c r="I992" s="13" t="s">
        <v>4027</v>
      </c>
      <c r="J992" s="13" t="s">
        <v>136</v>
      </c>
      <c r="K992" s="13">
        <f t="shared" si="75"/>
        <v>5</v>
      </c>
      <c r="L992" s="13">
        <f t="shared" si="76"/>
        <v>0</v>
      </c>
      <c r="M992" s="13">
        <f>IF(AND(L992=0,COUNTIFS($B$2:$B$1534,B992,$G$2:$G$1534,G992,$E$2:$E$1534,"&gt;="&amp;(E992-Assumptions!$B$5),$E$2:$E$1534,"&lt;="&amp;(E992+Assumptions!$B$5))&gt;1),1,0)</f>
        <v>0</v>
      </c>
      <c r="N992" s="13">
        <f>IF(AND(G992&gt;=Assumptions!$B$4*(1-Assumptions!$B$6),G992&lt;Assumptions!$B$4),1,0)</f>
        <v>0</v>
      </c>
      <c r="O992" s="13">
        <f>IF(AND(G992&gt;=Assumptions!$B$7,MOD(G992,Assumptions!$B$7)=0),1,0)</f>
        <v>0</v>
      </c>
      <c r="P992" s="13">
        <f t="shared" si="77"/>
        <v>0</v>
      </c>
      <c r="Q992" s="13">
        <f t="shared" si="78"/>
        <v>0</v>
      </c>
      <c r="R992" s="13">
        <f>L992*Assumptions!$B$11+M992*Assumptions!$B$12+N992*Assumptions!$B$13+O992*Assumptions!$B$14+P992*Assumptions!$B$15+Q992*Assumptions!$B$16</f>
        <v>0</v>
      </c>
      <c r="S992" s="13" t="str">
        <f>IF(R992&gt;=Assumptions!$B$20,"High",IF(R992&gt;=Assumptions!$B$21,"Medium",IF(R992&gt;=1,"Low","Clear")))</f>
        <v>Clear</v>
      </c>
      <c r="T992" s="13" t="str">
        <f t="shared" si="79"/>
        <v/>
      </c>
    </row>
    <row r="993" spans="1:20" x14ac:dyDescent="0.35">
      <c r="A993" s="13" t="s">
        <v>4028</v>
      </c>
      <c r="B993" s="13" t="s">
        <v>228</v>
      </c>
      <c r="C993" s="13" t="s">
        <v>229</v>
      </c>
      <c r="D993" s="13" t="s">
        <v>4029</v>
      </c>
      <c r="E993" s="14">
        <v>45994</v>
      </c>
      <c r="F993" s="14">
        <v>46020</v>
      </c>
      <c r="G993" s="15">
        <v>47938.99</v>
      </c>
      <c r="H993" s="13" t="s">
        <v>4030</v>
      </c>
      <c r="I993" s="13" t="s">
        <v>4031</v>
      </c>
      <c r="J993" s="13" t="s">
        <v>143</v>
      </c>
      <c r="K993" s="13">
        <f t="shared" si="75"/>
        <v>4</v>
      </c>
      <c r="L993" s="13">
        <f t="shared" si="76"/>
        <v>0</v>
      </c>
      <c r="M993" s="13">
        <f>IF(AND(L993=0,COUNTIFS($B$2:$B$1534,B993,$G$2:$G$1534,G993,$E$2:$E$1534,"&gt;="&amp;(E993-Assumptions!$B$5),$E$2:$E$1534,"&lt;="&amp;(E993+Assumptions!$B$5))&gt;1),1,0)</f>
        <v>0</v>
      </c>
      <c r="N993" s="13">
        <f>IF(AND(G993&gt;=Assumptions!$B$4*(1-Assumptions!$B$6),G993&lt;Assumptions!$B$4),1,0)</f>
        <v>1</v>
      </c>
      <c r="O993" s="13">
        <f>IF(AND(G993&gt;=Assumptions!$B$7,MOD(G993,Assumptions!$B$7)=0),1,0)</f>
        <v>0</v>
      </c>
      <c r="P993" s="13">
        <f t="shared" si="77"/>
        <v>0</v>
      </c>
      <c r="Q993" s="13">
        <f t="shared" si="78"/>
        <v>0</v>
      </c>
      <c r="R993" s="13">
        <f>L993*Assumptions!$B$11+M993*Assumptions!$B$12+N993*Assumptions!$B$13+O993*Assumptions!$B$14+P993*Assumptions!$B$15+Q993*Assumptions!$B$16</f>
        <v>3</v>
      </c>
      <c r="S993" s="13" t="str">
        <f>IF(R993&gt;=Assumptions!$B$20,"High",IF(R993&gt;=Assumptions!$B$21,"Medium",IF(R993&gt;=1,"Low","Clear")))</f>
        <v>Medium</v>
      </c>
      <c r="T993" s="13" t="str">
        <f t="shared" si="79"/>
        <v xml:space="preserve">Just below limit; </v>
      </c>
    </row>
    <row r="994" spans="1:20" x14ac:dyDescent="0.35">
      <c r="A994" s="13" t="s">
        <v>4032</v>
      </c>
      <c r="B994" s="13" t="s">
        <v>86</v>
      </c>
      <c r="C994" s="13" t="s">
        <v>87</v>
      </c>
      <c r="D994" s="13" t="s">
        <v>4033</v>
      </c>
      <c r="E994" s="14">
        <v>45998</v>
      </c>
      <c r="F994" s="14">
        <v>46020</v>
      </c>
      <c r="G994" s="15">
        <v>2444.66</v>
      </c>
      <c r="H994" s="13" t="s">
        <v>4034</v>
      </c>
      <c r="I994" s="13" t="s">
        <v>4035</v>
      </c>
      <c r="J994" s="13" t="s">
        <v>98</v>
      </c>
      <c r="K994" s="13">
        <f t="shared" si="75"/>
        <v>2</v>
      </c>
      <c r="L994" s="13">
        <f t="shared" si="76"/>
        <v>0</v>
      </c>
      <c r="M994" s="13">
        <f>IF(AND(L994=0,COUNTIFS($B$2:$B$1534,B994,$G$2:$G$1534,G994,$E$2:$E$1534,"&gt;="&amp;(E994-Assumptions!$B$5),$E$2:$E$1534,"&lt;="&amp;(E994+Assumptions!$B$5))&gt;1),1,0)</f>
        <v>0</v>
      </c>
      <c r="N994" s="13">
        <f>IF(AND(G994&gt;=Assumptions!$B$4*(1-Assumptions!$B$6),G994&lt;Assumptions!$B$4),1,0)</f>
        <v>0</v>
      </c>
      <c r="O994" s="13">
        <f>IF(AND(G994&gt;=Assumptions!$B$7,MOD(G994,Assumptions!$B$7)=0),1,0)</f>
        <v>0</v>
      </c>
      <c r="P994" s="13">
        <f t="shared" si="77"/>
        <v>0</v>
      </c>
      <c r="Q994" s="13">
        <f t="shared" si="78"/>
        <v>0</v>
      </c>
      <c r="R994" s="13">
        <f>L994*Assumptions!$B$11+M994*Assumptions!$B$12+N994*Assumptions!$B$13+O994*Assumptions!$B$14+P994*Assumptions!$B$15+Q994*Assumptions!$B$16</f>
        <v>0</v>
      </c>
      <c r="S994" s="13" t="str">
        <f>IF(R994&gt;=Assumptions!$B$20,"High",IF(R994&gt;=Assumptions!$B$21,"Medium",IF(R994&gt;=1,"Low","Clear")))</f>
        <v>Clear</v>
      </c>
      <c r="T994" s="13" t="str">
        <f t="shared" si="79"/>
        <v/>
      </c>
    </row>
    <row r="995" spans="1:20" x14ac:dyDescent="0.35">
      <c r="A995" s="13" t="s">
        <v>4036</v>
      </c>
      <c r="B995" s="13" t="s">
        <v>234</v>
      </c>
      <c r="C995" s="13" t="s">
        <v>235</v>
      </c>
      <c r="D995" s="13" t="s">
        <v>4037</v>
      </c>
      <c r="E995" s="14">
        <v>45993</v>
      </c>
      <c r="F995" s="14">
        <v>46020</v>
      </c>
      <c r="G995" s="15">
        <v>4038.35</v>
      </c>
      <c r="H995" s="13" t="s">
        <v>4038</v>
      </c>
      <c r="I995" s="13" t="s">
        <v>4039</v>
      </c>
      <c r="J995" s="13" t="s">
        <v>91</v>
      </c>
      <c r="K995" s="13">
        <f t="shared" si="75"/>
        <v>4</v>
      </c>
      <c r="L995" s="13">
        <f t="shared" si="76"/>
        <v>0</v>
      </c>
      <c r="M995" s="13">
        <f>IF(AND(L995=0,COUNTIFS($B$2:$B$1534,B995,$G$2:$G$1534,G995,$E$2:$E$1534,"&gt;="&amp;(E995-Assumptions!$B$5),$E$2:$E$1534,"&lt;="&amp;(E995+Assumptions!$B$5))&gt;1),1,0)</f>
        <v>0</v>
      </c>
      <c r="N995" s="13">
        <f>IF(AND(G995&gt;=Assumptions!$B$4*(1-Assumptions!$B$6),G995&lt;Assumptions!$B$4),1,0)</f>
        <v>0</v>
      </c>
      <c r="O995" s="13">
        <f>IF(AND(G995&gt;=Assumptions!$B$7,MOD(G995,Assumptions!$B$7)=0),1,0)</f>
        <v>0</v>
      </c>
      <c r="P995" s="13">
        <f t="shared" si="77"/>
        <v>0</v>
      </c>
      <c r="Q995" s="13">
        <f t="shared" si="78"/>
        <v>0</v>
      </c>
      <c r="R995" s="13">
        <f>L995*Assumptions!$B$11+M995*Assumptions!$B$12+N995*Assumptions!$B$13+O995*Assumptions!$B$14+P995*Assumptions!$B$15+Q995*Assumptions!$B$16</f>
        <v>0</v>
      </c>
      <c r="S995" s="13" t="str">
        <f>IF(R995&gt;=Assumptions!$B$20,"High",IF(R995&gt;=Assumptions!$B$21,"Medium",IF(R995&gt;=1,"Low","Clear")))</f>
        <v>Clear</v>
      </c>
      <c r="T995" s="13" t="str">
        <f t="shared" si="79"/>
        <v/>
      </c>
    </row>
    <row r="996" spans="1:20" x14ac:dyDescent="0.35">
      <c r="A996" s="13" t="s">
        <v>4040</v>
      </c>
      <c r="B996" s="13" t="s">
        <v>466</v>
      </c>
      <c r="C996" s="13" t="s">
        <v>467</v>
      </c>
      <c r="D996" s="13" t="s">
        <v>4041</v>
      </c>
      <c r="E996" s="14">
        <v>45979</v>
      </c>
      <c r="F996" s="14">
        <v>46020</v>
      </c>
      <c r="G996" s="15">
        <v>12718.55</v>
      </c>
      <c r="H996" s="13" t="s">
        <v>4042</v>
      </c>
      <c r="I996" s="13" t="s">
        <v>4043</v>
      </c>
      <c r="J996" s="13" t="s">
        <v>143</v>
      </c>
      <c r="K996" s="13">
        <f t="shared" si="75"/>
        <v>1</v>
      </c>
      <c r="L996" s="13">
        <f t="shared" si="76"/>
        <v>0</v>
      </c>
      <c r="M996" s="13">
        <f>IF(AND(L996=0,COUNTIFS($B$2:$B$1534,B996,$G$2:$G$1534,G996,$E$2:$E$1534,"&gt;="&amp;(E996-Assumptions!$B$5),$E$2:$E$1534,"&lt;="&amp;(E996+Assumptions!$B$5))&gt;1),1,0)</f>
        <v>0</v>
      </c>
      <c r="N996" s="13">
        <f>IF(AND(G996&gt;=Assumptions!$B$4*(1-Assumptions!$B$6),G996&lt;Assumptions!$B$4),1,0)</f>
        <v>0</v>
      </c>
      <c r="O996" s="13">
        <f>IF(AND(G996&gt;=Assumptions!$B$7,MOD(G996,Assumptions!$B$7)=0),1,0)</f>
        <v>0</v>
      </c>
      <c r="P996" s="13">
        <f t="shared" si="77"/>
        <v>0</v>
      </c>
      <c r="Q996" s="13">
        <f t="shared" si="78"/>
        <v>0</v>
      </c>
      <c r="R996" s="13">
        <f>L996*Assumptions!$B$11+M996*Assumptions!$B$12+N996*Assumptions!$B$13+O996*Assumptions!$B$14+P996*Assumptions!$B$15+Q996*Assumptions!$B$16</f>
        <v>0</v>
      </c>
      <c r="S996" s="13" t="str">
        <f>IF(R996&gt;=Assumptions!$B$20,"High",IF(R996&gt;=Assumptions!$B$21,"Medium",IF(R996&gt;=1,"Low","Clear")))</f>
        <v>Clear</v>
      </c>
      <c r="T996" s="13" t="str">
        <f t="shared" si="79"/>
        <v/>
      </c>
    </row>
    <row r="997" spans="1:20" x14ac:dyDescent="0.35">
      <c r="A997" s="13" t="s">
        <v>4044</v>
      </c>
      <c r="B997" s="13" t="s">
        <v>466</v>
      </c>
      <c r="C997" s="13" t="s">
        <v>467</v>
      </c>
      <c r="D997" s="13" t="s">
        <v>4045</v>
      </c>
      <c r="E997" s="14">
        <v>45990</v>
      </c>
      <c r="F997" s="14">
        <v>46020</v>
      </c>
      <c r="G997" s="15">
        <v>810618.8</v>
      </c>
      <c r="H997" s="13" t="s">
        <v>4046</v>
      </c>
      <c r="I997" s="13" t="s">
        <v>4047</v>
      </c>
      <c r="J997" s="13" t="s">
        <v>136</v>
      </c>
      <c r="K997" s="13">
        <f t="shared" si="75"/>
        <v>8</v>
      </c>
      <c r="L997" s="13">
        <f t="shared" si="76"/>
        <v>0</v>
      </c>
      <c r="M997" s="13">
        <f>IF(AND(L997=0,COUNTIFS($B$2:$B$1534,B997,$G$2:$G$1534,G997,$E$2:$E$1534,"&gt;="&amp;(E997-Assumptions!$B$5),$E$2:$E$1534,"&lt;="&amp;(E997+Assumptions!$B$5))&gt;1),1,0)</f>
        <v>0</v>
      </c>
      <c r="N997" s="13">
        <f>IF(AND(G997&gt;=Assumptions!$B$4*(1-Assumptions!$B$6),G997&lt;Assumptions!$B$4),1,0)</f>
        <v>0</v>
      </c>
      <c r="O997" s="13">
        <f>IF(AND(G997&gt;=Assumptions!$B$7,MOD(G997,Assumptions!$B$7)=0),1,0)</f>
        <v>0</v>
      </c>
      <c r="P997" s="13">
        <f t="shared" si="77"/>
        <v>0</v>
      </c>
      <c r="Q997" s="13">
        <f t="shared" si="78"/>
        <v>0</v>
      </c>
      <c r="R997" s="13">
        <f>L997*Assumptions!$B$11+M997*Assumptions!$B$12+N997*Assumptions!$B$13+O997*Assumptions!$B$14+P997*Assumptions!$B$15+Q997*Assumptions!$B$16</f>
        <v>0</v>
      </c>
      <c r="S997" s="13" t="str">
        <f>IF(R997&gt;=Assumptions!$B$20,"High",IF(R997&gt;=Assumptions!$B$21,"Medium",IF(R997&gt;=1,"Low","Clear")))</f>
        <v>Clear</v>
      </c>
      <c r="T997" s="13" t="str">
        <f t="shared" si="79"/>
        <v/>
      </c>
    </row>
    <row r="998" spans="1:20" x14ac:dyDescent="0.35">
      <c r="A998" s="13" t="s">
        <v>4048</v>
      </c>
      <c r="B998" s="13" t="s">
        <v>466</v>
      </c>
      <c r="C998" s="13" t="s">
        <v>467</v>
      </c>
      <c r="D998" s="13" t="s">
        <v>4049</v>
      </c>
      <c r="E998" s="14">
        <v>45981</v>
      </c>
      <c r="F998" s="14">
        <v>46020</v>
      </c>
      <c r="G998" s="15">
        <v>161630.48000000001</v>
      </c>
      <c r="H998" s="13" t="s">
        <v>4050</v>
      </c>
      <c r="I998" s="13" t="s">
        <v>4051</v>
      </c>
      <c r="J998" s="13" t="s">
        <v>143</v>
      </c>
      <c r="K998" s="13">
        <f t="shared" si="75"/>
        <v>1</v>
      </c>
      <c r="L998" s="13">
        <f t="shared" si="76"/>
        <v>0</v>
      </c>
      <c r="M998" s="13">
        <f>IF(AND(L998=0,COUNTIFS($B$2:$B$1534,B998,$G$2:$G$1534,G998,$E$2:$E$1534,"&gt;="&amp;(E998-Assumptions!$B$5),$E$2:$E$1534,"&lt;="&amp;(E998+Assumptions!$B$5))&gt;1),1,0)</f>
        <v>0</v>
      </c>
      <c r="N998" s="13">
        <f>IF(AND(G998&gt;=Assumptions!$B$4*(1-Assumptions!$B$6),G998&lt;Assumptions!$B$4),1,0)</f>
        <v>0</v>
      </c>
      <c r="O998" s="13">
        <f>IF(AND(G998&gt;=Assumptions!$B$7,MOD(G998,Assumptions!$B$7)=0),1,0)</f>
        <v>0</v>
      </c>
      <c r="P998" s="13">
        <f t="shared" si="77"/>
        <v>0</v>
      </c>
      <c r="Q998" s="13">
        <f t="shared" si="78"/>
        <v>0</v>
      </c>
      <c r="R998" s="13">
        <f>L998*Assumptions!$B$11+M998*Assumptions!$B$12+N998*Assumptions!$B$13+O998*Assumptions!$B$14+P998*Assumptions!$B$15+Q998*Assumptions!$B$16</f>
        <v>0</v>
      </c>
      <c r="S998" s="13" t="str">
        <f>IF(R998&gt;=Assumptions!$B$20,"High",IF(R998&gt;=Assumptions!$B$21,"Medium",IF(R998&gt;=1,"Low","Clear")))</f>
        <v>Clear</v>
      </c>
      <c r="T998" s="13" t="str">
        <f t="shared" si="79"/>
        <v/>
      </c>
    </row>
    <row r="999" spans="1:20" x14ac:dyDescent="0.35">
      <c r="A999" s="13" t="s">
        <v>4052</v>
      </c>
      <c r="B999" s="13" t="s">
        <v>218</v>
      </c>
      <c r="C999" s="13" t="s">
        <v>219</v>
      </c>
      <c r="D999" s="13" t="s">
        <v>4053</v>
      </c>
      <c r="E999" s="14">
        <v>45995</v>
      </c>
      <c r="F999" s="14">
        <v>46020</v>
      </c>
      <c r="G999" s="15">
        <v>5147.75</v>
      </c>
      <c r="H999" s="13" t="s">
        <v>4054</v>
      </c>
      <c r="I999" s="13" t="s">
        <v>4055</v>
      </c>
      <c r="J999" s="13" t="s">
        <v>91</v>
      </c>
      <c r="K999" s="13">
        <f t="shared" si="75"/>
        <v>5</v>
      </c>
      <c r="L999" s="13">
        <f t="shared" si="76"/>
        <v>0</v>
      </c>
      <c r="M999" s="13">
        <f>IF(AND(L999=0,COUNTIFS($B$2:$B$1534,B999,$G$2:$G$1534,G999,$E$2:$E$1534,"&gt;="&amp;(E999-Assumptions!$B$5),$E$2:$E$1534,"&lt;="&amp;(E999+Assumptions!$B$5))&gt;1),1,0)</f>
        <v>0</v>
      </c>
      <c r="N999" s="13">
        <f>IF(AND(G999&gt;=Assumptions!$B$4*(1-Assumptions!$B$6),G999&lt;Assumptions!$B$4),1,0)</f>
        <v>0</v>
      </c>
      <c r="O999" s="13">
        <f>IF(AND(G999&gt;=Assumptions!$B$7,MOD(G999,Assumptions!$B$7)=0),1,0)</f>
        <v>0</v>
      </c>
      <c r="P999" s="13">
        <f t="shared" si="77"/>
        <v>0</v>
      </c>
      <c r="Q999" s="13">
        <f t="shared" si="78"/>
        <v>0</v>
      </c>
      <c r="R999" s="13">
        <f>L999*Assumptions!$B$11+M999*Assumptions!$B$12+N999*Assumptions!$B$13+O999*Assumptions!$B$14+P999*Assumptions!$B$15+Q999*Assumptions!$B$16</f>
        <v>0</v>
      </c>
      <c r="S999" s="13" t="str">
        <f>IF(R999&gt;=Assumptions!$B$20,"High",IF(R999&gt;=Assumptions!$B$21,"Medium",IF(R999&gt;=1,"Low","Clear")))</f>
        <v>Clear</v>
      </c>
      <c r="T999" s="13" t="str">
        <f t="shared" si="79"/>
        <v/>
      </c>
    </row>
    <row r="1000" spans="1:20" x14ac:dyDescent="0.35">
      <c r="A1000" s="13" t="s">
        <v>4056</v>
      </c>
      <c r="B1000" s="13" t="s">
        <v>218</v>
      </c>
      <c r="C1000" s="13" t="s">
        <v>219</v>
      </c>
      <c r="D1000" s="13" t="s">
        <v>4057</v>
      </c>
      <c r="E1000" s="14">
        <v>45985</v>
      </c>
      <c r="F1000" s="14">
        <v>46020</v>
      </c>
      <c r="G1000" s="15">
        <v>436329.43</v>
      </c>
      <c r="H1000" s="13" t="s">
        <v>4058</v>
      </c>
      <c r="I1000" s="13" t="s">
        <v>4059</v>
      </c>
      <c r="J1000" s="13" t="s">
        <v>170</v>
      </c>
      <c r="K1000" s="13">
        <f t="shared" si="75"/>
        <v>4</v>
      </c>
      <c r="L1000" s="13">
        <f t="shared" si="76"/>
        <v>0</v>
      </c>
      <c r="M1000" s="13">
        <f>IF(AND(L1000=0,COUNTIFS($B$2:$B$1534,B1000,$G$2:$G$1534,G1000,$E$2:$E$1534,"&gt;="&amp;(E1000-Assumptions!$B$5),$E$2:$E$1534,"&lt;="&amp;(E1000+Assumptions!$B$5))&gt;1),1,0)</f>
        <v>0</v>
      </c>
      <c r="N1000" s="13">
        <f>IF(AND(G1000&gt;=Assumptions!$B$4*(1-Assumptions!$B$6),G1000&lt;Assumptions!$B$4),1,0)</f>
        <v>0</v>
      </c>
      <c r="O1000" s="13">
        <f>IF(AND(G1000&gt;=Assumptions!$B$7,MOD(G1000,Assumptions!$B$7)=0),1,0)</f>
        <v>0</v>
      </c>
      <c r="P1000" s="13">
        <f t="shared" si="77"/>
        <v>0</v>
      </c>
      <c r="Q1000" s="13">
        <f t="shared" si="78"/>
        <v>0</v>
      </c>
      <c r="R1000" s="13">
        <f>L1000*Assumptions!$B$11+M1000*Assumptions!$B$12+N1000*Assumptions!$B$13+O1000*Assumptions!$B$14+P1000*Assumptions!$B$15+Q1000*Assumptions!$B$16</f>
        <v>0</v>
      </c>
      <c r="S1000" s="13" t="str">
        <f>IF(R1000&gt;=Assumptions!$B$20,"High",IF(R1000&gt;=Assumptions!$B$21,"Medium",IF(R1000&gt;=1,"Low","Clear")))</f>
        <v>Clear</v>
      </c>
      <c r="T1000" s="13" t="str">
        <f t="shared" si="79"/>
        <v/>
      </c>
    </row>
    <row r="1001" spans="1:20" x14ac:dyDescent="0.35">
      <c r="A1001" s="13" t="s">
        <v>4060</v>
      </c>
      <c r="B1001" s="13" t="s">
        <v>323</v>
      </c>
      <c r="C1001" s="13" t="s">
        <v>324</v>
      </c>
      <c r="D1001" s="13" t="s">
        <v>4061</v>
      </c>
      <c r="E1001" s="14">
        <v>45981</v>
      </c>
      <c r="F1001" s="14">
        <v>46020</v>
      </c>
      <c r="G1001" s="15">
        <v>617921.12</v>
      </c>
      <c r="H1001" s="13" t="s">
        <v>4062</v>
      </c>
      <c r="I1001" s="13" t="s">
        <v>4063</v>
      </c>
      <c r="J1001" s="13" t="s">
        <v>98</v>
      </c>
      <c r="K1001" s="13">
        <f t="shared" si="75"/>
        <v>6</v>
      </c>
      <c r="L1001" s="13">
        <f t="shared" si="76"/>
        <v>0</v>
      </c>
      <c r="M1001" s="13">
        <f>IF(AND(L1001=0,COUNTIFS($B$2:$B$1534,B1001,$G$2:$G$1534,G1001,$E$2:$E$1534,"&gt;="&amp;(E1001-Assumptions!$B$5),$E$2:$E$1534,"&lt;="&amp;(E1001+Assumptions!$B$5))&gt;1),1,0)</f>
        <v>0</v>
      </c>
      <c r="N1001" s="13">
        <f>IF(AND(G1001&gt;=Assumptions!$B$4*(1-Assumptions!$B$6),G1001&lt;Assumptions!$B$4),1,0)</f>
        <v>0</v>
      </c>
      <c r="O1001" s="13">
        <f>IF(AND(G1001&gt;=Assumptions!$B$7,MOD(G1001,Assumptions!$B$7)=0),1,0)</f>
        <v>0</v>
      </c>
      <c r="P1001" s="13">
        <f t="shared" si="77"/>
        <v>0</v>
      </c>
      <c r="Q1001" s="13">
        <f t="shared" si="78"/>
        <v>0</v>
      </c>
      <c r="R1001" s="13">
        <f>L1001*Assumptions!$B$11+M1001*Assumptions!$B$12+N1001*Assumptions!$B$13+O1001*Assumptions!$B$14+P1001*Assumptions!$B$15+Q1001*Assumptions!$B$16</f>
        <v>0</v>
      </c>
      <c r="S1001" s="13" t="str">
        <f>IF(R1001&gt;=Assumptions!$B$20,"High",IF(R1001&gt;=Assumptions!$B$21,"Medium",IF(R1001&gt;=1,"Low","Clear")))</f>
        <v>Clear</v>
      </c>
      <c r="T1001" s="13" t="str">
        <f t="shared" si="79"/>
        <v/>
      </c>
    </row>
    <row r="1002" spans="1:20" x14ac:dyDescent="0.35">
      <c r="A1002" s="13" t="s">
        <v>4064</v>
      </c>
      <c r="B1002" s="13" t="s">
        <v>145</v>
      </c>
      <c r="C1002" s="13" t="s">
        <v>146</v>
      </c>
      <c r="D1002" s="13" t="s">
        <v>4065</v>
      </c>
      <c r="E1002" s="14">
        <v>45991</v>
      </c>
      <c r="F1002" s="14">
        <v>46020</v>
      </c>
      <c r="G1002" s="15">
        <v>1379.39</v>
      </c>
      <c r="H1002" s="13" t="s">
        <v>4066</v>
      </c>
      <c r="I1002" s="13" t="s">
        <v>4067</v>
      </c>
      <c r="J1002" s="13" t="s">
        <v>170</v>
      </c>
      <c r="K1002" s="13">
        <f t="shared" si="75"/>
        <v>1</v>
      </c>
      <c r="L1002" s="13">
        <f t="shared" si="76"/>
        <v>0</v>
      </c>
      <c r="M1002" s="13">
        <f>IF(AND(L1002=0,COUNTIFS($B$2:$B$1534,B1002,$G$2:$G$1534,G1002,$E$2:$E$1534,"&gt;="&amp;(E1002-Assumptions!$B$5),$E$2:$E$1534,"&lt;="&amp;(E1002+Assumptions!$B$5))&gt;1),1,0)</f>
        <v>0</v>
      </c>
      <c r="N1002" s="13">
        <f>IF(AND(G1002&gt;=Assumptions!$B$4*(1-Assumptions!$B$6),G1002&lt;Assumptions!$B$4),1,0)</f>
        <v>0</v>
      </c>
      <c r="O1002" s="13">
        <f>IF(AND(G1002&gt;=Assumptions!$B$7,MOD(G1002,Assumptions!$B$7)=0),1,0)</f>
        <v>0</v>
      </c>
      <c r="P1002" s="13">
        <f t="shared" si="77"/>
        <v>0</v>
      </c>
      <c r="Q1002" s="13">
        <f t="shared" si="78"/>
        <v>0</v>
      </c>
      <c r="R1002" s="13">
        <f>L1002*Assumptions!$B$11+M1002*Assumptions!$B$12+N1002*Assumptions!$B$13+O1002*Assumptions!$B$14+P1002*Assumptions!$B$15+Q1002*Assumptions!$B$16</f>
        <v>0</v>
      </c>
      <c r="S1002" s="13" t="str">
        <f>IF(R1002&gt;=Assumptions!$B$20,"High",IF(R1002&gt;=Assumptions!$B$21,"Medium",IF(R1002&gt;=1,"Low","Clear")))</f>
        <v>Clear</v>
      </c>
      <c r="T1002" s="13" t="str">
        <f t="shared" si="79"/>
        <v/>
      </c>
    </row>
    <row r="1003" spans="1:20" x14ac:dyDescent="0.35">
      <c r="A1003" s="13" t="s">
        <v>4068</v>
      </c>
      <c r="B1003" s="13" t="s">
        <v>125</v>
      </c>
      <c r="C1003" s="13" t="s">
        <v>126</v>
      </c>
      <c r="D1003" s="13" t="s">
        <v>4069</v>
      </c>
      <c r="E1003" s="14">
        <v>45990</v>
      </c>
      <c r="F1003" s="14">
        <v>46020</v>
      </c>
      <c r="G1003" s="15">
        <v>796548.25</v>
      </c>
      <c r="H1003" s="13"/>
      <c r="I1003" s="13"/>
      <c r="J1003" s="13" t="s">
        <v>143</v>
      </c>
      <c r="K1003" s="13">
        <f t="shared" si="75"/>
        <v>7</v>
      </c>
      <c r="L1003" s="13">
        <f t="shared" si="76"/>
        <v>0</v>
      </c>
      <c r="M1003" s="13">
        <f>IF(AND(L1003=0,COUNTIFS($B$2:$B$1534,B1003,$G$2:$G$1534,G1003,$E$2:$E$1534,"&gt;="&amp;(E1003-Assumptions!$B$5),$E$2:$E$1534,"&lt;="&amp;(E1003+Assumptions!$B$5))&gt;1),1,0)</f>
        <v>0</v>
      </c>
      <c r="N1003" s="13">
        <f>IF(AND(G1003&gt;=Assumptions!$B$4*(1-Assumptions!$B$6),G1003&lt;Assumptions!$B$4),1,0)</f>
        <v>0</v>
      </c>
      <c r="O1003" s="13">
        <f>IF(AND(G1003&gt;=Assumptions!$B$7,MOD(G1003,Assumptions!$B$7)=0),1,0)</f>
        <v>0</v>
      </c>
      <c r="P1003" s="13">
        <f t="shared" si="77"/>
        <v>1</v>
      </c>
      <c r="Q1003" s="13">
        <f t="shared" si="78"/>
        <v>0</v>
      </c>
      <c r="R1003" s="13">
        <f>L1003*Assumptions!$B$11+M1003*Assumptions!$B$12+N1003*Assumptions!$B$13+O1003*Assumptions!$B$14+P1003*Assumptions!$B$15+Q1003*Assumptions!$B$16</f>
        <v>4</v>
      </c>
      <c r="S1003" s="13" t="str">
        <f>IF(R1003&gt;=Assumptions!$B$20,"High",IF(R1003&gt;=Assumptions!$B$21,"Medium",IF(R1003&gt;=1,"Low","Clear")))</f>
        <v>Medium</v>
      </c>
      <c r="T1003" s="13" t="str">
        <f t="shared" si="79"/>
        <v xml:space="preserve">No PO/GRN; </v>
      </c>
    </row>
    <row r="1004" spans="1:20" x14ac:dyDescent="0.35">
      <c r="A1004" s="13" t="s">
        <v>4070</v>
      </c>
      <c r="B1004" s="13" t="s">
        <v>125</v>
      </c>
      <c r="C1004" s="13" t="s">
        <v>126</v>
      </c>
      <c r="D1004" s="13" t="s">
        <v>4071</v>
      </c>
      <c r="E1004" s="14">
        <v>45998</v>
      </c>
      <c r="F1004" s="14">
        <v>46020</v>
      </c>
      <c r="G1004" s="15">
        <v>3631.42</v>
      </c>
      <c r="H1004" s="13" t="s">
        <v>4072</v>
      </c>
      <c r="I1004" s="13" t="s">
        <v>4073</v>
      </c>
      <c r="J1004" s="13" t="s">
        <v>170</v>
      </c>
      <c r="K1004" s="13">
        <f t="shared" si="75"/>
        <v>3</v>
      </c>
      <c r="L1004" s="13">
        <f t="shared" si="76"/>
        <v>0</v>
      </c>
      <c r="M1004" s="13">
        <f>IF(AND(L1004=0,COUNTIFS($B$2:$B$1534,B1004,$G$2:$G$1534,G1004,$E$2:$E$1534,"&gt;="&amp;(E1004-Assumptions!$B$5),$E$2:$E$1534,"&lt;="&amp;(E1004+Assumptions!$B$5))&gt;1),1,0)</f>
        <v>0</v>
      </c>
      <c r="N1004" s="13">
        <f>IF(AND(G1004&gt;=Assumptions!$B$4*(1-Assumptions!$B$6),G1004&lt;Assumptions!$B$4),1,0)</f>
        <v>0</v>
      </c>
      <c r="O1004" s="13">
        <f>IF(AND(G1004&gt;=Assumptions!$B$7,MOD(G1004,Assumptions!$B$7)=0),1,0)</f>
        <v>0</v>
      </c>
      <c r="P1004" s="13">
        <f t="shared" si="77"/>
        <v>0</v>
      </c>
      <c r="Q1004" s="13">
        <f t="shared" si="78"/>
        <v>0</v>
      </c>
      <c r="R1004" s="13">
        <f>L1004*Assumptions!$B$11+M1004*Assumptions!$B$12+N1004*Assumptions!$B$13+O1004*Assumptions!$B$14+P1004*Assumptions!$B$15+Q1004*Assumptions!$B$16</f>
        <v>0</v>
      </c>
      <c r="S1004" s="13" t="str">
        <f>IF(R1004&gt;=Assumptions!$B$20,"High",IF(R1004&gt;=Assumptions!$B$21,"Medium",IF(R1004&gt;=1,"Low","Clear")))</f>
        <v>Clear</v>
      </c>
      <c r="T1004" s="13" t="str">
        <f t="shared" si="79"/>
        <v/>
      </c>
    </row>
    <row r="1005" spans="1:20" x14ac:dyDescent="0.35">
      <c r="A1005" s="13" t="s">
        <v>4074</v>
      </c>
      <c r="B1005" s="13" t="s">
        <v>498</v>
      </c>
      <c r="C1005" s="13" t="s">
        <v>499</v>
      </c>
      <c r="D1005" s="13" t="s">
        <v>4075</v>
      </c>
      <c r="E1005" s="14">
        <v>45990</v>
      </c>
      <c r="F1005" s="14">
        <v>46021</v>
      </c>
      <c r="G1005" s="15">
        <v>18213.349999999999</v>
      </c>
      <c r="H1005" s="13" t="s">
        <v>4076</v>
      </c>
      <c r="I1005" s="13" t="s">
        <v>4077</v>
      </c>
      <c r="J1005" s="13" t="s">
        <v>111</v>
      </c>
      <c r="K1005" s="13">
        <f t="shared" si="75"/>
        <v>1</v>
      </c>
      <c r="L1005" s="13">
        <f t="shared" si="76"/>
        <v>0</v>
      </c>
      <c r="M1005" s="13">
        <f>IF(AND(L1005=0,COUNTIFS($B$2:$B$1534,B1005,$G$2:$G$1534,G1005,$E$2:$E$1534,"&gt;="&amp;(E1005-Assumptions!$B$5),$E$2:$E$1534,"&lt;="&amp;(E1005+Assumptions!$B$5))&gt;1),1,0)</f>
        <v>0</v>
      </c>
      <c r="N1005" s="13">
        <f>IF(AND(G1005&gt;=Assumptions!$B$4*(1-Assumptions!$B$6),G1005&lt;Assumptions!$B$4),1,0)</f>
        <v>0</v>
      </c>
      <c r="O1005" s="13">
        <f>IF(AND(G1005&gt;=Assumptions!$B$7,MOD(G1005,Assumptions!$B$7)=0),1,0)</f>
        <v>0</v>
      </c>
      <c r="P1005" s="13">
        <f t="shared" si="77"/>
        <v>0</v>
      </c>
      <c r="Q1005" s="13">
        <f t="shared" si="78"/>
        <v>0</v>
      </c>
      <c r="R1005" s="13">
        <f>L1005*Assumptions!$B$11+M1005*Assumptions!$B$12+N1005*Assumptions!$B$13+O1005*Assumptions!$B$14+P1005*Assumptions!$B$15+Q1005*Assumptions!$B$16</f>
        <v>0</v>
      </c>
      <c r="S1005" s="13" t="str">
        <f>IF(R1005&gt;=Assumptions!$B$20,"High",IF(R1005&gt;=Assumptions!$B$21,"Medium",IF(R1005&gt;=1,"Low","Clear")))</f>
        <v>Clear</v>
      </c>
      <c r="T1005" s="13" t="str">
        <f t="shared" si="79"/>
        <v/>
      </c>
    </row>
    <row r="1006" spans="1:20" x14ac:dyDescent="0.35">
      <c r="A1006" s="13" t="s">
        <v>4078</v>
      </c>
      <c r="B1006" s="13" t="s">
        <v>317</v>
      </c>
      <c r="C1006" s="13" t="s">
        <v>318</v>
      </c>
      <c r="D1006" s="13" t="s">
        <v>4079</v>
      </c>
      <c r="E1006" s="14">
        <v>45999</v>
      </c>
      <c r="F1006" s="14">
        <v>46021</v>
      </c>
      <c r="G1006" s="15">
        <v>53834.85</v>
      </c>
      <c r="H1006" s="13" t="s">
        <v>4080</v>
      </c>
      <c r="I1006" s="13" t="s">
        <v>4081</v>
      </c>
      <c r="J1006" s="13" t="s">
        <v>143</v>
      </c>
      <c r="K1006" s="13">
        <f t="shared" si="75"/>
        <v>5</v>
      </c>
      <c r="L1006" s="13">
        <f t="shared" si="76"/>
        <v>0</v>
      </c>
      <c r="M1006" s="13">
        <f>IF(AND(L1006=0,COUNTIFS($B$2:$B$1534,B1006,$G$2:$G$1534,G1006,$E$2:$E$1534,"&gt;="&amp;(E1006-Assumptions!$B$5),$E$2:$E$1534,"&lt;="&amp;(E1006+Assumptions!$B$5))&gt;1),1,0)</f>
        <v>0</v>
      </c>
      <c r="N1006" s="13">
        <f>IF(AND(G1006&gt;=Assumptions!$B$4*(1-Assumptions!$B$6),G1006&lt;Assumptions!$B$4),1,0)</f>
        <v>0</v>
      </c>
      <c r="O1006" s="13">
        <f>IF(AND(G1006&gt;=Assumptions!$B$7,MOD(G1006,Assumptions!$B$7)=0),1,0)</f>
        <v>0</v>
      </c>
      <c r="P1006" s="13">
        <f t="shared" si="77"/>
        <v>0</v>
      </c>
      <c r="Q1006" s="13">
        <f t="shared" si="78"/>
        <v>0</v>
      </c>
      <c r="R1006" s="13">
        <f>L1006*Assumptions!$B$11+M1006*Assumptions!$B$12+N1006*Assumptions!$B$13+O1006*Assumptions!$B$14+P1006*Assumptions!$B$15+Q1006*Assumptions!$B$16</f>
        <v>0</v>
      </c>
      <c r="S1006" s="13" t="str">
        <f>IF(R1006&gt;=Assumptions!$B$20,"High",IF(R1006&gt;=Assumptions!$B$21,"Medium",IF(R1006&gt;=1,"Low","Clear")))</f>
        <v>Clear</v>
      </c>
      <c r="T1006" s="13" t="str">
        <f t="shared" si="79"/>
        <v/>
      </c>
    </row>
    <row r="1007" spans="1:20" x14ac:dyDescent="0.35">
      <c r="A1007" s="13" t="s">
        <v>4082</v>
      </c>
      <c r="B1007" s="13" t="s">
        <v>680</v>
      </c>
      <c r="C1007" s="13" t="s">
        <v>681</v>
      </c>
      <c r="D1007" s="13" t="s">
        <v>4083</v>
      </c>
      <c r="E1007" s="14">
        <v>45983</v>
      </c>
      <c r="F1007" s="14">
        <v>46022</v>
      </c>
      <c r="G1007" s="15">
        <v>9668.7800000000007</v>
      </c>
      <c r="H1007" s="13" t="s">
        <v>4084</v>
      </c>
      <c r="I1007" s="13" t="s">
        <v>4085</v>
      </c>
      <c r="J1007" s="13" t="s">
        <v>136</v>
      </c>
      <c r="K1007" s="13">
        <f t="shared" si="75"/>
        <v>9</v>
      </c>
      <c r="L1007" s="13">
        <f t="shared" si="76"/>
        <v>0</v>
      </c>
      <c r="M1007" s="13">
        <f>IF(AND(L1007=0,COUNTIFS($B$2:$B$1534,B1007,$G$2:$G$1534,G1007,$E$2:$E$1534,"&gt;="&amp;(E1007-Assumptions!$B$5),$E$2:$E$1534,"&lt;="&amp;(E1007+Assumptions!$B$5))&gt;1),1,0)</f>
        <v>0</v>
      </c>
      <c r="N1007" s="13">
        <f>IF(AND(G1007&gt;=Assumptions!$B$4*(1-Assumptions!$B$6),G1007&lt;Assumptions!$B$4),1,0)</f>
        <v>0</v>
      </c>
      <c r="O1007" s="13">
        <f>IF(AND(G1007&gt;=Assumptions!$B$7,MOD(G1007,Assumptions!$B$7)=0),1,0)</f>
        <v>0</v>
      </c>
      <c r="P1007" s="13">
        <f t="shared" si="77"/>
        <v>0</v>
      </c>
      <c r="Q1007" s="13">
        <f t="shared" si="78"/>
        <v>0</v>
      </c>
      <c r="R1007" s="13">
        <f>L1007*Assumptions!$B$11+M1007*Assumptions!$B$12+N1007*Assumptions!$B$13+O1007*Assumptions!$B$14+P1007*Assumptions!$B$15+Q1007*Assumptions!$B$16</f>
        <v>0</v>
      </c>
      <c r="S1007" s="13" t="str">
        <f>IF(R1007&gt;=Assumptions!$B$20,"High",IF(R1007&gt;=Assumptions!$B$21,"Medium",IF(R1007&gt;=1,"Low","Clear")))</f>
        <v>Clear</v>
      </c>
      <c r="T1007" s="13" t="str">
        <f t="shared" si="79"/>
        <v/>
      </c>
    </row>
    <row r="1008" spans="1:20" x14ac:dyDescent="0.35">
      <c r="A1008" s="13" t="s">
        <v>4086</v>
      </c>
      <c r="B1008" s="13" t="s">
        <v>113</v>
      </c>
      <c r="C1008" s="13" t="s">
        <v>114</v>
      </c>
      <c r="D1008" s="13" t="s">
        <v>4087</v>
      </c>
      <c r="E1008" s="14">
        <v>45985</v>
      </c>
      <c r="F1008" s="14">
        <v>46022</v>
      </c>
      <c r="G1008" s="15">
        <v>18723.37</v>
      </c>
      <c r="H1008" s="13" t="s">
        <v>4088</v>
      </c>
      <c r="I1008" s="13" t="s">
        <v>4089</v>
      </c>
      <c r="J1008" s="13" t="s">
        <v>143</v>
      </c>
      <c r="K1008" s="13">
        <f t="shared" si="75"/>
        <v>1</v>
      </c>
      <c r="L1008" s="13">
        <f t="shared" si="76"/>
        <v>0</v>
      </c>
      <c r="M1008" s="13">
        <f>IF(AND(L1008=0,COUNTIFS($B$2:$B$1534,B1008,$G$2:$G$1534,G1008,$E$2:$E$1534,"&gt;="&amp;(E1008-Assumptions!$B$5),$E$2:$E$1534,"&lt;="&amp;(E1008+Assumptions!$B$5))&gt;1),1,0)</f>
        <v>0</v>
      </c>
      <c r="N1008" s="13">
        <f>IF(AND(G1008&gt;=Assumptions!$B$4*(1-Assumptions!$B$6),G1008&lt;Assumptions!$B$4),1,0)</f>
        <v>0</v>
      </c>
      <c r="O1008" s="13">
        <f>IF(AND(G1008&gt;=Assumptions!$B$7,MOD(G1008,Assumptions!$B$7)=0),1,0)</f>
        <v>0</v>
      </c>
      <c r="P1008" s="13">
        <f t="shared" si="77"/>
        <v>0</v>
      </c>
      <c r="Q1008" s="13">
        <f t="shared" si="78"/>
        <v>0</v>
      </c>
      <c r="R1008" s="13">
        <f>L1008*Assumptions!$B$11+M1008*Assumptions!$B$12+N1008*Assumptions!$B$13+O1008*Assumptions!$B$14+P1008*Assumptions!$B$15+Q1008*Assumptions!$B$16</f>
        <v>0</v>
      </c>
      <c r="S1008" s="13" t="str">
        <f>IF(R1008&gt;=Assumptions!$B$20,"High",IF(R1008&gt;=Assumptions!$B$21,"Medium",IF(R1008&gt;=1,"Low","Clear")))</f>
        <v>Clear</v>
      </c>
      <c r="T1008" s="13" t="str">
        <f t="shared" si="79"/>
        <v/>
      </c>
    </row>
    <row r="1009" spans="1:20" x14ac:dyDescent="0.35">
      <c r="A1009" s="13" t="s">
        <v>4090</v>
      </c>
      <c r="B1009" s="13" t="s">
        <v>317</v>
      </c>
      <c r="C1009" s="13" t="s">
        <v>318</v>
      </c>
      <c r="D1009" s="13" t="s">
        <v>4091</v>
      </c>
      <c r="E1009" s="14">
        <v>46002</v>
      </c>
      <c r="F1009" s="14">
        <v>46022</v>
      </c>
      <c r="G1009" s="15">
        <v>14066.57</v>
      </c>
      <c r="H1009" s="13" t="s">
        <v>4092</v>
      </c>
      <c r="I1009" s="13" t="s">
        <v>4093</v>
      </c>
      <c r="J1009" s="13" t="s">
        <v>170</v>
      </c>
      <c r="K1009" s="13">
        <f t="shared" si="75"/>
        <v>1</v>
      </c>
      <c r="L1009" s="13">
        <f t="shared" si="76"/>
        <v>0</v>
      </c>
      <c r="M1009" s="13">
        <f>IF(AND(L1009=0,COUNTIFS($B$2:$B$1534,B1009,$G$2:$G$1534,G1009,$E$2:$E$1534,"&gt;="&amp;(E1009-Assumptions!$B$5),$E$2:$E$1534,"&lt;="&amp;(E1009+Assumptions!$B$5))&gt;1),1,0)</f>
        <v>0</v>
      </c>
      <c r="N1009" s="13">
        <f>IF(AND(G1009&gt;=Assumptions!$B$4*(1-Assumptions!$B$6),G1009&lt;Assumptions!$B$4),1,0)</f>
        <v>0</v>
      </c>
      <c r="O1009" s="13">
        <f>IF(AND(G1009&gt;=Assumptions!$B$7,MOD(G1009,Assumptions!$B$7)=0),1,0)</f>
        <v>0</v>
      </c>
      <c r="P1009" s="13">
        <f t="shared" si="77"/>
        <v>0</v>
      </c>
      <c r="Q1009" s="13">
        <f t="shared" si="78"/>
        <v>0</v>
      </c>
      <c r="R1009" s="13">
        <f>L1009*Assumptions!$B$11+M1009*Assumptions!$B$12+N1009*Assumptions!$B$13+O1009*Assumptions!$B$14+P1009*Assumptions!$B$15+Q1009*Assumptions!$B$16</f>
        <v>0</v>
      </c>
      <c r="S1009" s="13" t="str">
        <f>IF(R1009&gt;=Assumptions!$B$20,"High",IF(R1009&gt;=Assumptions!$B$21,"Medium",IF(R1009&gt;=1,"Low","Clear")))</f>
        <v>Clear</v>
      </c>
      <c r="T1009" s="13" t="str">
        <f t="shared" si="79"/>
        <v/>
      </c>
    </row>
    <row r="1010" spans="1:20" x14ac:dyDescent="0.35">
      <c r="A1010" s="13" t="s">
        <v>4094</v>
      </c>
      <c r="B1010" s="13" t="s">
        <v>155</v>
      </c>
      <c r="C1010" s="13" t="s">
        <v>156</v>
      </c>
      <c r="D1010" s="13" t="s">
        <v>4095</v>
      </c>
      <c r="E1010" s="14">
        <v>45986</v>
      </c>
      <c r="F1010" s="14">
        <v>46022</v>
      </c>
      <c r="G1010" s="15">
        <v>10803</v>
      </c>
      <c r="H1010" s="13" t="s">
        <v>4096</v>
      </c>
      <c r="I1010" s="13" t="s">
        <v>4097</v>
      </c>
      <c r="J1010" s="13" t="s">
        <v>91</v>
      </c>
      <c r="K1010" s="13">
        <f t="shared" si="75"/>
        <v>1</v>
      </c>
      <c r="L1010" s="13">
        <f t="shared" si="76"/>
        <v>0</v>
      </c>
      <c r="M1010" s="13">
        <f>IF(AND(L1010=0,COUNTIFS($B$2:$B$1534,B1010,$G$2:$G$1534,G1010,$E$2:$E$1534,"&gt;="&amp;(E1010-Assumptions!$B$5),$E$2:$E$1534,"&lt;="&amp;(E1010+Assumptions!$B$5))&gt;1),1,0)</f>
        <v>0</v>
      </c>
      <c r="N1010" s="13">
        <f>IF(AND(G1010&gt;=Assumptions!$B$4*(1-Assumptions!$B$6),G1010&lt;Assumptions!$B$4),1,0)</f>
        <v>0</v>
      </c>
      <c r="O1010" s="13">
        <f>IF(AND(G1010&gt;=Assumptions!$B$7,MOD(G1010,Assumptions!$B$7)=0),1,0)</f>
        <v>0</v>
      </c>
      <c r="P1010" s="13">
        <f t="shared" si="77"/>
        <v>0</v>
      </c>
      <c r="Q1010" s="13">
        <f t="shared" si="78"/>
        <v>0</v>
      </c>
      <c r="R1010" s="13">
        <f>L1010*Assumptions!$B$11+M1010*Assumptions!$B$12+N1010*Assumptions!$B$13+O1010*Assumptions!$B$14+P1010*Assumptions!$B$15+Q1010*Assumptions!$B$16</f>
        <v>0</v>
      </c>
      <c r="S1010" s="13" t="str">
        <f>IF(R1010&gt;=Assumptions!$B$20,"High",IF(R1010&gt;=Assumptions!$B$21,"Medium",IF(R1010&gt;=1,"Low","Clear")))</f>
        <v>Clear</v>
      </c>
      <c r="T1010" s="13" t="str">
        <f t="shared" si="79"/>
        <v/>
      </c>
    </row>
    <row r="1011" spans="1:20" x14ac:dyDescent="0.35">
      <c r="A1011" s="13" t="s">
        <v>4098</v>
      </c>
      <c r="B1011" s="13" t="s">
        <v>200</v>
      </c>
      <c r="C1011" s="13" t="s">
        <v>201</v>
      </c>
      <c r="D1011" s="13" t="s">
        <v>4099</v>
      </c>
      <c r="E1011" s="14">
        <v>45992</v>
      </c>
      <c r="F1011" s="14">
        <v>46023</v>
      </c>
      <c r="G1011" s="15">
        <v>45081.79</v>
      </c>
      <c r="H1011" s="13" t="s">
        <v>4100</v>
      </c>
      <c r="I1011" s="13" t="s">
        <v>4101</v>
      </c>
      <c r="J1011" s="13" t="s">
        <v>170</v>
      </c>
      <c r="K1011" s="13">
        <f t="shared" si="75"/>
        <v>4</v>
      </c>
      <c r="L1011" s="13">
        <f t="shared" si="76"/>
        <v>0</v>
      </c>
      <c r="M1011" s="13">
        <f>IF(AND(L1011=0,COUNTIFS($B$2:$B$1534,B1011,$G$2:$G$1534,G1011,$E$2:$E$1534,"&gt;="&amp;(E1011-Assumptions!$B$5),$E$2:$E$1534,"&lt;="&amp;(E1011+Assumptions!$B$5))&gt;1),1,0)</f>
        <v>1</v>
      </c>
      <c r="N1011" s="13">
        <f>IF(AND(G1011&gt;=Assumptions!$B$4*(1-Assumptions!$B$6),G1011&lt;Assumptions!$B$4),1,0)</f>
        <v>0</v>
      </c>
      <c r="O1011" s="13">
        <f>IF(AND(G1011&gt;=Assumptions!$B$7,MOD(G1011,Assumptions!$B$7)=0),1,0)</f>
        <v>0</v>
      </c>
      <c r="P1011" s="13">
        <f t="shared" si="77"/>
        <v>0</v>
      </c>
      <c r="Q1011" s="13">
        <f t="shared" si="78"/>
        <v>0</v>
      </c>
      <c r="R1011" s="13">
        <f>L1011*Assumptions!$B$11+M1011*Assumptions!$B$12+N1011*Assumptions!$B$13+O1011*Assumptions!$B$14+P1011*Assumptions!$B$15+Q1011*Assumptions!$B$16</f>
        <v>3</v>
      </c>
      <c r="S1011" s="13" t="str">
        <f>IF(R1011&gt;=Assumptions!$B$20,"High",IF(R1011&gt;=Assumptions!$B$21,"Medium",IF(R1011&gt;=1,"Low","Clear")))</f>
        <v>Medium</v>
      </c>
      <c r="T1011" s="13" t="str">
        <f t="shared" si="79"/>
        <v xml:space="preserve">Near-duplicate; </v>
      </c>
    </row>
    <row r="1012" spans="1:20" x14ac:dyDescent="0.35">
      <c r="A1012" s="13" t="s">
        <v>4102</v>
      </c>
      <c r="B1012" s="13" t="s">
        <v>774</v>
      </c>
      <c r="C1012" s="13" t="s">
        <v>775</v>
      </c>
      <c r="D1012" s="13" t="s">
        <v>4103</v>
      </c>
      <c r="E1012" s="14">
        <v>45985</v>
      </c>
      <c r="F1012" s="14">
        <v>46023</v>
      </c>
      <c r="G1012" s="15">
        <v>67763.39</v>
      </c>
      <c r="H1012" s="13" t="s">
        <v>4104</v>
      </c>
      <c r="I1012" s="13" t="s">
        <v>4105</v>
      </c>
      <c r="J1012" s="13" t="s">
        <v>111</v>
      </c>
      <c r="K1012" s="13">
        <f t="shared" si="75"/>
        <v>6</v>
      </c>
      <c r="L1012" s="13">
        <f t="shared" si="76"/>
        <v>0</v>
      </c>
      <c r="M1012" s="13">
        <f>IF(AND(L1012=0,COUNTIFS($B$2:$B$1534,B1012,$G$2:$G$1534,G1012,$E$2:$E$1534,"&gt;="&amp;(E1012-Assumptions!$B$5),$E$2:$E$1534,"&lt;="&amp;(E1012+Assumptions!$B$5))&gt;1),1,0)</f>
        <v>0</v>
      </c>
      <c r="N1012" s="13">
        <f>IF(AND(G1012&gt;=Assumptions!$B$4*(1-Assumptions!$B$6),G1012&lt;Assumptions!$B$4),1,0)</f>
        <v>0</v>
      </c>
      <c r="O1012" s="13">
        <f>IF(AND(G1012&gt;=Assumptions!$B$7,MOD(G1012,Assumptions!$B$7)=0),1,0)</f>
        <v>0</v>
      </c>
      <c r="P1012" s="13">
        <f t="shared" si="77"/>
        <v>0</v>
      </c>
      <c r="Q1012" s="13">
        <f t="shared" si="78"/>
        <v>0</v>
      </c>
      <c r="R1012" s="13">
        <f>L1012*Assumptions!$B$11+M1012*Assumptions!$B$12+N1012*Assumptions!$B$13+O1012*Assumptions!$B$14+P1012*Assumptions!$B$15+Q1012*Assumptions!$B$16</f>
        <v>0</v>
      </c>
      <c r="S1012" s="13" t="str">
        <f>IF(R1012&gt;=Assumptions!$B$20,"High",IF(R1012&gt;=Assumptions!$B$21,"Medium",IF(R1012&gt;=1,"Low","Clear")))</f>
        <v>Clear</v>
      </c>
      <c r="T1012" s="13" t="str">
        <f t="shared" si="79"/>
        <v/>
      </c>
    </row>
    <row r="1013" spans="1:20" x14ac:dyDescent="0.35">
      <c r="A1013" s="13" t="s">
        <v>4106</v>
      </c>
      <c r="B1013" s="13" t="s">
        <v>155</v>
      </c>
      <c r="C1013" s="13" t="s">
        <v>156</v>
      </c>
      <c r="D1013" s="13" t="s">
        <v>4107</v>
      </c>
      <c r="E1013" s="14">
        <v>45998</v>
      </c>
      <c r="F1013" s="14">
        <v>46023</v>
      </c>
      <c r="G1013" s="15">
        <v>1770.16</v>
      </c>
      <c r="H1013" s="13" t="s">
        <v>4108</v>
      </c>
      <c r="I1013" s="13" t="s">
        <v>4109</v>
      </c>
      <c r="J1013" s="13" t="s">
        <v>170</v>
      </c>
      <c r="K1013" s="13">
        <f t="shared" si="75"/>
        <v>1</v>
      </c>
      <c r="L1013" s="13">
        <f t="shared" si="76"/>
        <v>0</v>
      </c>
      <c r="M1013" s="13">
        <f>IF(AND(L1013=0,COUNTIFS($B$2:$B$1534,B1013,$G$2:$G$1534,G1013,$E$2:$E$1534,"&gt;="&amp;(E1013-Assumptions!$B$5),$E$2:$E$1534,"&lt;="&amp;(E1013+Assumptions!$B$5))&gt;1),1,0)</f>
        <v>0</v>
      </c>
      <c r="N1013" s="13">
        <f>IF(AND(G1013&gt;=Assumptions!$B$4*(1-Assumptions!$B$6),G1013&lt;Assumptions!$B$4),1,0)</f>
        <v>0</v>
      </c>
      <c r="O1013" s="13">
        <f>IF(AND(G1013&gt;=Assumptions!$B$7,MOD(G1013,Assumptions!$B$7)=0),1,0)</f>
        <v>0</v>
      </c>
      <c r="P1013" s="13">
        <f t="shared" si="77"/>
        <v>0</v>
      </c>
      <c r="Q1013" s="13">
        <f t="shared" si="78"/>
        <v>0</v>
      </c>
      <c r="R1013" s="13">
        <f>L1013*Assumptions!$B$11+M1013*Assumptions!$B$12+N1013*Assumptions!$B$13+O1013*Assumptions!$B$14+P1013*Assumptions!$B$15+Q1013*Assumptions!$B$16</f>
        <v>0</v>
      </c>
      <c r="S1013" s="13" t="str">
        <f>IF(R1013&gt;=Assumptions!$B$20,"High",IF(R1013&gt;=Assumptions!$B$21,"Medium",IF(R1013&gt;=1,"Low","Clear")))</f>
        <v>Clear</v>
      </c>
      <c r="T1013" s="13" t="str">
        <f t="shared" si="79"/>
        <v/>
      </c>
    </row>
    <row r="1014" spans="1:20" x14ac:dyDescent="0.35">
      <c r="A1014" s="13" t="s">
        <v>4110</v>
      </c>
      <c r="B1014" s="13" t="s">
        <v>409</v>
      </c>
      <c r="C1014" s="13" t="s">
        <v>410</v>
      </c>
      <c r="D1014" s="13" t="s">
        <v>4111</v>
      </c>
      <c r="E1014" s="14">
        <v>45986</v>
      </c>
      <c r="F1014" s="14">
        <v>46024</v>
      </c>
      <c r="G1014" s="15">
        <v>2485.34</v>
      </c>
      <c r="H1014" s="13" t="s">
        <v>4112</v>
      </c>
      <c r="I1014" s="13" t="s">
        <v>4113</v>
      </c>
      <c r="J1014" s="13" t="s">
        <v>111</v>
      </c>
      <c r="K1014" s="13">
        <f t="shared" si="75"/>
        <v>2</v>
      </c>
      <c r="L1014" s="13">
        <f t="shared" si="76"/>
        <v>0</v>
      </c>
      <c r="M1014" s="13">
        <f>IF(AND(L1014=0,COUNTIFS($B$2:$B$1534,B1014,$G$2:$G$1534,G1014,$E$2:$E$1534,"&gt;="&amp;(E1014-Assumptions!$B$5),$E$2:$E$1534,"&lt;="&amp;(E1014+Assumptions!$B$5))&gt;1),1,0)</f>
        <v>0</v>
      </c>
      <c r="N1014" s="13">
        <f>IF(AND(G1014&gt;=Assumptions!$B$4*(1-Assumptions!$B$6),G1014&lt;Assumptions!$B$4),1,0)</f>
        <v>0</v>
      </c>
      <c r="O1014" s="13">
        <f>IF(AND(G1014&gt;=Assumptions!$B$7,MOD(G1014,Assumptions!$B$7)=0),1,0)</f>
        <v>0</v>
      </c>
      <c r="P1014" s="13">
        <f t="shared" si="77"/>
        <v>0</v>
      </c>
      <c r="Q1014" s="13">
        <f t="shared" si="78"/>
        <v>0</v>
      </c>
      <c r="R1014" s="13">
        <f>L1014*Assumptions!$B$11+M1014*Assumptions!$B$12+N1014*Assumptions!$B$13+O1014*Assumptions!$B$14+P1014*Assumptions!$B$15+Q1014*Assumptions!$B$16</f>
        <v>0</v>
      </c>
      <c r="S1014" s="13" t="str">
        <f>IF(R1014&gt;=Assumptions!$B$20,"High",IF(R1014&gt;=Assumptions!$B$21,"Medium",IF(R1014&gt;=1,"Low","Clear")))</f>
        <v>Clear</v>
      </c>
      <c r="T1014" s="13" t="str">
        <f t="shared" si="79"/>
        <v/>
      </c>
    </row>
    <row r="1015" spans="1:20" x14ac:dyDescent="0.35">
      <c r="A1015" s="13" t="s">
        <v>4114</v>
      </c>
      <c r="B1015" s="13" t="s">
        <v>498</v>
      </c>
      <c r="C1015" s="13" t="s">
        <v>499</v>
      </c>
      <c r="D1015" s="13" t="s">
        <v>4115</v>
      </c>
      <c r="E1015" s="14">
        <v>45997</v>
      </c>
      <c r="F1015" s="14">
        <v>46024</v>
      </c>
      <c r="G1015" s="15">
        <v>8917</v>
      </c>
      <c r="H1015" s="13" t="s">
        <v>4116</v>
      </c>
      <c r="I1015" s="13" t="s">
        <v>4117</v>
      </c>
      <c r="J1015" s="13" t="s">
        <v>170</v>
      </c>
      <c r="K1015" s="13">
        <f t="shared" si="75"/>
        <v>8</v>
      </c>
      <c r="L1015" s="13">
        <f t="shared" si="76"/>
        <v>0</v>
      </c>
      <c r="M1015" s="13">
        <f>IF(AND(L1015=0,COUNTIFS($B$2:$B$1534,B1015,$G$2:$G$1534,G1015,$E$2:$E$1534,"&gt;="&amp;(E1015-Assumptions!$B$5),$E$2:$E$1534,"&lt;="&amp;(E1015+Assumptions!$B$5))&gt;1),1,0)</f>
        <v>0</v>
      </c>
      <c r="N1015" s="13">
        <f>IF(AND(G1015&gt;=Assumptions!$B$4*(1-Assumptions!$B$6),G1015&lt;Assumptions!$B$4),1,0)</f>
        <v>0</v>
      </c>
      <c r="O1015" s="13">
        <f>IF(AND(G1015&gt;=Assumptions!$B$7,MOD(G1015,Assumptions!$B$7)=0),1,0)</f>
        <v>0</v>
      </c>
      <c r="P1015" s="13">
        <f t="shared" si="77"/>
        <v>0</v>
      </c>
      <c r="Q1015" s="13">
        <f t="shared" si="78"/>
        <v>0</v>
      </c>
      <c r="R1015" s="13">
        <f>L1015*Assumptions!$B$11+M1015*Assumptions!$B$12+N1015*Assumptions!$B$13+O1015*Assumptions!$B$14+P1015*Assumptions!$B$15+Q1015*Assumptions!$B$16</f>
        <v>0</v>
      </c>
      <c r="S1015" s="13" t="str">
        <f>IF(R1015&gt;=Assumptions!$B$20,"High",IF(R1015&gt;=Assumptions!$B$21,"Medium",IF(R1015&gt;=1,"Low","Clear")))</f>
        <v>Clear</v>
      </c>
      <c r="T1015" s="13" t="str">
        <f t="shared" si="79"/>
        <v/>
      </c>
    </row>
    <row r="1016" spans="1:20" x14ac:dyDescent="0.35">
      <c r="A1016" s="13" t="s">
        <v>4118</v>
      </c>
      <c r="B1016" s="13" t="s">
        <v>86</v>
      </c>
      <c r="C1016" s="13" t="s">
        <v>87</v>
      </c>
      <c r="D1016" s="13" t="s">
        <v>4119</v>
      </c>
      <c r="E1016" s="14">
        <v>46000</v>
      </c>
      <c r="F1016" s="14">
        <v>46024</v>
      </c>
      <c r="G1016" s="15">
        <v>292089.52</v>
      </c>
      <c r="H1016" s="13" t="s">
        <v>4120</v>
      </c>
      <c r="I1016" s="13" t="s">
        <v>4121</v>
      </c>
      <c r="J1016" s="13" t="s">
        <v>111</v>
      </c>
      <c r="K1016" s="13">
        <f t="shared" si="75"/>
        <v>2</v>
      </c>
      <c r="L1016" s="13">
        <f t="shared" si="76"/>
        <v>0</v>
      </c>
      <c r="M1016" s="13">
        <f>IF(AND(L1016=0,COUNTIFS($B$2:$B$1534,B1016,$G$2:$G$1534,G1016,$E$2:$E$1534,"&gt;="&amp;(E1016-Assumptions!$B$5),$E$2:$E$1534,"&lt;="&amp;(E1016+Assumptions!$B$5))&gt;1),1,0)</f>
        <v>0</v>
      </c>
      <c r="N1016" s="13">
        <f>IF(AND(G1016&gt;=Assumptions!$B$4*(1-Assumptions!$B$6),G1016&lt;Assumptions!$B$4),1,0)</f>
        <v>0</v>
      </c>
      <c r="O1016" s="13">
        <f>IF(AND(G1016&gt;=Assumptions!$B$7,MOD(G1016,Assumptions!$B$7)=0),1,0)</f>
        <v>0</v>
      </c>
      <c r="P1016" s="13">
        <f t="shared" si="77"/>
        <v>0</v>
      </c>
      <c r="Q1016" s="13">
        <f t="shared" si="78"/>
        <v>0</v>
      </c>
      <c r="R1016" s="13">
        <f>L1016*Assumptions!$B$11+M1016*Assumptions!$B$12+N1016*Assumptions!$B$13+O1016*Assumptions!$B$14+P1016*Assumptions!$B$15+Q1016*Assumptions!$B$16</f>
        <v>0</v>
      </c>
      <c r="S1016" s="13" t="str">
        <f>IF(R1016&gt;=Assumptions!$B$20,"High",IF(R1016&gt;=Assumptions!$B$21,"Medium",IF(R1016&gt;=1,"Low","Clear")))</f>
        <v>Clear</v>
      </c>
      <c r="T1016" s="13" t="str">
        <f t="shared" si="79"/>
        <v/>
      </c>
    </row>
    <row r="1017" spans="1:20" x14ac:dyDescent="0.35">
      <c r="A1017" s="13" t="s">
        <v>4122</v>
      </c>
      <c r="B1017" s="13" t="s">
        <v>774</v>
      </c>
      <c r="C1017" s="13" t="s">
        <v>775</v>
      </c>
      <c r="D1017" s="13" t="s">
        <v>4123</v>
      </c>
      <c r="E1017" s="14">
        <v>45994</v>
      </c>
      <c r="F1017" s="14">
        <v>46024</v>
      </c>
      <c r="G1017" s="15">
        <v>264127.68</v>
      </c>
      <c r="H1017" s="13" t="s">
        <v>4124</v>
      </c>
      <c r="I1017" s="13" t="s">
        <v>4125</v>
      </c>
      <c r="J1017" s="13" t="s">
        <v>98</v>
      </c>
      <c r="K1017" s="13">
        <f t="shared" si="75"/>
        <v>2</v>
      </c>
      <c r="L1017" s="13">
        <f t="shared" si="76"/>
        <v>0</v>
      </c>
      <c r="M1017" s="13">
        <f>IF(AND(L1017=0,COUNTIFS($B$2:$B$1534,B1017,$G$2:$G$1534,G1017,$E$2:$E$1534,"&gt;="&amp;(E1017-Assumptions!$B$5),$E$2:$E$1534,"&lt;="&amp;(E1017+Assumptions!$B$5))&gt;1),1,0)</f>
        <v>0</v>
      </c>
      <c r="N1017" s="13">
        <f>IF(AND(G1017&gt;=Assumptions!$B$4*(1-Assumptions!$B$6),G1017&lt;Assumptions!$B$4),1,0)</f>
        <v>0</v>
      </c>
      <c r="O1017" s="13">
        <f>IF(AND(G1017&gt;=Assumptions!$B$7,MOD(G1017,Assumptions!$B$7)=0),1,0)</f>
        <v>0</v>
      </c>
      <c r="P1017" s="13">
        <f t="shared" si="77"/>
        <v>0</v>
      </c>
      <c r="Q1017" s="13">
        <f t="shared" si="78"/>
        <v>0</v>
      </c>
      <c r="R1017" s="13">
        <f>L1017*Assumptions!$B$11+M1017*Assumptions!$B$12+N1017*Assumptions!$B$13+O1017*Assumptions!$B$14+P1017*Assumptions!$B$15+Q1017*Assumptions!$B$16</f>
        <v>0</v>
      </c>
      <c r="S1017" s="13" t="str">
        <f>IF(R1017&gt;=Assumptions!$B$20,"High",IF(R1017&gt;=Assumptions!$B$21,"Medium",IF(R1017&gt;=1,"Low","Clear")))</f>
        <v>Clear</v>
      </c>
      <c r="T1017" s="13" t="str">
        <f t="shared" si="79"/>
        <v/>
      </c>
    </row>
    <row r="1018" spans="1:20" x14ac:dyDescent="0.35">
      <c r="A1018" s="13" t="s">
        <v>4126</v>
      </c>
      <c r="B1018" s="13" t="s">
        <v>182</v>
      </c>
      <c r="C1018" s="13" t="s">
        <v>183</v>
      </c>
      <c r="D1018" s="13" t="s">
        <v>4127</v>
      </c>
      <c r="E1018" s="14">
        <v>45986</v>
      </c>
      <c r="F1018" s="14">
        <v>46027</v>
      </c>
      <c r="G1018" s="15">
        <v>245582.64</v>
      </c>
      <c r="H1018" s="13" t="s">
        <v>4128</v>
      </c>
      <c r="I1018" s="13" t="s">
        <v>4129</v>
      </c>
      <c r="J1018" s="13" t="s">
        <v>91</v>
      </c>
      <c r="K1018" s="13">
        <f t="shared" si="75"/>
        <v>2</v>
      </c>
      <c r="L1018" s="13">
        <f t="shared" si="76"/>
        <v>0</v>
      </c>
      <c r="M1018" s="13">
        <f>IF(AND(L1018=0,COUNTIFS($B$2:$B$1534,B1018,$G$2:$G$1534,G1018,$E$2:$E$1534,"&gt;="&amp;(E1018-Assumptions!$B$5),$E$2:$E$1534,"&lt;="&amp;(E1018+Assumptions!$B$5))&gt;1),1,0)</f>
        <v>0</v>
      </c>
      <c r="N1018" s="13">
        <f>IF(AND(G1018&gt;=Assumptions!$B$4*(1-Assumptions!$B$6),G1018&lt;Assumptions!$B$4),1,0)</f>
        <v>0</v>
      </c>
      <c r="O1018" s="13">
        <f>IF(AND(G1018&gt;=Assumptions!$B$7,MOD(G1018,Assumptions!$B$7)=0),1,0)</f>
        <v>0</v>
      </c>
      <c r="P1018" s="13">
        <f t="shared" si="77"/>
        <v>0</v>
      </c>
      <c r="Q1018" s="13">
        <f t="shared" si="78"/>
        <v>0</v>
      </c>
      <c r="R1018" s="13">
        <f>L1018*Assumptions!$B$11+M1018*Assumptions!$B$12+N1018*Assumptions!$B$13+O1018*Assumptions!$B$14+P1018*Assumptions!$B$15+Q1018*Assumptions!$B$16</f>
        <v>0</v>
      </c>
      <c r="S1018" s="13" t="str">
        <f>IF(R1018&gt;=Assumptions!$B$20,"High",IF(R1018&gt;=Assumptions!$B$21,"Medium",IF(R1018&gt;=1,"Low","Clear")))</f>
        <v>Clear</v>
      </c>
      <c r="T1018" s="13" t="str">
        <f t="shared" si="79"/>
        <v/>
      </c>
    </row>
    <row r="1019" spans="1:20" x14ac:dyDescent="0.35">
      <c r="A1019" s="13" t="s">
        <v>4130</v>
      </c>
      <c r="B1019" s="13" t="s">
        <v>391</v>
      </c>
      <c r="C1019" s="13" t="s">
        <v>392</v>
      </c>
      <c r="D1019" s="13" t="s">
        <v>4131</v>
      </c>
      <c r="E1019" s="14">
        <v>45999</v>
      </c>
      <c r="F1019" s="14">
        <v>46027</v>
      </c>
      <c r="G1019" s="15">
        <v>67749.429999999993</v>
      </c>
      <c r="H1019" s="13" t="s">
        <v>4132</v>
      </c>
      <c r="I1019" s="13" t="s">
        <v>4133</v>
      </c>
      <c r="J1019" s="13" t="s">
        <v>98</v>
      </c>
      <c r="K1019" s="13">
        <f t="shared" si="75"/>
        <v>6</v>
      </c>
      <c r="L1019" s="13">
        <f t="shared" si="76"/>
        <v>0</v>
      </c>
      <c r="M1019" s="13">
        <f>IF(AND(L1019=0,COUNTIFS($B$2:$B$1534,B1019,$G$2:$G$1534,G1019,$E$2:$E$1534,"&gt;="&amp;(E1019-Assumptions!$B$5),$E$2:$E$1534,"&lt;="&amp;(E1019+Assumptions!$B$5))&gt;1),1,0)</f>
        <v>0</v>
      </c>
      <c r="N1019" s="13">
        <f>IF(AND(G1019&gt;=Assumptions!$B$4*(1-Assumptions!$B$6),G1019&lt;Assumptions!$B$4),1,0)</f>
        <v>0</v>
      </c>
      <c r="O1019" s="13">
        <f>IF(AND(G1019&gt;=Assumptions!$B$7,MOD(G1019,Assumptions!$B$7)=0),1,0)</f>
        <v>0</v>
      </c>
      <c r="P1019" s="13">
        <f t="shared" si="77"/>
        <v>0</v>
      </c>
      <c r="Q1019" s="13">
        <f t="shared" si="78"/>
        <v>0</v>
      </c>
      <c r="R1019" s="13">
        <f>L1019*Assumptions!$B$11+M1019*Assumptions!$B$12+N1019*Assumptions!$B$13+O1019*Assumptions!$B$14+P1019*Assumptions!$B$15+Q1019*Assumptions!$B$16</f>
        <v>0</v>
      </c>
      <c r="S1019" s="13" t="str">
        <f>IF(R1019&gt;=Assumptions!$B$20,"High",IF(R1019&gt;=Assumptions!$B$21,"Medium",IF(R1019&gt;=1,"Low","Clear")))</f>
        <v>Clear</v>
      </c>
      <c r="T1019" s="13" t="str">
        <f t="shared" si="79"/>
        <v/>
      </c>
    </row>
    <row r="1020" spans="1:20" x14ac:dyDescent="0.35">
      <c r="A1020" s="13" t="s">
        <v>4134</v>
      </c>
      <c r="B1020" s="13" t="s">
        <v>409</v>
      </c>
      <c r="C1020" s="13" t="s">
        <v>410</v>
      </c>
      <c r="D1020" s="13" t="s">
        <v>4135</v>
      </c>
      <c r="E1020" s="14">
        <v>45988</v>
      </c>
      <c r="F1020" s="14">
        <v>46027</v>
      </c>
      <c r="G1020" s="15">
        <v>1565.38</v>
      </c>
      <c r="H1020" s="13" t="s">
        <v>4136</v>
      </c>
      <c r="I1020" s="13" t="s">
        <v>4137</v>
      </c>
      <c r="J1020" s="13" t="s">
        <v>136</v>
      </c>
      <c r="K1020" s="13">
        <f t="shared" si="75"/>
        <v>1</v>
      </c>
      <c r="L1020" s="13">
        <f t="shared" si="76"/>
        <v>0</v>
      </c>
      <c r="M1020" s="13">
        <f>IF(AND(L1020=0,COUNTIFS($B$2:$B$1534,B1020,$G$2:$G$1534,G1020,$E$2:$E$1534,"&gt;="&amp;(E1020-Assumptions!$B$5),$E$2:$E$1534,"&lt;="&amp;(E1020+Assumptions!$B$5))&gt;1),1,0)</f>
        <v>0</v>
      </c>
      <c r="N1020" s="13">
        <f>IF(AND(G1020&gt;=Assumptions!$B$4*(1-Assumptions!$B$6),G1020&lt;Assumptions!$B$4),1,0)</f>
        <v>0</v>
      </c>
      <c r="O1020" s="13">
        <f>IF(AND(G1020&gt;=Assumptions!$B$7,MOD(G1020,Assumptions!$B$7)=0),1,0)</f>
        <v>0</v>
      </c>
      <c r="P1020" s="13">
        <f t="shared" si="77"/>
        <v>0</v>
      </c>
      <c r="Q1020" s="13">
        <f t="shared" si="78"/>
        <v>0</v>
      </c>
      <c r="R1020" s="13">
        <f>L1020*Assumptions!$B$11+M1020*Assumptions!$B$12+N1020*Assumptions!$B$13+O1020*Assumptions!$B$14+P1020*Assumptions!$B$15+Q1020*Assumptions!$B$16</f>
        <v>0</v>
      </c>
      <c r="S1020" s="13" t="str">
        <f>IF(R1020&gt;=Assumptions!$B$20,"High",IF(R1020&gt;=Assumptions!$B$21,"Medium",IF(R1020&gt;=1,"Low","Clear")))</f>
        <v>Clear</v>
      </c>
      <c r="T1020" s="13" t="str">
        <f t="shared" si="79"/>
        <v/>
      </c>
    </row>
    <row r="1021" spans="1:20" x14ac:dyDescent="0.35">
      <c r="A1021" s="13" t="s">
        <v>4138</v>
      </c>
      <c r="B1021" s="13" t="s">
        <v>86</v>
      </c>
      <c r="C1021" s="13" t="s">
        <v>87</v>
      </c>
      <c r="D1021" s="13" t="s">
        <v>4139</v>
      </c>
      <c r="E1021" s="14">
        <v>45998</v>
      </c>
      <c r="F1021" s="14">
        <v>46027</v>
      </c>
      <c r="G1021" s="15">
        <v>2635.66</v>
      </c>
      <c r="H1021" s="13" t="s">
        <v>4140</v>
      </c>
      <c r="I1021" s="13" t="s">
        <v>4141</v>
      </c>
      <c r="J1021" s="13" t="s">
        <v>91</v>
      </c>
      <c r="K1021" s="13">
        <f t="shared" si="75"/>
        <v>2</v>
      </c>
      <c r="L1021" s="13">
        <f t="shared" si="76"/>
        <v>0</v>
      </c>
      <c r="M1021" s="13">
        <f>IF(AND(L1021=0,COUNTIFS($B$2:$B$1534,B1021,$G$2:$G$1534,G1021,$E$2:$E$1534,"&gt;="&amp;(E1021-Assumptions!$B$5),$E$2:$E$1534,"&lt;="&amp;(E1021+Assumptions!$B$5))&gt;1),1,0)</f>
        <v>0</v>
      </c>
      <c r="N1021" s="13">
        <f>IF(AND(G1021&gt;=Assumptions!$B$4*(1-Assumptions!$B$6),G1021&lt;Assumptions!$B$4),1,0)</f>
        <v>0</v>
      </c>
      <c r="O1021" s="13">
        <f>IF(AND(G1021&gt;=Assumptions!$B$7,MOD(G1021,Assumptions!$B$7)=0),1,0)</f>
        <v>0</v>
      </c>
      <c r="P1021" s="13">
        <f t="shared" si="77"/>
        <v>0</v>
      </c>
      <c r="Q1021" s="13">
        <f t="shared" si="78"/>
        <v>0</v>
      </c>
      <c r="R1021" s="13">
        <f>L1021*Assumptions!$B$11+M1021*Assumptions!$B$12+N1021*Assumptions!$B$13+O1021*Assumptions!$B$14+P1021*Assumptions!$B$15+Q1021*Assumptions!$B$16</f>
        <v>0</v>
      </c>
      <c r="S1021" s="13" t="str">
        <f>IF(R1021&gt;=Assumptions!$B$20,"High",IF(R1021&gt;=Assumptions!$B$21,"Medium",IF(R1021&gt;=1,"Low","Clear")))</f>
        <v>Clear</v>
      </c>
      <c r="T1021" s="13" t="str">
        <f t="shared" si="79"/>
        <v/>
      </c>
    </row>
    <row r="1022" spans="1:20" x14ac:dyDescent="0.35">
      <c r="A1022" s="13" t="s">
        <v>4142</v>
      </c>
      <c r="B1022" s="13" t="s">
        <v>279</v>
      </c>
      <c r="C1022" s="13" t="s">
        <v>280</v>
      </c>
      <c r="D1022" s="13" t="s">
        <v>4143</v>
      </c>
      <c r="E1022" s="14">
        <v>45994</v>
      </c>
      <c r="F1022" s="14">
        <v>46027</v>
      </c>
      <c r="G1022" s="15">
        <v>11260.39</v>
      </c>
      <c r="H1022" s="13" t="s">
        <v>4144</v>
      </c>
      <c r="I1022" s="13" t="s">
        <v>4145</v>
      </c>
      <c r="J1022" s="13" t="s">
        <v>111</v>
      </c>
      <c r="K1022" s="13">
        <f t="shared" si="75"/>
        <v>1</v>
      </c>
      <c r="L1022" s="13">
        <f t="shared" si="76"/>
        <v>0</v>
      </c>
      <c r="M1022" s="13">
        <f>IF(AND(L1022=0,COUNTIFS($B$2:$B$1534,B1022,$G$2:$G$1534,G1022,$E$2:$E$1534,"&gt;="&amp;(E1022-Assumptions!$B$5),$E$2:$E$1534,"&lt;="&amp;(E1022+Assumptions!$B$5))&gt;1),1,0)</f>
        <v>0</v>
      </c>
      <c r="N1022" s="13">
        <f>IF(AND(G1022&gt;=Assumptions!$B$4*(1-Assumptions!$B$6),G1022&lt;Assumptions!$B$4),1,0)</f>
        <v>0</v>
      </c>
      <c r="O1022" s="13">
        <f>IF(AND(G1022&gt;=Assumptions!$B$7,MOD(G1022,Assumptions!$B$7)=0),1,0)</f>
        <v>0</v>
      </c>
      <c r="P1022" s="13">
        <f t="shared" si="77"/>
        <v>0</v>
      </c>
      <c r="Q1022" s="13">
        <f t="shared" si="78"/>
        <v>0</v>
      </c>
      <c r="R1022" s="13">
        <f>L1022*Assumptions!$B$11+M1022*Assumptions!$B$12+N1022*Assumptions!$B$13+O1022*Assumptions!$B$14+P1022*Assumptions!$B$15+Q1022*Assumptions!$B$16</f>
        <v>0</v>
      </c>
      <c r="S1022" s="13" t="str">
        <f>IF(R1022&gt;=Assumptions!$B$20,"High",IF(R1022&gt;=Assumptions!$B$21,"Medium",IF(R1022&gt;=1,"Low","Clear")))</f>
        <v>Clear</v>
      </c>
      <c r="T1022" s="13" t="str">
        <f t="shared" si="79"/>
        <v/>
      </c>
    </row>
    <row r="1023" spans="1:20" x14ac:dyDescent="0.35">
      <c r="A1023" s="13" t="s">
        <v>4146</v>
      </c>
      <c r="B1023" s="13" t="s">
        <v>279</v>
      </c>
      <c r="C1023" s="13" t="s">
        <v>280</v>
      </c>
      <c r="D1023" s="13" t="s">
        <v>4147</v>
      </c>
      <c r="E1023" s="14">
        <v>45997</v>
      </c>
      <c r="F1023" s="14">
        <v>46027</v>
      </c>
      <c r="G1023" s="15">
        <v>957168.65</v>
      </c>
      <c r="H1023" s="13" t="s">
        <v>4148</v>
      </c>
      <c r="I1023" s="13" t="s">
        <v>4149</v>
      </c>
      <c r="J1023" s="13" t="s">
        <v>91</v>
      </c>
      <c r="K1023" s="13">
        <f t="shared" si="75"/>
        <v>9</v>
      </c>
      <c r="L1023" s="13">
        <f t="shared" si="76"/>
        <v>0</v>
      </c>
      <c r="M1023" s="13">
        <f>IF(AND(L1023=0,COUNTIFS($B$2:$B$1534,B1023,$G$2:$G$1534,G1023,$E$2:$E$1534,"&gt;="&amp;(E1023-Assumptions!$B$5),$E$2:$E$1534,"&lt;="&amp;(E1023+Assumptions!$B$5))&gt;1),1,0)</f>
        <v>0</v>
      </c>
      <c r="N1023" s="13">
        <f>IF(AND(G1023&gt;=Assumptions!$B$4*(1-Assumptions!$B$6),G1023&lt;Assumptions!$B$4),1,0)</f>
        <v>0</v>
      </c>
      <c r="O1023" s="13">
        <f>IF(AND(G1023&gt;=Assumptions!$B$7,MOD(G1023,Assumptions!$B$7)=0),1,0)</f>
        <v>0</v>
      </c>
      <c r="P1023" s="13">
        <f t="shared" si="77"/>
        <v>0</v>
      </c>
      <c r="Q1023" s="13">
        <f t="shared" si="78"/>
        <v>0</v>
      </c>
      <c r="R1023" s="13">
        <f>L1023*Assumptions!$B$11+M1023*Assumptions!$B$12+N1023*Assumptions!$B$13+O1023*Assumptions!$B$14+P1023*Assumptions!$B$15+Q1023*Assumptions!$B$16</f>
        <v>0</v>
      </c>
      <c r="S1023" s="13" t="str">
        <f>IF(R1023&gt;=Assumptions!$B$20,"High",IF(R1023&gt;=Assumptions!$B$21,"Medium",IF(R1023&gt;=1,"Low","Clear")))</f>
        <v>Clear</v>
      </c>
      <c r="T1023" s="13" t="str">
        <f t="shared" si="79"/>
        <v/>
      </c>
    </row>
    <row r="1024" spans="1:20" x14ac:dyDescent="0.35">
      <c r="A1024" s="13" t="s">
        <v>4150</v>
      </c>
      <c r="B1024" s="13" t="s">
        <v>774</v>
      </c>
      <c r="C1024" s="13" t="s">
        <v>775</v>
      </c>
      <c r="D1024" s="13" t="s">
        <v>4151</v>
      </c>
      <c r="E1024" s="14">
        <v>45994</v>
      </c>
      <c r="F1024" s="14">
        <v>46027</v>
      </c>
      <c r="G1024" s="15">
        <v>97978.76</v>
      </c>
      <c r="H1024" s="13" t="s">
        <v>4152</v>
      </c>
      <c r="I1024" s="13" t="s">
        <v>4153</v>
      </c>
      <c r="J1024" s="13" t="s">
        <v>143</v>
      </c>
      <c r="K1024" s="13">
        <f t="shared" si="75"/>
        <v>9</v>
      </c>
      <c r="L1024" s="13">
        <f t="shared" si="76"/>
        <v>0</v>
      </c>
      <c r="M1024" s="13">
        <f>IF(AND(L1024=0,COUNTIFS($B$2:$B$1534,B1024,$G$2:$G$1534,G1024,$E$2:$E$1534,"&gt;="&amp;(E1024-Assumptions!$B$5),$E$2:$E$1534,"&lt;="&amp;(E1024+Assumptions!$B$5))&gt;1),1,0)</f>
        <v>0</v>
      </c>
      <c r="N1024" s="13">
        <f>IF(AND(G1024&gt;=Assumptions!$B$4*(1-Assumptions!$B$6),G1024&lt;Assumptions!$B$4),1,0)</f>
        <v>0</v>
      </c>
      <c r="O1024" s="13">
        <f>IF(AND(G1024&gt;=Assumptions!$B$7,MOD(G1024,Assumptions!$B$7)=0),1,0)</f>
        <v>0</v>
      </c>
      <c r="P1024" s="13">
        <f t="shared" si="77"/>
        <v>0</v>
      </c>
      <c r="Q1024" s="13">
        <f t="shared" si="78"/>
        <v>0</v>
      </c>
      <c r="R1024" s="13">
        <f>L1024*Assumptions!$B$11+M1024*Assumptions!$B$12+N1024*Assumptions!$B$13+O1024*Assumptions!$B$14+P1024*Assumptions!$B$15+Q1024*Assumptions!$B$16</f>
        <v>0</v>
      </c>
      <c r="S1024" s="13" t="str">
        <f>IF(R1024&gt;=Assumptions!$B$20,"High",IF(R1024&gt;=Assumptions!$B$21,"Medium",IF(R1024&gt;=1,"Low","Clear")))</f>
        <v>Clear</v>
      </c>
      <c r="T1024" s="13" t="str">
        <f t="shared" si="79"/>
        <v/>
      </c>
    </row>
    <row r="1025" spans="1:20" x14ac:dyDescent="0.35">
      <c r="A1025" s="13" t="s">
        <v>4154</v>
      </c>
      <c r="B1025" s="13" t="s">
        <v>466</v>
      </c>
      <c r="C1025" s="13" t="s">
        <v>467</v>
      </c>
      <c r="D1025" s="13" t="s">
        <v>4155</v>
      </c>
      <c r="E1025" s="14">
        <v>45988</v>
      </c>
      <c r="F1025" s="14">
        <v>46027</v>
      </c>
      <c r="G1025" s="15">
        <v>1059.1400000000001</v>
      </c>
      <c r="H1025" s="13" t="s">
        <v>4156</v>
      </c>
      <c r="I1025" s="13" t="s">
        <v>4157</v>
      </c>
      <c r="J1025" s="13" t="s">
        <v>170</v>
      </c>
      <c r="K1025" s="13">
        <f t="shared" si="75"/>
        <v>1</v>
      </c>
      <c r="L1025" s="13">
        <f t="shared" si="76"/>
        <v>0</v>
      </c>
      <c r="M1025" s="13">
        <f>IF(AND(L1025=0,COUNTIFS($B$2:$B$1534,B1025,$G$2:$G$1534,G1025,$E$2:$E$1534,"&gt;="&amp;(E1025-Assumptions!$B$5),$E$2:$E$1534,"&lt;="&amp;(E1025+Assumptions!$B$5))&gt;1),1,0)</f>
        <v>0</v>
      </c>
      <c r="N1025" s="13">
        <f>IF(AND(G1025&gt;=Assumptions!$B$4*(1-Assumptions!$B$6),G1025&lt;Assumptions!$B$4),1,0)</f>
        <v>0</v>
      </c>
      <c r="O1025" s="13">
        <f>IF(AND(G1025&gt;=Assumptions!$B$7,MOD(G1025,Assumptions!$B$7)=0),1,0)</f>
        <v>0</v>
      </c>
      <c r="P1025" s="13">
        <f t="shared" si="77"/>
        <v>0</v>
      </c>
      <c r="Q1025" s="13">
        <f t="shared" si="78"/>
        <v>0</v>
      </c>
      <c r="R1025" s="13">
        <f>L1025*Assumptions!$B$11+M1025*Assumptions!$B$12+N1025*Assumptions!$B$13+O1025*Assumptions!$B$14+P1025*Assumptions!$B$15+Q1025*Assumptions!$B$16</f>
        <v>0</v>
      </c>
      <c r="S1025" s="13" t="str">
        <f>IF(R1025&gt;=Assumptions!$B$20,"High",IF(R1025&gt;=Assumptions!$B$21,"Medium",IF(R1025&gt;=1,"Low","Clear")))</f>
        <v>Clear</v>
      </c>
      <c r="T1025" s="13" t="str">
        <f t="shared" si="79"/>
        <v/>
      </c>
    </row>
    <row r="1026" spans="1:20" x14ac:dyDescent="0.35">
      <c r="A1026" s="13" t="s">
        <v>4158</v>
      </c>
      <c r="B1026" s="13" t="s">
        <v>206</v>
      </c>
      <c r="C1026" s="13" t="s">
        <v>207</v>
      </c>
      <c r="D1026" s="13" t="s">
        <v>4159</v>
      </c>
      <c r="E1026" s="14">
        <v>45997</v>
      </c>
      <c r="F1026" s="14">
        <v>46027</v>
      </c>
      <c r="G1026" s="15">
        <v>5661.38</v>
      </c>
      <c r="H1026" s="13" t="s">
        <v>4160</v>
      </c>
      <c r="I1026" s="13" t="s">
        <v>4161</v>
      </c>
      <c r="J1026" s="13" t="s">
        <v>98</v>
      </c>
      <c r="K1026" s="13">
        <f t="shared" ref="K1026:K1089" si="80">VALUE(LEFT(TEXT(G1026,"0"),1))</f>
        <v>5</v>
      </c>
      <c r="L1026" s="13">
        <f t="shared" ref="L1026:L1089" si="81">IF(COUNTIFS($B$2:$B$1534,B1026,$D$2:$D$1534,D1026)&gt;1,1,0)</f>
        <v>0</v>
      </c>
      <c r="M1026" s="13">
        <f>IF(AND(L1026=0,COUNTIFS($B$2:$B$1534,B1026,$G$2:$G$1534,G1026,$E$2:$E$1534,"&gt;="&amp;(E1026-Assumptions!$B$5),$E$2:$E$1534,"&lt;="&amp;(E1026+Assumptions!$B$5))&gt;1),1,0)</f>
        <v>0</v>
      </c>
      <c r="N1026" s="13">
        <f>IF(AND(G1026&gt;=Assumptions!$B$4*(1-Assumptions!$B$6),G1026&lt;Assumptions!$B$4),1,0)</f>
        <v>0</v>
      </c>
      <c r="O1026" s="13">
        <f>IF(AND(G1026&gt;=Assumptions!$B$7,MOD(G1026,Assumptions!$B$7)=0),1,0)</f>
        <v>0</v>
      </c>
      <c r="P1026" s="13">
        <f t="shared" ref="P1026:P1089" si="82">IF(OR(H1026="",I1026=""),1,0)</f>
        <v>0</v>
      </c>
      <c r="Q1026" s="13">
        <f t="shared" ref="Q1026:Q1089" si="83">IF(WEEKDAY(F1026,2)&gt;5,1,0)</f>
        <v>0</v>
      </c>
      <c r="R1026" s="13">
        <f>L1026*Assumptions!$B$11+M1026*Assumptions!$B$12+N1026*Assumptions!$B$13+O1026*Assumptions!$B$14+P1026*Assumptions!$B$15+Q1026*Assumptions!$B$16</f>
        <v>0</v>
      </c>
      <c r="S1026" s="13" t="str">
        <f>IF(R1026&gt;=Assumptions!$B$20,"High",IF(R1026&gt;=Assumptions!$B$21,"Medium",IF(R1026&gt;=1,"Low","Clear")))</f>
        <v>Clear</v>
      </c>
      <c r="T1026" s="13" t="str">
        <f t="shared" ref="T1026:T1089" si="84">IF(R1026=0,"",IF(L1026=1,"Duplicate invoice; ","")&amp;IF(M1026=1,"Near-duplicate; ","")&amp;IF(N1026=1,"Just below limit; ","")&amp;IF(O1026=1,"Round amount; ","")&amp;IF(P1026=1,"No PO/GRN; ","")&amp;IF(Q1026=1,"Weekend payment; ",""))</f>
        <v/>
      </c>
    </row>
    <row r="1027" spans="1:20" x14ac:dyDescent="0.35">
      <c r="A1027" s="13" t="s">
        <v>4162</v>
      </c>
      <c r="B1027" s="13" t="s">
        <v>119</v>
      </c>
      <c r="C1027" s="13" t="s">
        <v>120</v>
      </c>
      <c r="D1027" s="13" t="s">
        <v>4163</v>
      </c>
      <c r="E1027" s="14">
        <v>45993</v>
      </c>
      <c r="F1027" s="14">
        <v>46027</v>
      </c>
      <c r="G1027" s="15">
        <v>344586.92</v>
      </c>
      <c r="H1027" s="13" t="s">
        <v>4164</v>
      </c>
      <c r="I1027" s="13" t="s">
        <v>4165</v>
      </c>
      <c r="J1027" s="13" t="s">
        <v>91</v>
      </c>
      <c r="K1027" s="13">
        <f t="shared" si="80"/>
        <v>3</v>
      </c>
      <c r="L1027" s="13">
        <f t="shared" si="81"/>
        <v>0</v>
      </c>
      <c r="M1027" s="13">
        <f>IF(AND(L1027=0,COUNTIFS($B$2:$B$1534,B1027,$G$2:$G$1534,G1027,$E$2:$E$1534,"&gt;="&amp;(E1027-Assumptions!$B$5),$E$2:$E$1534,"&lt;="&amp;(E1027+Assumptions!$B$5))&gt;1),1,0)</f>
        <v>0</v>
      </c>
      <c r="N1027" s="13">
        <f>IF(AND(G1027&gt;=Assumptions!$B$4*(1-Assumptions!$B$6),G1027&lt;Assumptions!$B$4),1,0)</f>
        <v>0</v>
      </c>
      <c r="O1027" s="13">
        <f>IF(AND(G1027&gt;=Assumptions!$B$7,MOD(G1027,Assumptions!$B$7)=0),1,0)</f>
        <v>0</v>
      </c>
      <c r="P1027" s="13">
        <f t="shared" si="82"/>
        <v>0</v>
      </c>
      <c r="Q1027" s="13">
        <f t="shared" si="83"/>
        <v>0</v>
      </c>
      <c r="R1027" s="13">
        <f>L1027*Assumptions!$B$11+M1027*Assumptions!$B$12+N1027*Assumptions!$B$13+O1027*Assumptions!$B$14+P1027*Assumptions!$B$15+Q1027*Assumptions!$B$16</f>
        <v>0</v>
      </c>
      <c r="S1027" s="13" t="str">
        <f>IF(R1027&gt;=Assumptions!$B$20,"High",IF(R1027&gt;=Assumptions!$B$21,"Medium",IF(R1027&gt;=1,"Low","Clear")))</f>
        <v>Clear</v>
      </c>
      <c r="T1027" s="13" t="str">
        <f t="shared" si="84"/>
        <v/>
      </c>
    </row>
    <row r="1028" spans="1:20" x14ac:dyDescent="0.35">
      <c r="A1028" s="13" t="s">
        <v>4166</v>
      </c>
      <c r="B1028" s="13" t="s">
        <v>155</v>
      </c>
      <c r="C1028" s="13" t="s">
        <v>156</v>
      </c>
      <c r="D1028" s="13" t="s">
        <v>4167</v>
      </c>
      <c r="E1028" s="14">
        <v>46007</v>
      </c>
      <c r="F1028" s="14">
        <v>46027</v>
      </c>
      <c r="G1028" s="15">
        <v>249503.04</v>
      </c>
      <c r="H1028" s="13"/>
      <c r="I1028" s="13"/>
      <c r="J1028" s="13" t="s">
        <v>143</v>
      </c>
      <c r="K1028" s="13">
        <f t="shared" si="80"/>
        <v>2</v>
      </c>
      <c r="L1028" s="13">
        <f t="shared" si="81"/>
        <v>0</v>
      </c>
      <c r="M1028" s="13">
        <f>IF(AND(L1028=0,COUNTIFS($B$2:$B$1534,B1028,$G$2:$G$1534,G1028,$E$2:$E$1534,"&gt;="&amp;(E1028-Assumptions!$B$5),$E$2:$E$1534,"&lt;="&amp;(E1028+Assumptions!$B$5))&gt;1),1,0)</f>
        <v>0</v>
      </c>
      <c r="N1028" s="13">
        <f>IF(AND(G1028&gt;=Assumptions!$B$4*(1-Assumptions!$B$6),G1028&lt;Assumptions!$B$4),1,0)</f>
        <v>0</v>
      </c>
      <c r="O1028" s="13">
        <f>IF(AND(G1028&gt;=Assumptions!$B$7,MOD(G1028,Assumptions!$B$7)=0),1,0)</f>
        <v>0</v>
      </c>
      <c r="P1028" s="13">
        <f t="shared" si="82"/>
        <v>1</v>
      </c>
      <c r="Q1028" s="13">
        <f t="shared" si="83"/>
        <v>0</v>
      </c>
      <c r="R1028" s="13">
        <f>L1028*Assumptions!$B$11+M1028*Assumptions!$B$12+N1028*Assumptions!$B$13+O1028*Assumptions!$B$14+P1028*Assumptions!$B$15+Q1028*Assumptions!$B$16</f>
        <v>4</v>
      </c>
      <c r="S1028" s="13" t="str">
        <f>IF(R1028&gt;=Assumptions!$B$20,"High",IF(R1028&gt;=Assumptions!$B$21,"Medium",IF(R1028&gt;=1,"Low","Clear")))</f>
        <v>Medium</v>
      </c>
      <c r="T1028" s="13" t="str">
        <f t="shared" si="84"/>
        <v xml:space="preserve">No PO/GRN; </v>
      </c>
    </row>
    <row r="1029" spans="1:20" x14ac:dyDescent="0.35">
      <c r="A1029" s="13" t="s">
        <v>4168</v>
      </c>
      <c r="B1029" s="13" t="s">
        <v>476</v>
      </c>
      <c r="C1029" s="13" t="s">
        <v>477</v>
      </c>
      <c r="D1029" s="13" t="s">
        <v>4169</v>
      </c>
      <c r="E1029" s="14">
        <v>46005</v>
      </c>
      <c r="F1029" s="14">
        <v>46027</v>
      </c>
      <c r="G1029" s="15">
        <v>2295.35</v>
      </c>
      <c r="H1029" s="13" t="s">
        <v>4170</v>
      </c>
      <c r="I1029" s="13" t="s">
        <v>4171</v>
      </c>
      <c r="J1029" s="13" t="s">
        <v>111</v>
      </c>
      <c r="K1029" s="13">
        <f t="shared" si="80"/>
        <v>2</v>
      </c>
      <c r="L1029" s="13">
        <f t="shared" si="81"/>
        <v>0</v>
      </c>
      <c r="M1029" s="13">
        <f>IF(AND(L1029=0,COUNTIFS($B$2:$B$1534,B1029,$G$2:$G$1534,G1029,$E$2:$E$1534,"&gt;="&amp;(E1029-Assumptions!$B$5),$E$2:$E$1534,"&lt;="&amp;(E1029+Assumptions!$B$5))&gt;1),1,0)</f>
        <v>0</v>
      </c>
      <c r="N1029" s="13">
        <f>IF(AND(G1029&gt;=Assumptions!$B$4*(1-Assumptions!$B$6),G1029&lt;Assumptions!$B$4),1,0)</f>
        <v>0</v>
      </c>
      <c r="O1029" s="13">
        <f>IF(AND(G1029&gt;=Assumptions!$B$7,MOD(G1029,Assumptions!$B$7)=0),1,0)</f>
        <v>0</v>
      </c>
      <c r="P1029" s="13">
        <f t="shared" si="82"/>
        <v>0</v>
      </c>
      <c r="Q1029" s="13">
        <f t="shared" si="83"/>
        <v>0</v>
      </c>
      <c r="R1029" s="13">
        <f>L1029*Assumptions!$B$11+M1029*Assumptions!$B$12+N1029*Assumptions!$B$13+O1029*Assumptions!$B$14+P1029*Assumptions!$B$15+Q1029*Assumptions!$B$16</f>
        <v>0</v>
      </c>
      <c r="S1029" s="13" t="str">
        <f>IF(R1029&gt;=Assumptions!$B$20,"High",IF(R1029&gt;=Assumptions!$B$21,"Medium",IF(R1029&gt;=1,"Low","Clear")))</f>
        <v>Clear</v>
      </c>
      <c r="T1029" s="13" t="str">
        <f t="shared" si="84"/>
        <v/>
      </c>
    </row>
    <row r="1030" spans="1:20" x14ac:dyDescent="0.35">
      <c r="A1030" s="13" t="s">
        <v>4172</v>
      </c>
      <c r="B1030" s="13" t="s">
        <v>106</v>
      </c>
      <c r="C1030" s="13" t="s">
        <v>107</v>
      </c>
      <c r="D1030" s="13" t="s">
        <v>4173</v>
      </c>
      <c r="E1030" s="14">
        <v>45989</v>
      </c>
      <c r="F1030" s="14">
        <v>46027</v>
      </c>
      <c r="G1030" s="15">
        <v>254674.21</v>
      </c>
      <c r="H1030" s="13" t="s">
        <v>4174</v>
      </c>
      <c r="I1030" s="13"/>
      <c r="J1030" s="13" t="s">
        <v>136</v>
      </c>
      <c r="K1030" s="13">
        <f t="shared" si="80"/>
        <v>2</v>
      </c>
      <c r="L1030" s="13">
        <f t="shared" si="81"/>
        <v>0</v>
      </c>
      <c r="M1030" s="13">
        <f>IF(AND(L1030=0,COUNTIFS($B$2:$B$1534,B1030,$G$2:$G$1534,G1030,$E$2:$E$1534,"&gt;="&amp;(E1030-Assumptions!$B$5),$E$2:$E$1534,"&lt;="&amp;(E1030+Assumptions!$B$5))&gt;1),1,0)</f>
        <v>0</v>
      </c>
      <c r="N1030" s="13">
        <f>IF(AND(G1030&gt;=Assumptions!$B$4*(1-Assumptions!$B$6),G1030&lt;Assumptions!$B$4),1,0)</f>
        <v>0</v>
      </c>
      <c r="O1030" s="13">
        <f>IF(AND(G1030&gt;=Assumptions!$B$7,MOD(G1030,Assumptions!$B$7)=0),1,0)</f>
        <v>0</v>
      </c>
      <c r="P1030" s="13">
        <f t="shared" si="82"/>
        <v>1</v>
      </c>
      <c r="Q1030" s="13">
        <f t="shared" si="83"/>
        <v>0</v>
      </c>
      <c r="R1030" s="13">
        <f>L1030*Assumptions!$B$11+M1030*Assumptions!$B$12+N1030*Assumptions!$B$13+O1030*Assumptions!$B$14+P1030*Assumptions!$B$15+Q1030*Assumptions!$B$16</f>
        <v>4</v>
      </c>
      <c r="S1030" s="13" t="str">
        <f>IF(R1030&gt;=Assumptions!$B$20,"High",IF(R1030&gt;=Assumptions!$B$21,"Medium",IF(R1030&gt;=1,"Low","Clear")))</f>
        <v>Medium</v>
      </c>
      <c r="T1030" s="13" t="str">
        <f t="shared" si="84"/>
        <v xml:space="preserve">No PO/GRN; </v>
      </c>
    </row>
    <row r="1031" spans="1:20" x14ac:dyDescent="0.35">
      <c r="A1031" s="13" t="s">
        <v>4175</v>
      </c>
      <c r="B1031" s="13" t="s">
        <v>556</v>
      </c>
      <c r="C1031" s="13" t="s">
        <v>557</v>
      </c>
      <c r="D1031" s="13" t="s">
        <v>4176</v>
      </c>
      <c r="E1031" s="14">
        <v>46000</v>
      </c>
      <c r="F1031" s="14">
        <v>46027</v>
      </c>
      <c r="G1031" s="15">
        <v>157539.70000000001</v>
      </c>
      <c r="H1031" s="13" t="s">
        <v>4177</v>
      </c>
      <c r="I1031" s="13" t="s">
        <v>4178</v>
      </c>
      <c r="J1031" s="13" t="s">
        <v>143</v>
      </c>
      <c r="K1031" s="13">
        <f t="shared" si="80"/>
        <v>1</v>
      </c>
      <c r="L1031" s="13">
        <f t="shared" si="81"/>
        <v>0</v>
      </c>
      <c r="M1031" s="13">
        <f>IF(AND(L1031=0,COUNTIFS($B$2:$B$1534,B1031,$G$2:$G$1534,G1031,$E$2:$E$1534,"&gt;="&amp;(E1031-Assumptions!$B$5),$E$2:$E$1534,"&lt;="&amp;(E1031+Assumptions!$B$5))&gt;1),1,0)</f>
        <v>0</v>
      </c>
      <c r="N1031" s="13">
        <f>IF(AND(G1031&gt;=Assumptions!$B$4*(1-Assumptions!$B$6),G1031&lt;Assumptions!$B$4),1,0)</f>
        <v>0</v>
      </c>
      <c r="O1031" s="13">
        <f>IF(AND(G1031&gt;=Assumptions!$B$7,MOD(G1031,Assumptions!$B$7)=0),1,0)</f>
        <v>0</v>
      </c>
      <c r="P1031" s="13">
        <f t="shared" si="82"/>
        <v>0</v>
      </c>
      <c r="Q1031" s="13">
        <f t="shared" si="83"/>
        <v>0</v>
      </c>
      <c r="R1031" s="13">
        <f>L1031*Assumptions!$B$11+M1031*Assumptions!$B$12+N1031*Assumptions!$B$13+O1031*Assumptions!$B$14+P1031*Assumptions!$B$15+Q1031*Assumptions!$B$16</f>
        <v>0</v>
      </c>
      <c r="S1031" s="13" t="str">
        <f>IF(R1031&gt;=Assumptions!$B$20,"High",IF(R1031&gt;=Assumptions!$B$21,"Medium",IF(R1031&gt;=1,"Low","Clear")))</f>
        <v>Clear</v>
      </c>
      <c r="T1031" s="13" t="str">
        <f t="shared" si="84"/>
        <v/>
      </c>
    </row>
    <row r="1032" spans="1:20" x14ac:dyDescent="0.35">
      <c r="A1032" s="13" t="s">
        <v>4179</v>
      </c>
      <c r="B1032" s="13" t="s">
        <v>182</v>
      </c>
      <c r="C1032" s="13" t="s">
        <v>183</v>
      </c>
      <c r="D1032" s="13" t="s">
        <v>4180</v>
      </c>
      <c r="E1032" s="14">
        <v>45989</v>
      </c>
      <c r="F1032" s="14">
        <v>46028</v>
      </c>
      <c r="G1032" s="15">
        <v>1372.16</v>
      </c>
      <c r="H1032" s="13" t="s">
        <v>4181</v>
      </c>
      <c r="I1032" s="13" t="s">
        <v>4182</v>
      </c>
      <c r="J1032" s="13" t="s">
        <v>143</v>
      </c>
      <c r="K1032" s="13">
        <f t="shared" si="80"/>
        <v>1</v>
      </c>
      <c r="L1032" s="13">
        <f t="shared" si="81"/>
        <v>0</v>
      </c>
      <c r="M1032" s="13">
        <f>IF(AND(L1032=0,COUNTIFS($B$2:$B$1534,B1032,$G$2:$G$1534,G1032,$E$2:$E$1534,"&gt;="&amp;(E1032-Assumptions!$B$5),$E$2:$E$1534,"&lt;="&amp;(E1032+Assumptions!$B$5))&gt;1),1,0)</f>
        <v>0</v>
      </c>
      <c r="N1032" s="13">
        <f>IF(AND(G1032&gt;=Assumptions!$B$4*(1-Assumptions!$B$6),G1032&lt;Assumptions!$B$4),1,0)</f>
        <v>0</v>
      </c>
      <c r="O1032" s="13">
        <f>IF(AND(G1032&gt;=Assumptions!$B$7,MOD(G1032,Assumptions!$B$7)=0),1,0)</f>
        <v>0</v>
      </c>
      <c r="P1032" s="13">
        <f t="shared" si="82"/>
        <v>0</v>
      </c>
      <c r="Q1032" s="13">
        <f t="shared" si="83"/>
        <v>0</v>
      </c>
      <c r="R1032" s="13">
        <f>L1032*Assumptions!$B$11+M1032*Assumptions!$B$12+N1032*Assumptions!$B$13+O1032*Assumptions!$B$14+P1032*Assumptions!$B$15+Q1032*Assumptions!$B$16</f>
        <v>0</v>
      </c>
      <c r="S1032" s="13" t="str">
        <f>IF(R1032&gt;=Assumptions!$B$20,"High",IF(R1032&gt;=Assumptions!$B$21,"Medium",IF(R1032&gt;=1,"Low","Clear")))</f>
        <v>Clear</v>
      </c>
      <c r="T1032" s="13" t="str">
        <f t="shared" si="84"/>
        <v/>
      </c>
    </row>
    <row r="1033" spans="1:20" x14ac:dyDescent="0.35">
      <c r="A1033" s="13" t="s">
        <v>4183</v>
      </c>
      <c r="B1033" s="13" t="s">
        <v>200</v>
      </c>
      <c r="C1033" s="13" t="s">
        <v>201</v>
      </c>
      <c r="D1033" s="13" t="s">
        <v>4184</v>
      </c>
      <c r="E1033" s="14">
        <v>45990</v>
      </c>
      <c r="F1033" s="14">
        <v>46028</v>
      </c>
      <c r="G1033" s="15">
        <v>45081.79</v>
      </c>
      <c r="H1033" s="13" t="s">
        <v>4100</v>
      </c>
      <c r="I1033" s="13" t="s">
        <v>4101</v>
      </c>
      <c r="J1033" s="13" t="s">
        <v>170</v>
      </c>
      <c r="K1033" s="13">
        <f t="shared" si="80"/>
        <v>4</v>
      </c>
      <c r="L1033" s="13">
        <f t="shared" si="81"/>
        <v>0</v>
      </c>
      <c r="M1033" s="13">
        <f>IF(AND(L1033=0,COUNTIFS($B$2:$B$1534,B1033,$G$2:$G$1534,G1033,$E$2:$E$1534,"&gt;="&amp;(E1033-Assumptions!$B$5),$E$2:$E$1534,"&lt;="&amp;(E1033+Assumptions!$B$5))&gt;1),1,0)</f>
        <v>1</v>
      </c>
      <c r="N1033" s="13">
        <f>IF(AND(G1033&gt;=Assumptions!$B$4*(1-Assumptions!$B$6),G1033&lt;Assumptions!$B$4),1,0)</f>
        <v>0</v>
      </c>
      <c r="O1033" s="13">
        <f>IF(AND(G1033&gt;=Assumptions!$B$7,MOD(G1033,Assumptions!$B$7)=0),1,0)</f>
        <v>0</v>
      </c>
      <c r="P1033" s="13">
        <f t="shared" si="82"/>
        <v>0</v>
      </c>
      <c r="Q1033" s="13">
        <f t="shared" si="83"/>
        <v>0</v>
      </c>
      <c r="R1033" s="13">
        <f>L1033*Assumptions!$B$11+M1033*Assumptions!$B$12+N1033*Assumptions!$B$13+O1033*Assumptions!$B$14+P1033*Assumptions!$B$15+Q1033*Assumptions!$B$16</f>
        <v>3</v>
      </c>
      <c r="S1033" s="13" t="str">
        <f>IF(R1033&gt;=Assumptions!$B$20,"High",IF(R1033&gt;=Assumptions!$B$21,"Medium",IF(R1033&gt;=1,"Low","Clear")))</f>
        <v>Medium</v>
      </c>
      <c r="T1033" s="13" t="str">
        <f t="shared" si="84"/>
        <v xml:space="preserve">Near-duplicate; </v>
      </c>
    </row>
    <row r="1034" spans="1:20" x14ac:dyDescent="0.35">
      <c r="A1034" s="13" t="s">
        <v>4185</v>
      </c>
      <c r="B1034" s="13" t="s">
        <v>161</v>
      </c>
      <c r="C1034" s="13" t="s">
        <v>162</v>
      </c>
      <c r="D1034" s="13" t="s">
        <v>4186</v>
      </c>
      <c r="E1034" s="14">
        <v>45999</v>
      </c>
      <c r="F1034" s="14">
        <v>46028</v>
      </c>
      <c r="G1034" s="15">
        <v>941627.9</v>
      </c>
      <c r="H1034" s="13" t="s">
        <v>4187</v>
      </c>
      <c r="I1034" s="13" t="s">
        <v>4188</v>
      </c>
      <c r="J1034" s="13" t="s">
        <v>111</v>
      </c>
      <c r="K1034" s="13">
        <f t="shared" si="80"/>
        <v>9</v>
      </c>
      <c r="L1034" s="13">
        <f t="shared" si="81"/>
        <v>0</v>
      </c>
      <c r="M1034" s="13">
        <f>IF(AND(L1034=0,COUNTIFS($B$2:$B$1534,B1034,$G$2:$G$1534,G1034,$E$2:$E$1534,"&gt;="&amp;(E1034-Assumptions!$B$5),$E$2:$E$1534,"&lt;="&amp;(E1034+Assumptions!$B$5))&gt;1),1,0)</f>
        <v>1</v>
      </c>
      <c r="N1034" s="13">
        <f>IF(AND(G1034&gt;=Assumptions!$B$4*(1-Assumptions!$B$6),G1034&lt;Assumptions!$B$4),1,0)</f>
        <v>0</v>
      </c>
      <c r="O1034" s="13">
        <f>IF(AND(G1034&gt;=Assumptions!$B$7,MOD(G1034,Assumptions!$B$7)=0),1,0)</f>
        <v>0</v>
      </c>
      <c r="P1034" s="13">
        <f t="shared" si="82"/>
        <v>0</v>
      </c>
      <c r="Q1034" s="13">
        <f t="shared" si="83"/>
        <v>0</v>
      </c>
      <c r="R1034" s="13">
        <f>L1034*Assumptions!$B$11+M1034*Assumptions!$B$12+N1034*Assumptions!$B$13+O1034*Assumptions!$B$14+P1034*Assumptions!$B$15+Q1034*Assumptions!$B$16</f>
        <v>3</v>
      </c>
      <c r="S1034" s="13" t="str">
        <f>IF(R1034&gt;=Assumptions!$B$20,"High",IF(R1034&gt;=Assumptions!$B$21,"Medium",IF(R1034&gt;=1,"Low","Clear")))</f>
        <v>Medium</v>
      </c>
      <c r="T1034" s="13" t="str">
        <f t="shared" si="84"/>
        <v xml:space="preserve">Near-duplicate; </v>
      </c>
    </row>
    <row r="1035" spans="1:20" x14ac:dyDescent="0.35">
      <c r="A1035" s="13" t="s">
        <v>4189</v>
      </c>
      <c r="B1035" s="13" t="s">
        <v>476</v>
      </c>
      <c r="C1035" s="13" t="s">
        <v>477</v>
      </c>
      <c r="D1035" s="13" t="s">
        <v>4190</v>
      </c>
      <c r="E1035" s="14">
        <v>45991</v>
      </c>
      <c r="F1035" s="14">
        <v>46028</v>
      </c>
      <c r="G1035" s="15">
        <v>365640.6</v>
      </c>
      <c r="H1035" s="13" t="s">
        <v>4191</v>
      </c>
      <c r="I1035" s="13" t="s">
        <v>4192</v>
      </c>
      <c r="J1035" s="13" t="s">
        <v>98</v>
      </c>
      <c r="K1035" s="13">
        <f t="shared" si="80"/>
        <v>3</v>
      </c>
      <c r="L1035" s="13">
        <f t="shared" si="81"/>
        <v>0</v>
      </c>
      <c r="M1035" s="13">
        <f>IF(AND(L1035=0,COUNTIFS($B$2:$B$1534,B1035,$G$2:$G$1534,G1035,$E$2:$E$1534,"&gt;="&amp;(E1035-Assumptions!$B$5),$E$2:$E$1534,"&lt;="&amp;(E1035+Assumptions!$B$5))&gt;1),1,0)</f>
        <v>0</v>
      </c>
      <c r="N1035" s="13">
        <f>IF(AND(G1035&gt;=Assumptions!$B$4*(1-Assumptions!$B$6),G1035&lt;Assumptions!$B$4),1,0)</f>
        <v>0</v>
      </c>
      <c r="O1035" s="13">
        <f>IF(AND(G1035&gt;=Assumptions!$B$7,MOD(G1035,Assumptions!$B$7)=0),1,0)</f>
        <v>0</v>
      </c>
      <c r="P1035" s="13">
        <f t="shared" si="82"/>
        <v>0</v>
      </c>
      <c r="Q1035" s="13">
        <f t="shared" si="83"/>
        <v>0</v>
      </c>
      <c r="R1035" s="13">
        <f>L1035*Assumptions!$B$11+M1035*Assumptions!$B$12+N1035*Assumptions!$B$13+O1035*Assumptions!$B$14+P1035*Assumptions!$B$15+Q1035*Assumptions!$B$16</f>
        <v>0</v>
      </c>
      <c r="S1035" s="13" t="str">
        <f>IF(R1035&gt;=Assumptions!$B$20,"High",IF(R1035&gt;=Assumptions!$B$21,"Medium",IF(R1035&gt;=1,"Low","Clear")))</f>
        <v>Clear</v>
      </c>
      <c r="T1035" s="13" t="str">
        <f t="shared" si="84"/>
        <v/>
      </c>
    </row>
    <row r="1036" spans="1:20" x14ac:dyDescent="0.35">
      <c r="A1036" s="13" t="s">
        <v>4193</v>
      </c>
      <c r="B1036" s="13" t="s">
        <v>176</v>
      </c>
      <c r="C1036" s="13" t="s">
        <v>177</v>
      </c>
      <c r="D1036" s="13" t="s">
        <v>4194</v>
      </c>
      <c r="E1036" s="14">
        <v>45989</v>
      </c>
      <c r="F1036" s="14">
        <v>46029</v>
      </c>
      <c r="G1036" s="15">
        <v>34509.68</v>
      </c>
      <c r="H1036" s="13" t="s">
        <v>4195</v>
      </c>
      <c r="I1036" s="13" t="s">
        <v>4196</v>
      </c>
      <c r="J1036" s="13" t="s">
        <v>98</v>
      </c>
      <c r="K1036" s="13">
        <f t="shared" si="80"/>
        <v>3</v>
      </c>
      <c r="L1036" s="13">
        <f t="shared" si="81"/>
        <v>0</v>
      </c>
      <c r="M1036" s="13">
        <f>IF(AND(L1036=0,COUNTIFS($B$2:$B$1534,B1036,$G$2:$G$1534,G1036,$E$2:$E$1534,"&gt;="&amp;(E1036-Assumptions!$B$5),$E$2:$E$1534,"&lt;="&amp;(E1036+Assumptions!$B$5))&gt;1),1,0)</f>
        <v>0</v>
      </c>
      <c r="N1036" s="13">
        <f>IF(AND(G1036&gt;=Assumptions!$B$4*(1-Assumptions!$B$6),G1036&lt;Assumptions!$B$4),1,0)</f>
        <v>0</v>
      </c>
      <c r="O1036" s="13">
        <f>IF(AND(G1036&gt;=Assumptions!$B$7,MOD(G1036,Assumptions!$B$7)=0),1,0)</f>
        <v>0</v>
      </c>
      <c r="P1036" s="13">
        <f t="shared" si="82"/>
        <v>0</v>
      </c>
      <c r="Q1036" s="13">
        <f t="shared" si="83"/>
        <v>0</v>
      </c>
      <c r="R1036" s="13">
        <f>L1036*Assumptions!$B$11+M1036*Assumptions!$B$12+N1036*Assumptions!$B$13+O1036*Assumptions!$B$14+P1036*Assumptions!$B$15+Q1036*Assumptions!$B$16</f>
        <v>0</v>
      </c>
      <c r="S1036" s="13" t="str">
        <f>IF(R1036&gt;=Assumptions!$B$20,"High",IF(R1036&gt;=Assumptions!$B$21,"Medium",IF(R1036&gt;=1,"Low","Clear")))</f>
        <v>Clear</v>
      </c>
      <c r="T1036" s="13" t="str">
        <f t="shared" si="84"/>
        <v/>
      </c>
    </row>
    <row r="1037" spans="1:20" x14ac:dyDescent="0.35">
      <c r="A1037" s="13" t="s">
        <v>4197</v>
      </c>
      <c r="B1037" s="13" t="s">
        <v>93</v>
      </c>
      <c r="C1037" s="13" t="s">
        <v>94</v>
      </c>
      <c r="D1037" s="13" t="s">
        <v>4198</v>
      </c>
      <c r="E1037" s="14">
        <v>45999</v>
      </c>
      <c r="F1037" s="14">
        <v>46029</v>
      </c>
      <c r="G1037" s="15">
        <v>64493.45</v>
      </c>
      <c r="H1037" s="13" t="s">
        <v>4199</v>
      </c>
      <c r="I1037" s="13" t="s">
        <v>4200</v>
      </c>
      <c r="J1037" s="13" t="s">
        <v>136</v>
      </c>
      <c r="K1037" s="13">
        <f t="shared" si="80"/>
        <v>6</v>
      </c>
      <c r="L1037" s="13">
        <f t="shared" si="81"/>
        <v>0</v>
      </c>
      <c r="M1037" s="13">
        <f>IF(AND(L1037=0,COUNTIFS($B$2:$B$1534,B1037,$G$2:$G$1534,G1037,$E$2:$E$1534,"&gt;="&amp;(E1037-Assumptions!$B$5),$E$2:$E$1534,"&lt;="&amp;(E1037+Assumptions!$B$5))&gt;1),1,0)</f>
        <v>0</v>
      </c>
      <c r="N1037" s="13">
        <f>IF(AND(G1037&gt;=Assumptions!$B$4*(1-Assumptions!$B$6),G1037&lt;Assumptions!$B$4),1,0)</f>
        <v>0</v>
      </c>
      <c r="O1037" s="13">
        <f>IF(AND(G1037&gt;=Assumptions!$B$7,MOD(G1037,Assumptions!$B$7)=0),1,0)</f>
        <v>0</v>
      </c>
      <c r="P1037" s="13">
        <f t="shared" si="82"/>
        <v>0</v>
      </c>
      <c r="Q1037" s="13">
        <f t="shared" si="83"/>
        <v>0</v>
      </c>
      <c r="R1037" s="13">
        <f>L1037*Assumptions!$B$11+M1037*Assumptions!$B$12+N1037*Assumptions!$B$13+O1037*Assumptions!$B$14+P1037*Assumptions!$B$15+Q1037*Assumptions!$B$16</f>
        <v>0</v>
      </c>
      <c r="S1037" s="13" t="str">
        <f>IF(R1037&gt;=Assumptions!$B$20,"High",IF(R1037&gt;=Assumptions!$B$21,"Medium",IF(R1037&gt;=1,"Low","Clear")))</f>
        <v>Clear</v>
      </c>
      <c r="T1037" s="13" t="str">
        <f t="shared" si="84"/>
        <v/>
      </c>
    </row>
    <row r="1038" spans="1:20" x14ac:dyDescent="0.35">
      <c r="A1038" s="13" t="s">
        <v>4201</v>
      </c>
      <c r="B1038" s="13" t="s">
        <v>774</v>
      </c>
      <c r="C1038" s="13" t="s">
        <v>775</v>
      </c>
      <c r="D1038" s="13" t="s">
        <v>4202</v>
      </c>
      <c r="E1038" s="14">
        <v>46007</v>
      </c>
      <c r="F1038" s="14">
        <v>46029</v>
      </c>
      <c r="G1038" s="15">
        <v>18998.509999999998</v>
      </c>
      <c r="H1038" s="13" t="s">
        <v>4203</v>
      </c>
      <c r="I1038" s="13" t="s">
        <v>4204</v>
      </c>
      <c r="J1038" s="13" t="s">
        <v>143</v>
      </c>
      <c r="K1038" s="13">
        <f t="shared" si="80"/>
        <v>1</v>
      </c>
      <c r="L1038" s="13">
        <f t="shared" si="81"/>
        <v>0</v>
      </c>
      <c r="M1038" s="13">
        <f>IF(AND(L1038=0,COUNTIFS($B$2:$B$1534,B1038,$G$2:$G$1534,G1038,$E$2:$E$1534,"&gt;="&amp;(E1038-Assumptions!$B$5),$E$2:$E$1534,"&lt;="&amp;(E1038+Assumptions!$B$5))&gt;1),1,0)</f>
        <v>0</v>
      </c>
      <c r="N1038" s="13">
        <f>IF(AND(G1038&gt;=Assumptions!$B$4*(1-Assumptions!$B$6),G1038&lt;Assumptions!$B$4),1,0)</f>
        <v>0</v>
      </c>
      <c r="O1038" s="13">
        <f>IF(AND(G1038&gt;=Assumptions!$B$7,MOD(G1038,Assumptions!$B$7)=0),1,0)</f>
        <v>0</v>
      </c>
      <c r="P1038" s="13">
        <f t="shared" si="82"/>
        <v>0</v>
      </c>
      <c r="Q1038" s="13">
        <f t="shared" si="83"/>
        <v>0</v>
      </c>
      <c r="R1038" s="13">
        <f>L1038*Assumptions!$B$11+M1038*Assumptions!$B$12+N1038*Assumptions!$B$13+O1038*Assumptions!$B$14+P1038*Assumptions!$B$15+Q1038*Assumptions!$B$16</f>
        <v>0</v>
      </c>
      <c r="S1038" s="13" t="str">
        <f>IF(R1038&gt;=Assumptions!$B$20,"High",IF(R1038&gt;=Assumptions!$B$21,"Medium",IF(R1038&gt;=1,"Low","Clear")))</f>
        <v>Clear</v>
      </c>
      <c r="T1038" s="13" t="str">
        <f t="shared" si="84"/>
        <v/>
      </c>
    </row>
    <row r="1039" spans="1:20" x14ac:dyDescent="0.35">
      <c r="A1039" s="13" t="s">
        <v>4205</v>
      </c>
      <c r="B1039" s="13" t="s">
        <v>234</v>
      </c>
      <c r="C1039" s="13" t="s">
        <v>235</v>
      </c>
      <c r="D1039" s="13" t="s">
        <v>4206</v>
      </c>
      <c r="E1039" s="14">
        <v>46004</v>
      </c>
      <c r="F1039" s="14">
        <v>46029</v>
      </c>
      <c r="G1039" s="15">
        <v>33346.1</v>
      </c>
      <c r="H1039" s="13" t="s">
        <v>4207</v>
      </c>
      <c r="I1039" s="13" t="s">
        <v>4208</v>
      </c>
      <c r="J1039" s="13" t="s">
        <v>170</v>
      </c>
      <c r="K1039" s="13">
        <f t="shared" si="80"/>
        <v>3</v>
      </c>
      <c r="L1039" s="13">
        <f t="shared" si="81"/>
        <v>0</v>
      </c>
      <c r="M1039" s="13">
        <f>IF(AND(L1039=0,COUNTIFS($B$2:$B$1534,B1039,$G$2:$G$1534,G1039,$E$2:$E$1534,"&gt;="&amp;(E1039-Assumptions!$B$5),$E$2:$E$1534,"&lt;="&amp;(E1039+Assumptions!$B$5))&gt;1),1,0)</f>
        <v>0</v>
      </c>
      <c r="N1039" s="13">
        <f>IF(AND(G1039&gt;=Assumptions!$B$4*(1-Assumptions!$B$6),G1039&lt;Assumptions!$B$4),1,0)</f>
        <v>0</v>
      </c>
      <c r="O1039" s="13">
        <f>IF(AND(G1039&gt;=Assumptions!$B$7,MOD(G1039,Assumptions!$B$7)=0),1,0)</f>
        <v>0</v>
      </c>
      <c r="P1039" s="13">
        <f t="shared" si="82"/>
        <v>0</v>
      </c>
      <c r="Q1039" s="13">
        <f t="shared" si="83"/>
        <v>0</v>
      </c>
      <c r="R1039" s="13">
        <f>L1039*Assumptions!$B$11+M1039*Assumptions!$B$12+N1039*Assumptions!$B$13+O1039*Assumptions!$B$14+P1039*Assumptions!$B$15+Q1039*Assumptions!$B$16</f>
        <v>0</v>
      </c>
      <c r="S1039" s="13" t="str">
        <f>IF(R1039&gt;=Assumptions!$B$20,"High",IF(R1039&gt;=Assumptions!$B$21,"Medium",IF(R1039&gt;=1,"Low","Clear")))</f>
        <v>Clear</v>
      </c>
      <c r="T1039" s="13" t="str">
        <f t="shared" si="84"/>
        <v/>
      </c>
    </row>
    <row r="1040" spans="1:20" x14ac:dyDescent="0.35">
      <c r="A1040" s="13" t="s">
        <v>4209</v>
      </c>
      <c r="B1040" s="13" t="s">
        <v>323</v>
      </c>
      <c r="C1040" s="13" t="s">
        <v>324</v>
      </c>
      <c r="D1040" s="13" t="s">
        <v>4210</v>
      </c>
      <c r="E1040" s="14">
        <v>46000</v>
      </c>
      <c r="F1040" s="14">
        <v>46029</v>
      </c>
      <c r="G1040" s="15">
        <v>5060.07</v>
      </c>
      <c r="H1040" s="13" t="s">
        <v>4211</v>
      </c>
      <c r="I1040" s="13" t="s">
        <v>4212</v>
      </c>
      <c r="J1040" s="13" t="s">
        <v>111</v>
      </c>
      <c r="K1040" s="13">
        <f t="shared" si="80"/>
        <v>5</v>
      </c>
      <c r="L1040" s="13">
        <f t="shared" si="81"/>
        <v>0</v>
      </c>
      <c r="M1040" s="13">
        <f>IF(AND(L1040=0,COUNTIFS($B$2:$B$1534,B1040,$G$2:$G$1534,G1040,$E$2:$E$1534,"&gt;="&amp;(E1040-Assumptions!$B$5),$E$2:$E$1534,"&lt;="&amp;(E1040+Assumptions!$B$5))&gt;1),1,0)</f>
        <v>0</v>
      </c>
      <c r="N1040" s="13">
        <f>IF(AND(G1040&gt;=Assumptions!$B$4*(1-Assumptions!$B$6),G1040&lt;Assumptions!$B$4),1,0)</f>
        <v>0</v>
      </c>
      <c r="O1040" s="13">
        <f>IF(AND(G1040&gt;=Assumptions!$B$7,MOD(G1040,Assumptions!$B$7)=0),1,0)</f>
        <v>0</v>
      </c>
      <c r="P1040" s="13">
        <f t="shared" si="82"/>
        <v>0</v>
      </c>
      <c r="Q1040" s="13">
        <f t="shared" si="83"/>
        <v>0</v>
      </c>
      <c r="R1040" s="13">
        <f>L1040*Assumptions!$B$11+M1040*Assumptions!$B$12+N1040*Assumptions!$B$13+O1040*Assumptions!$B$14+P1040*Assumptions!$B$15+Q1040*Assumptions!$B$16</f>
        <v>0</v>
      </c>
      <c r="S1040" s="13" t="str">
        <f>IF(R1040&gt;=Assumptions!$B$20,"High",IF(R1040&gt;=Assumptions!$B$21,"Medium",IF(R1040&gt;=1,"Low","Clear")))</f>
        <v>Clear</v>
      </c>
      <c r="T1040" s="13" t="str">
        <f t="shared" si="84"/>
        <v/>
      </c>
    </row>
    <row r="1041" spans="1:20" x14ac:dyDescent="0.35">
      <c r="A1041" s="13" t="s">
        <v>4213</v>
      </c>
      <c r="B1041" s="13" t="s">
        <v>476</v>
      </c>
      <c r="C1041" s="13" t="s">
        <v>477</v>
      </c>
      <c r="D1041" s="13" t="s">
        <v>4214</v>
      </c>
      <c r="E1041" s="14">
        <v>45992</v>
      </c>
      <c r="F1041" s="14">
        <v>46029</v>
      </c>
      <c r="G1041" s="15">
        <v>49114.13</v>
      </c>
      <c r="H1041" s="13" t="s">
        <v>4215</v>
      </c>
      <c r="I1041" s="13" t="s">
        <v>4216</v>
      </c>
      <c r="J1041" s="13" t="s">
        <v>143</v>
      </c>
      <c r="K1041" s="13">
        <f t="shared" si="80"/>
        <v>4</v>
      </c>
      <c r="L1041" s="13">
        <f t="shared" si="81"/>
        <v>0</v>
      </c>
      <c r="M1041" s="13">
        <f>IF(AND(L1041=0,COUNTIFS($B$2:$B$1534,B1041,$G$2:$G$1534,G1041,$E$2:$E$1534,"&gt;="&amp;(E1041-Assumptions!$B$5),$E$2:$E$1534,"&lt;="&amp;(E1041+Assumptions!$B$5))&gt;1),1,0)</f>
        <v>0</v>
      </c>
      <c r="N1041" s="13">
        <f>IF(AND(G1041&gt;=Assumptions!$B$4*(1-Assumptions!$B$6),G1041&lt;Assumptions!$B$4),1,0)</f>
        <v>1</v>
      </c>
      <c r="O1041" s="13">
        <f>IF(AND(G1041&gt;=Assumptions!$B$7,MOD(G1041,Assumptions!$B$7)=0),1,0)</f>
        <v>0</v>
      </c>
      <c r="P1041" s="13">
        <f t="shared" si="82"/>
        <v>0</v>
      </c>
      <c r="Q1041" s="13">
        <f t="shared" si="83"/>
        <v>0</v>
      </c>
      <c r="R1041" s="13">
        <f>L1041*Assumptions!$B$11+M1041*Assumptions!$B$12+N1041*Assumptions!$B$13+O1041*Assumptions!$B$14+P1041*Assumptions!$B$15+Q1041*Assumptions!$B$16</f>
        <v>3</v>
      </c>
      <c r="S1041" s="13" t="str">
        <f>IF(R1041&gt;=Assumptions!$B$20,"High",IF(R1041&gt;=Assumptions!$B$21,"Medium",IF(R1041&gt;=1,"Low","Clear")))</f>
        <v>Medium</v>
      </c>
      <c r="T1041" s="13" t="str">
        <f t="shared" si="84"/>
        <v xml:space="preserve">Just below limit; </v>
      </c>
    </row>
    <row r="1042" spans="1:20" x14ac:dyDescent="0.35">
      <c r="A1042" s="13" t="s">
        <v>4217</v>
      </c>
      <c r="B1042" s="13" t="s">
        <v>293</v>
      </c>
      <c r="C1042" s="13" t="s">
        <v>294</v>
      </c>
      <c r="D1042" s="13" t="s">
        <v>4218</v>
      </c>
      <c r="E1042" s="14">
        <v>45996</v>
      </c>
      <c r="F1042" s="14">
        <v>46030</v>
      </c>
      <c r="G1042" s="15">
        <v>42481.73</v>
      </c>
      <c r="H1042" s="13" t="s">
        <v>4219</v>
      </c>
      <c r="I1042" s="13" t="s">
        <v>4220</v>
      </c>
      <c r="J1042" s="13" t="s">
        <v>91</v>
      </c>
      <c r="K1042" s="13">
        <f t="shared" si="80"/>
        <v>4</v>
      </c>
      <c r="L1042" s="13">
        <f t="shared" si="81"/>
        <v>0</v>
      </c>
      <c r="M1042" s="13">
        <f>IF(AND(L1042=0,COUNTIFS($B$2:$B$1534,B1042,$G$2:$G$1534,G1042,$E$2:$E$1534,"&gt;="&amp;(E1042-Assumptions!$B$5),$E$2:$E$1534,"&lt;="&amp;(E1042+Assumptions!$B$5))&gt;1),1,0)</f>
        <v>0</v>
      </c>
      <c r="N1042" s="13">
        <f>IF(AND(G1042&gt;=Assumptions!$B$4*(1-Assumptions!$B$6),G1042&lt;Assumptions!$B$4),1,0)</f>
        <v>0</v>
      </c>
      <c r="O1042" s="13">
        <f>IF(AND(G1042&gt;=Assumptions!$B$7,MOD(G1042,Assumptions!$B$7)=0),1,0)</f>
        <v>0</v>
      </c>
      <c r="P1042" s="13">
        <f t="shared" si="82"/>
        <v>0</v>
      </c>
      <c r="Q1042" s="13">
        <f t="shared" si="83"/>
        <v>0</v>
      </c>
      <c r="R1042" s="13">
        <f>L1042*Assumptions!$B$11+M1042*Assumptions!$B$12+N1042*Assumptions!$B$13+O1042*Assumptions!$B$14+P1042*Assumptions!$B$15+Q1042*Assumptions!$B$16</f>
        <v>0</v>
      </c>
      <c r="S1042" s="13" t="str">
        <f>IF(R1042&gt;=Assumptions!$B$20,"High",IF(R1042&gt;=Assumptions!$B$21,"Medium",IF(R1042&gt;=1,"Low","Clear")))</f>
        <v>Clear</v>
      </c>
      <c r="T1042" s="13" t="str">
        <f t="shared" si="84"/>
        <v/>
      </c>
    </row>
    <row r="1043" spans="1:20" x14ac:dyDescent="0.35">
      <c r="A1043" s="13" t="s">
        <v>4221</v>
      </c>
      <c r="B1043" s="13" t="s">
        <v>293</v>
      </c>
      <c r="C1043" s="13" t="s">
        <v>294</v>
      </c>
      <c r="D1043" s="13" t="s">
        <v>4222</v>
      </c>
      <c r="E1043" s="14">
        <v>46007</v>
      </c>
      <c r="F1043" s="14">
        <v>46030</v>
      </c>
      <c r="G1043" s="15">
        <v>3170.58</v>
      </c>
      <c r="H1043" s="13" t="s">
        <v>4223</v>
      </c>
      <c r="I1043" s="13" t="s">
        <v>4224</v>
      </c>
      <c r="J1043" s="13" t="s">
        <v>170</v>
      </c>
      <c r="K1043" s="13">
        <f t="shared" si="80"/>
        <v>3</v>
      </c>
      <c r="L1043" s="13">
        <f t="shared" si="81"/>
        <v>0</v>
      </c>
      <c r="M1043" s="13">
        <f>IF(AND(L1043=0,COUNTIFS($B$2:$B$1534,B1043,$G$2:$G$1534,G1043,$E$2:$E$1534,"&gt;="&amp;(E1043-Assumptions!$B$5),$E$2:$E$1534,"&lt;="&amp;(E1043+Assumptions!$B$5))&gt;1),1,0)</f>
        <v>0</v>
      </c>
      <c r="N1043" s="13">
        <f>IF(AND(G1043&gt;=Assumptions!$B$4*(1-Assumptions!$B$6),G1043&lt;Assumptions!$B$4),1,0)</f>
        <v>0</v>
      </c>
      <c r="O1043" s="13">
        <f>IF(AND(G1043&gt;=Assumptions!$B$7,MOD(G1043,Assumptions!$B$7)=0),1,0)</f>
        <v>0</v>
      </c>
      <c r="P1043" s="13">
        <f t="shared" si="82"/>
        <v>0</v>
      </c>
      <c r="Q1043" s="13">
        <f t="shared" si="83"/>
        <v>0</v>
      </c>
      <c r="R1043" s="13">
        <f>L1043*Assumptions!$B$11+M1043*Assumptions!$B$12+N1043*Assumptions!$B$13+O1043*Assumptions!$B$14+P1043*Assumptions!$B$15+Q1043*Assumptions!$B$16</f>
        <v>0</v>
      </c>
      <c r="S1043" s="13" t="str">
        <f>IF(R1043&gt;=Assumptions!$B$20,"High",IF(R1043&gt;=Assumptions!$B$21,"Medium",IF(R1043&gt;=1,"Low","Clear")))</f>
        <v>Clear</v>
      </c>
      <c r="T1043" s="13" t="str">
        <f t="shared" si="84"/>
        <v/>
      </c>
    </row>
    <row r="1044" spans="1:20" x14ac:dyDescent="0.35">
      <c r="A1044" s="13" t="s">
        <v>4225</v>
      </c>
      <c r="B1044" s="13" t="s">
        <v>252</v>
      </c>
      <c r="C1044" s="13" t="s">
        <v>253</v>
      </c>
      <c r="D1044" s="13" t="s">
        <v>4226</v>
      </c>
      <c r="E1044" s="14">
        <v>45997</v>
      </c>
      <c r="F1044" s="14">
        <v>46030</v>
      </c>
      <c r="G1044" s="15">
        <v>841250.01</v>
      </c>
      <c r="H1044" s="13" t="s">
        <v>4227</v>
      </c>
      <c r="I1044" s="13" t="s">
        <v>4228</v>
      </c>
      <c r="J1044" s="13" t="s">
        <v>143</v>
      </c>
      <c r="K1044" s="13">
        <f t="shared" si="80"/>
        <v>8</v>
      </c>
      <c r="L1044" s="13">
        <f t="shared" si="81"/>
        <v>0</v>
      </c>
      <c r="M1044" s="13">
        <f>IF(AND(L1044=0,COUNTIFS($B$2:$B$1534,B1044,$G$2:$G$1534,G1044,$E$2:$E$1534,"&gt;="&amp;(E1044-Assumptions!$B$5),$E$2:$E$1534,"&lt;="&amp;(E1044+Assumptions!$B$5))&gt;1),1,0)</f>
        <v>0</v>
      </c>
      <c r="N1044" s="13">
        <f>IF(AND(G1044&gt;=Assumptions!$B$4*(1-Assumptions!$B$6),G1044&lt;Assumptions!$B$4),1,0)</f>
        <v>0</v>
      </c>
      <c r="O1044" s="13">
        <f>IF(AND(G1044&gt;=Assumptions!$B$7,MOD(G1044,Assumptions!$B$7)=0),1,0)</f>
        <v>0</v>
      </c>
      <c r="P1044" s="13">
        <f t="shared" si="82"/>
        <v>0</v>
      </c>
      <c r="Q1044" s="13">
        <f t="shared" si="83"/>
        <v>0</v>
      </c>
      <c r="R1044" s="13">
        <f>L1044*Assumptions!$B$11+M1044*Assumptions!$B$12+N1044*Assumptions!$B$13+O1044*Assumptions!$B$14+P1044*Assumptions!$B$15+Q1044*Assumptions!$B$16</f>
        <v>0</v>
      </c>
      <c r="S1044" s="13" t="str">
        <f>IF(R1044&gt;=Assumptions!$B$20,"High",IF(R1044&gt;=Assumptions!$B$21,"Medium",IF(R1044&gt;=1,"Low","Clear")))</f>
        <v>Clear</v>
      </c>
      <c r="T1044" s="13" t="str">
        <f t="shared" si="84"/>
        <v/>
      </c>
    </row>
    <row r="1045" spans="1:20" x14ac:dyDescent="0.35">
      <c r="A1045" s="13" t="s">
        <v>4229</v>
      </c>
      <c r="B1045" s="13" t="s">
        <v>200</v>
      </c>
      <c r="C1045" s="13" t="s">
        <v>201</v>
      </c>
      <c r="D1045" s="13" t="s">
        <v>4230</v>
      </c>
      <c r="E1045" s="14">
        <v>45991</v>
      </c>
      <c r="F1045" s="14">
        <v>46030</v>
      </c>
      <c r="G1045" s="15">
        <v>63014.63</v>
      </c>
      <c r="H1045" s="13" t="s">
        <v>4231</v>
      </c>
      <c r="I1045" s="13" t="s">
        <v>4232</v>
      </c>
      <c r="J1045" s="13" t="s">
        <v>111</v>
      </c>
      <c r="K1045" s="13">
        <f t="shared" si="80"/>
        <v>6</v>
      </c>
      <c r="L1045" s="13">
        <f t="shared" si="81"/>
        <v>0</v>
      </c>
      <c r="M1045" s="13">
        <f>IF(AND(L1045=0,COUNTIFS($B$2:$B$1534,B1045,$G$2:$G$1534,G1045,$E$2:$E$1534,"&gt;="&amp;(E1045-Assumptions!$B$5),$E$2:$E$1534,"&lt;="&amp;(E1045+Assumptions!$B$5))&gt;1),1,0)</f>
        <v>0</v>
      </c>
      <c r="N1045" s="13">
        <f>IF(AND(G1045&gt;=Assumptions!$B$4*(1-Assumptions!$B$6),G1045&lt;Assumptions!$B$4),1,0)</f>
        <v>0</v>
      </c>
      <c r="O1045" s="13">
        <f>IF(AND(G1045&gt;=Assumptions!$B$7,MOD(G1045,Assumptions!$B$7)=0),1,0)</f>
        <v>0</v>
      </c>
      <c r="P1045" s="13">
        <f t="shared" si="82"/>
        <v>0</v>
      </c>
      <c r="Q1045" s="13">
        <f t="shared" si="83"/>
        <v>0</v>
      </c>
      <c r="R1045" s="13">
        <f>L1045*Assumptions!$B$11+M1045*Assumptions!$B$12+N1045*Assumptions!$B$13+O1045*Assumptions!$B$14+P1045*Assumptions!$B$15+Q1045*Assumptions!$B$16</f>
        <v>0</v>
      </c>
      <c r="S1045" s="13" t="str">
        <f>IF(R1045&gt;=Assumptions!$B$20,"High",IF(R1045&gt;=Assumptions!$B$21,"Medium",IF(R1045&gt;=1,"Low","Clear")))</f>
        <v>Clear</v>
      </c>
      <c r="T1045" s="13" t="str">
        <f t="shared" si="84"/>
        <v/>
      </c>
    </row>
    <row r="1046" spans="1:20" x14ac:dyDescent="0.35">
      <c r="A1046" s="13" t="s">
        <v>4233</v>
      </c>
      <c r="B1046" s="13" t="s">
        <v>119</v>
      </c>
      <c r="C1046" s="13" t="s">
        <v>120</v>
      </c>
      <c r="D1046" s="13" t="s">
        <v>4234</v>
      </c>
      <c r="E1046" s="14">
        <v>45993</v>
      </c>
      <c r="F1046" s="14">
        <v>46030</v>
      </c>
      <c r="G1046" s="15">
        <v>220955.75</v>
      </c>
      <c r="H1046" s="13" t="s">
        <v>4235</v>
      </c>
      <c r="I1046" s="13" t="s">
        <v>4236</v>
      </c>
      <c r="J1046" s="13" t="s">
        <v>91</v>
      </c>
      <c r="K1046" s="13">
        <f t="shared" si="80"/>
        <v>2</v>
      </c>
      <c r="L1046" s="13">
        <f t="shared" si="81"/>
        <v>0</v>
      </c>
      <c r="M1046" s="13">
        <f>IF(AND(L1046=0,COUNTIFS($B$2:$B$1534,B1046,$G$2:$G$1534,G1046,$E$2:$E$1534,"&gt;="&amp;(E1046-Assumptions!$B$5),$E$2:$E$1534,"&lt;="&amp;(E1046+Assumptions!$B$5))&gt;1),1,0)</f>
        <v>0</v>
      </c>
      <c r="N1046" s="13">
        <f>IF(AND(G1046&gt;=Assumptions!$B$4*(1-Assumptions!$B$6),G1046&lt;Assumptions!$B$4),1,0)</f>
        <v>0</v>
      </c>
      <c r="O1046" s="13">
        <f>IF(AND(G1046&gt;=Assumptions!$B$7,MOD(G1046,Assumptions!$B$7)=0),1,0)</f>
        <v>0</v>
      </c>
      <c r="P1046" s="13">
        <f t="shared" si="82"/>
        <v>0</v>
      </c>
      <c r="Q1046" s="13">
        <f t="shared" si="83"/>
        <v>0</v>
      </c>
      <c r="R1046" s="13">
        <f>L1046*Assumptions!$B$11+M1046*Assumptions!$B$12+N1046*Assumptions!$B$13+O1046*Assumptions!$B$14+P1046*Assumptions!$B$15+Q1046*Assumptions!$B$16</f>
        <v>0</v>
      </c>
      <c r="S1046" s="13" t="str">
        <f>IF(R1046&gt;=Assumptions!$B$20,"High",IF(R1046&gt;=Assumptions!$B$21,"Medium",IF(R1046&gt;=1,"Low","Clear")))</f>
        <v>Clear</v>
      </c>
      <c r="T1046" s="13" t="str">
        <f t="shared" si="84"/>
        <v/>
      </c>
    </row>
    <row r="1047" spans="1:20" x14ac:dyDescent="0.35">
      <c r="A1047" s="13" t="s">
        <v>4237</v>
      </c>
      <c r="B1047" s="13" t="s">
        <v>357</v>
      </c>
      <c r="C1047" s="13" t="s">
        <v>358</v>
      </c>
      <c r="D1047" s="13" t="s">
        <v>4238</v>
      </c>
      <c r="E1047" s="14">
        <v>45995</v>
      </c>
      <c r="F1047" s="14">
        <v>46030</v>
      </c>
      <c r="G1047" s="15">
        <v>1114.8</v>
      </c>
      <c r="H1047" s="13" t="s">
        <v>4239</v>
      </c>
      <c r="I1047" s="13" t="s">
        <v>4240</v>
      </c>
      <c r="J1047" s="13" t="s">
        <v>98</v>
      </c>
      <c r="K1047" s="13">
        <f t="shared" si="80"/>
        <v>1</v>
      </c>
      <c r="L1047" s="13">
        <f t="shared" si="81"/>
        <v>0</v>
      </c>
      <c r="M1047" s="13">
        <f>IF(AND(L1047=0,COUNTIFS($B$2:$B$1534,B1047,$G$2:$G$1534,G1047,$E$2:$E$1534,"&gt;="&amp;(E1047-Assumptions!$B$5),$E$2:$E$1534,"&lt;="&amp;(E1047+Assumptions!$B$5))&gt;1),1,0)</f>
        <v>0</v>
      </c>
      <c r="N1047" s="13">
        <f>IF(AND(G1047&gt;=Assumptions!$B$4*(1-Assumptions!$B$6),G1047&lt;Assumptions!$B$4),1,0)</f>
        <v>0</v>
      </c>
      <c r="O1047" s="13">
        <f>IF(AND(G1047&gt;=Assumptions!$B$7,MOD(G1047,Assumptions!$B$7)=0),1,0)</f>
        <v>0</v>
      </c>
      <c r="P1047" s="13">
        <f t="shared" si="82"/>
        <v>0</v>
      </c>
      <c r="Q1047" s="13">
        <f t="shared" si="83"/>
        <v>0</v>
      </c>
      <c r="R1047" s="13">
        <f>L1047*Assumptions!$B$11+M1047*Assumptions!$B$12+N1047*Assumptions!$B$13+O1047*Assumptions!$B$14+P1047*Assumptions!$B$15+Q1047*Assumptions!$B$16</f>
        <v>0</v>
      </c>
      <c r="S1047" s="13" t="str">
        <f>IF(R1047&gt;=Assumptions!$B$20,"High",IF(R1047&gt;=Assumptions!$B$21,"Medium",IF(R1047&gt;=1,"Low","Clear")))</f>
        <v>Clear</v>
      </c>
      <c r="T1047" s="13" t="str">
        <f t="shared" si="84"/>
        <v/>
      </c>
    </row>
    <row r="1048" spans="1:20" x14ac:dyDescent="0.35">
      <c r="A1048" s="13" t="s">
        <v>4241</v>
      </c>
      <c r="B1048" s="13" t="s">
        <v>307</v>
      </c>
      <c r="C1048" s="13" t="s">
        <v>308</v>
      </c>
      <c r="D1048" s="13" t="s">
        <v>4242</v>
      </c>
      <c r="E1048" s="14">
        <v>45995</v>
      </c>
      <c r="F1048" s="14">
        <v>46031</v>
      </c>
      <c r="G1048" s="15">
        <v>8532.5</v>
      </c>
      <c r="H1048" s="13" t="s">
        <v>4243</v>
      </c>
      <c r="I1048" s="13" t="s">
        <v>4244</v>
      </c>
      <c r="J1048" s="13" t="s">
        <v>111</v>
      </c>
      <c r="K1048" s="13">
        <f t="shared" si="80"/>
        <v>8</v>
      </c>
      <c r="L1048" s="13">
        <f t="shared" si="81"/>
        <v>0</v>
      </c>
      <c r="M1048" s="13">
        <f>IF(AND(L1048=0,COUNTIFS($B$2:$B$1534,B1048,$G$2:$G$1534,G1048,$E$2:$E$1534,"&gt;="&amp;(E1048-Assumptions!$B$5),$E$2:$E$1534,"&lt;="&amp;(E1048+Assumptions!$B$5))&gt;1),1,0)</f>
        <v>0</v>
      </c>
      <c r="N1048" s="13">
        <f>IF(AND(G1048&gt;=Assumptions!$B$4*(1-Assumptions!$B$6),G1048&lt;Assumptions!$B$4),1,0)</f>
        <v>0</v>
      </c>
      <c r="O1048" s="13">
        <f>IF(AND(G1048&gt;=Assumptions!$B$7,MOD(G1048,Assumptions!$B$7)=0),1,0)</f>
        <v>0</v>
      </c>
      <c r="P1048" s="13">
        <f t="shared" si="82"/>
        <v>0</v>
      </c>
      <c r="Q1048" s="13">
        <f t="shared" si="83"/>
        <v>0</v>
      </c>
      <c r="R1048" s="13">
        <f>L1048*Assumptions!$B$11+M1048*Assumptions!$B$12+N1048*Assumptions!$B$13+O1048*Assumptions!$B$14+P1048*Assumptions!$B$15+Q1048*Assumptions!$B$16</f>
        <v>0</v>
      </c>
      <c r="S1048" s="13" t="str">
        <f>IF(R1048&gt;=Assumptions!$B$20,"High",IF(R1048&gt;=Assumptions!$B$21,"Medium",IF(R1048&gt;=1,"Low","Clear")))</f>
        <v>Clear</v>
      </c>
      <c r="T1048" s="13" t="str">
        <f t="shared" si="84"/>
        <v/>
      </c>
    </row>
    <row r="1049" spans="1:20" x14ac:dyDescent="0.35">
      <c r="A1049" s="13" t="s">
        <v>4245</v>
      </c>
      <c r="B1049" s="13" t="s">
        <v>329</v>
      </c>
      <c r="C1049" s="13" t="s">
        <v>330</v>
      </c>
      <c r="D1049" s="13" t="s">
        <v>4246</v>
      </c>
      <c r="E1049" s="14">
        <v>46003</v>
      </c>
      <c r="F1049" s="14">
        <v>46031</v>
      </c>
      <c r="G1049" s="15">
        <v>196993.11</v>
      </c>
      <c r="H1049" s="13" t="s">
        <v>4247</v>
      </c>
      <c r="I1049" s="13" t="s">
        <v>4248</v>
      </c>
      <c r="J1049" s="13" t="s">
        <v>170</v>
      </c>
      <c r="K1049" s="13">
        <f t="shared" si="80"/>
        <v>1</v>
      </c>
      <c r="L1049" s="13">
        <f t="shared" si="81"/>
        <v>0</v>
      </c>
      <c r="M1049" s="13">
        <f>IF(AND(L1049=0,COUNTIFS($B$2:$B$1534,B1049,$G$2:$G$1534,G1049,$E$2:$E$1534,"&gt;="&amp;(E1049-Assumptions!$B$5),$E$2:$E$1534,"&lt;="&amp;(E1049+Assumptions!$B$5))&gt;1),1,0)</f>
        <v>0</v>
      </c>
      <c r="N1049" s="13">
        <f>IF(AND(G1049&gt;=Assumptions!$B$4*(1-Assumptions!$B$6),G1049&lt;Assumptions!$B$4),1,0)</f>
        <v>0</v>
      </c>
      <c r="O1049" s="13">
        <f>IF(AND(G1049&gt;=Assumptions!$B$7,MOD(G1049,Assumptions!$B$7)=0),1,0)</f>
        <v>0</v>
      </c>
      <c r="P1049" s="13">
        <f t="shared" si="82"/>
        <v>0</v>
      </c>
      <c r="Q1049" s="13">
        <f t="shared" si="83"/>
        <v>0</v>
      </c>
      <c r="R1049" s="13">
        <f>L1049*Assumptions!$B$11+M1049*Assumptions!$B$12+N1049*Assumptions!$B$13+O1049*Assumptions!$B$14+P1049*Assumptions!$B$15+Q1049*Assumptions!$B$16</f>
        <v>0</v>
      </c>
      <c r="S1049" s="13" t="str">
        <f>IF(R1049&gt;=Assumptions!$B$20,"High",IF(R1049&gt;=Assumptions!$B$21,"Medium",IF(R1049&gt;=1,"Low","Clear")))</f>
        <v>Clear</v>
      </c>
      <c r="T1049" s="13" t="str">
        <f t="shared" si="84"/>
        <v/>
      </c>
    </row>
    <row r="1050" spans="1:20" x14ac:dyDescent="0.35">
      <c r="A1050" s="13" t="s">
        <v>4249</v>
      </c>
      <c r="B1050" s="13" t="s">
        <v>391</v>
      </c>
      <c r="C1050" s="13" t="s">
        <v>392</v>
      </c>
      <c r="D1050" s="13" t="s">
        <v>4250</v>
      </c>
      <c r="E1050" s="14">
        <v>46005</v>
      </c>
      <c r="F1050" s="14">
        <v>46034</v>
      </c>
      <c r="G1050" s="15">
        <v>10468.82</v>
      </c>
      <c r="H1050" s="13" t="s">
        <v>4251</v>
      </c>
      <c r="I1050" s="13" t="s">
        <v>4252</v>
      </c>
      <c r="J1050" s="13" t="s">
        <v>170</v>
      </c>
      <c r="K1050" s="13">
        <f t="shared" si="80"/>
        <v>1</v>
      </c>
      <c r="L1050" s="13">
        <f t="shared" si="81"/>
        <v>0</v>
      </c>
      <c r="M1050" s="13">
        <f>IF(AND(L1050=0,COUNTIFS($B$2:$B$1534,B1050,$G$2:$G$1534,G1050,$E$2:$E$1534,"&gt;="&amp;(E1050-Assumptions!$B$5),$E$2:$E$1534,"&lt;="&amp;(E1050+Assumptions!$B$5))&gt;1),1,0)</f>
        <v>0</v>
      </c>
      <c r="N1050" s="13">
        <f>IF(AND(G1050&gt;=Assumptions!$B$4*(1-Assumptions!$B$6),G1050&lt;Assumptions!$B$4),1,0)</f>
        <v>0</v>
      </c>
      <c r="O1050" s="13">
        <f>IF(AND(G1050&gt;=Assumptions!$B$7,MOD(G1050,Assumptions!$B$7)=0),1,0)</f>
        <v>0</v>
      </c>
      <c r="P1050" s="13">
        <f t="shared" si="82"/>
        <v>0</v>
      </c>
      <c r="Q1050" s="13">
        <f t="shared" si="83"/>
        <v>0</v>
      </c>
      <c r="R1050" s="13">
        <f>L1050*Assumptions!$B$11+M1050*Assumptions!$B$12+N1050*Assumptions!$B$13+O1050*Assumptions!$B$14+P1050*Assumptions!$B$15+Q1050*Assumptions!$B$16</f>
        <v>0</v>
      </c>
      <c r="S1050" s="13" t="str">
        <f>IF(R1050&gt;=Assumptions!$B$20,"High",IF(R1050&gt;=Assumptions!$B$21,"Medium",IF(R1050&gt;=1,"Low","Clear")))</f>
        <v>Clear</v>
      </c>
      <c r="T1050" s="13" t="str">
        <f t="shared" si="84"/>
        <v/>
      </c>
    </row>
    <row r="1051" spans="1:20" x14ac:dyDescent="0.35">
      <c r="A1051" s="13" t="s">
        <v>4253</v>
      </c>
      <c r="B1051" s="13" t="s">
        <v>409</v>
      </c>
      <c r="C1051" s="13" t="s">
        <v>410</v>
      </c>
      <c r="D1051" s="13" t="s">
        <v>4254</v>
      </c>
      <c r="E1051" s="14">
        <v>45995</v>
      </c>
      <c r="F1051" s="14">
        <v>46034</v>
      </c>
      <c r="G1051" s="15">
        <v>633395.56999999995</v>
      </c>
      <c r="H1051" s="13" t="s">
        <v>4255</v>
      </c>
      <c r="I1051" s="13" t="s">
        <v>4256</v>
      </c>
      <c r="J1051" s="13" t="s">
        <v>98</v>
      </c>
      <c r="K1051" s="13">
        <f t="shared" si="80"/>
        <v>6</v>
      </c>
      <c r="L1051" s="13">
        <f t="shared" si="81"/>
        <v>0</v>
      </c>
      <c r="M1051" s="13">
        <f>IF(AND(L1051=0,COUNTIFS($B$2:$B$1534,B1051,$G$2:$G$1534,G1051,$E$2:$E$1534,"&gt;="&amp;(E1051-Assumptions!$B$5),$E$2:$E$1534,"&lt;="&amp;(E1051+Assumptions!$B$5))&gt;1),1,0)</f>
        <v>0</v>
      </c>
      <c r="N1051" s="13">
        <f>IF(AND(G1051&gt;=Assumptions!$B$4*(1-Assumptions!$B$6),G1051&lt;Assumptions!$B$4),1,0)</f>
        <v>0</v>
      </c>
      <c r="O1051" s="13">
        <f>IF(AND(G1051&gt;=Assumptions!$B$7,MOD(G1051,Assumptions!$B$7)=0),1,0)</f>
        <v>0</v>
      </c>
      <c r="P1051" s="13">
        <f t="shared" si="82"/>
        <v>0</v>
      </c>
      <c r="Q1051" s="13">
        <f t="shared" si="83"/>
        <v>0</v>
      </c>
      <c r="R1051" s="13">
        <f>L1051*Assumptions!$B$11+M1051*Assumptions!$B$12+N1051*Assumptions!$B$13+O1051*Assumptions!$B$14+P1051*Assumptions!$B$15+Q1051*Assumptions!$B$16</f>
        <v>0</v>
      </c>
      <c r="S1051" s="13" t="str">
        <f>IF(R1051&gt;=Assumptions!$B$20,"High",IF(R1051&gt;=Assumptions!$B$21,"Medium",IF(R1051&gt;=1,"Low","Clear")))</f>
        <v>Clear</v>
      </c>
      <c r="T1051" s="13" t="str">
        <f t="shared" si="84"/>
        <v/>
      </c>
    </row>
    <row r="1052" spans="1:20" x14ac:dyDescent="0.35">
      <c r="A1052" s="13" t="s">
        <v>4257</v>
      </c>
      <c r="B1052" s="13" t="s">
        <v>252</v>
      </c>
      <c r="C1052" s="13" t="s">
        <v>253</v>
      </c>
      <c r="D1052" s="13" t="s">
        <v>4258</v>
      </c>
      <c r="E1052" s="14">
        <v>46001</v>
      </c>
      <c r="F1052" s="14">
        <v>46034</v>
      </c>
      <c r="G1052" s="15">
        <v>204693.18</v>
      </c>
      <c r="H1052" s="13" t="s">
        <v>4259</v>
      </c>
      <c r="I1052" s="13" t="s">
        <v>4260</v>
      </c>
      <c r="J1052" s="13" t="s">
        <v>98</v>
      </c>
      <c r="K1052" s="13">
        <f t="shared" si="80"/>
        <v>2</v>
      </c>
      <c r="L1052" s="13">
        <f t="shared" si="81"/>
        <v>0</v>
      </c>
      <c r="M1052" s="13">
        <f>IF(AND(L1052=0,COUNTIFS($B$2:$B$1534,B1052,$G$2:$G$1534,G1052,$E$2:$E$1534,"&gt;="&amp;(E1052-Assumptions!$B$5),$E$2:$E$1534,"&lt;="&amp;(E1052+Assumptions!$B$5))&gt;1),1,0)</f>
        <v>0</v>
      </c>
      <c r="N1052" s="13">
        <f>IF(AND(G1052&gt;=Assumptions!$B$4*(1-Assumptions!$B$6),G1052&lt;Assumptions!$B$4),1,0)</f>
        <v>0</v>
      </c>
      <c r="O1052" s="13">
        <f>IF(AND(G1052&gt;=Assumptions!$B$7,MOD(G1052,Assumptions!$B$7)=0),1,0)</f>
        <v>0</v>
      </c>
      <c r="P1052" s="13">
        <f t="shared" si="82"/>
        <v>0</v>
      </c>
      <c r="Q1052" s="13">
        <f t="shared" si="83"/>
        <v>0</v>
      </c>
      <c r="R1052" s="13">
        <f>L1052*Assumptions!$B$11+M1052*Assumptions!$B$12+N1052*Assumptions!$B$13+O1052*Assumptions!$B$14+P1052*Assumptions!$B$15+Q1052*Assumptions!$B$16</f>
        <v>0</v>
      </c>
      <c r="S1052" s="13" t="str">
        <f>IF(R1052&gt;=Assumptions!$B$20,"High",IF(R1052&gt;=Assumptions!$B$21,"Medium",IF(R1052&gt;=1,"Low","Clear")))</f>
        <v>Clear</v>
      </c>
      <c r="T1052" s="13" t="str">
        <f t="shared" si="84"/>
        <v/>
      </c>
    </row>
    <row r="1053" spans="1:20" x14ac:dyDescent="0.35">
      <c r="A1053" s="13" t="s">
        <v>4261</v>
      </c>
      <c r="B1053" s="13" t="s">
        <v>86</v>
      </c>
      <c r="C1053" s="13" t="s">
        <v>87</v>
      </c>
      <c r="D1053" s="13" t="s">
        <v>4262</v>
      </c>
      <c r="E1053" s="14">
        <v>45999</v>
      </c>
      <c r="F1053" s="14">
        <v>46034</v>
      </c>
      <c r="G1053" s="15">
        <v>2532.0100000000002</v>
      </c>
      <c r="H1053" s="13" t="s">
        <v>4263</v>
      </c>
      <c r="I1053" s="13" t="s">
        <v>4264</v>
      </c>
      <c r="J1053" s="13" t="s">
        <v>98</v>
      </c>
      <c r="K1053" s="13">
        <f t="shared" si="80"/>
        <v>2</v>
      </c>
      <c r="L1053" s="13">
        <f t="shared" si="81"/>
        <v>0</v>
      </c>
      <c r="M1053" s="13">
        <f>IF(AND(L1053=0,COUNTIFS($B$2:$B$1534,B1053,$G$2:$G$1534,G1053,$E$2:$E$1534,"&gt;="&amp;(E1053-Assumptions!$B$5),$E$2:$E$1534,"&lt;="&amp;(E1053+Assumptions!$B$5))&gt;1),1,0)</f>
        <v>0</v>
      </c>
      <c r="N1053" s="13">
        <f>IF(AND(G1053&gt;=Assumptions!$B$4*(1-Assumptions!$B$6),G1053&lt;Assumptions!$B$4),1,0)</f>
        <v>0</v>
      </c>
      <c r="O1053" s="13">
        <f>IF(AND(G1053&gt;=Assumptions!$B$7,MOD(G1053,Assumptions!$B$7)=0),1,0)</f>
        <v>0</v>
      </c>
      <c r="P1053" s="13">
        <f t="shared" si="82"/>
        <v>0</v>
      </c>
      <c r="Q1053" s="13">
        <f t="shared" si="83"/>
        <v>0</v>
      </c>
      <c r="R1053" s="13">
        <f>L1053*Assumptions!$B$11+M1053*Assumptions!$B$12+N1053*Assumptions!$B$13+O1053*Assumptions!$B$14+P1053*Assumptions!$B$15+Q1053*Assumptions!$B$16</f>
        <v>0</v>
      </c>
      <c r="S1053" s="13" t="str">
        <f>IF(R1053&gt;=Assumptions!$B$20,"High",IF(R1053&gt;=Assumptions!$B$21,"Medium",IF(R1053&gt;=1,"Low","Clear")))</f>
        <v>Clear</v>
      </c>
      <c r="T1053" s="13" t="str">
        <f t="shared" si="84"/>
        <v/>
      </c>
    </row>
    <row r="1054" spans="1:20" x14ac:dyDescent="0.35">
      <c r="A1054" s="13" t="s">
        <v>4265</v>
      </c>
      <c r="B1054" s="13" t="s">
        <v>234</v>
      </c>
      <c r="C1054" s="13" t="s">
        <v>235</v>
      </c>
      <c r="D1054" s="13" t="s">
        <v>4266</v>
      </c>
      <c r="E1054" s="14">
        <v>45994</v>
      </c>
      <c r="F1054" s="14">
        <v>46034</v>
      </c>
      <c r="G1054" s="15">
        <v>7878.42</v>
      </c>
      <c r="H1054" s="13" t="s">
        <v>4267</v>
      </c>
      <c r="I1054" s="13" t="s">
        <v>4268</v>
      </c>
      <c r="J1054" s="13" t="s">
        <v>136</v>
      </c>
      <c r="K1054" s="13">
        <f t="shared" si="80"/>
        <v>7</v>
      </c>
      <c r="L1054" s="13">
        <f t="shared" si="81"/>
        <v>0</v>
      </c>
      <c r="M1054" s="13">
        <f>IF(AND(L1054=0,COUNTIFS($B$2:$B$1534,B1054,$G$2:$G$1534,G1054,$E$2:$E$1534,"&gt;="&amp;(E1054-Assumptions!$B$5),$E$2:$E$1534,"&lt;="&amp;(E1054+Assumptions!$B$5))&gt;1),1,0)</f>
        <v>0</v>
      </c>
      <c r="N1054" s="13">
        <f>IF(AND(G1054&gt;=Assumptions!$B$4*(1-Assumptions!$B$6),G1054&lt;Assumptions!$B$4),1,0)</f>
        <v>0</v>
      </c>
      <c r="O1054" s="13">
        <f>IF(AND(G1054&gt;=Assumptions!$B$7,MOD(G1054,Assumptions!$B$7)=0),1,0)</f>
        <v>0</v>
      </c>
      <c r="P1054" s="13">
        <f t="shared" si="82"/>
        <v>0</v>
      </c>
      <c r="Q1054" s="13">
        <f t="shared" si="83"/>
        <v>0</v>
      </c>
      <c r="R1054" s="13">
        <f>L1054*Assumptions!$B$11+M1054*Assumptions!$B$12+N1054*Assumptions!$B$13+O1054*Assumptions!$B$14+P1054*Assumptions!$B$15+Q1054*Assumptions!$B$16</f>
        <v>0</v>
      </c>
      <c r="S1054" s="13" t="str">
        <f>IF(R1054&gt;=Assumptions!$B$20,"High",IF(R1054&gt;=Assumptions!$B$21,"Medium",IF(R1054&gt;=1,"Low","Clear")))</f>
        <v>Clear</v>
      </c>
      <c r="T1054" s="13" t="str">
        <f t="shared" si="84"/>
        <v/>
      </c>
    </row>
    <row r="1055" spans="1:20" x14ac:dyDescent="0.35">
      <c r="A1055" s="13" t="s">
        <v>4269</v>
      </c>
      <c r="B1055" s="13" t="s">
        <v>113</v>
      </c>
      <c r="C1055" s="13" t="s">
        <v>114</v>
      </c>
      <c r="D1055" s="13" t="s">
        <v>4270</v>
      </c>
      <c r="E1055" s="14">
        <v>45997</v>
      </c>
      <c r="F1055" s="14">
        <v>46034</v>
      </c>
      <c r="G1055" s="15">
        <v>2120.79</v>
      </c>
      <c r="H1055" s="13" t="s">
        <v>4271</v>
      </c>
      <c r="I1055" s="13" t="s">
        <v>4272</v>
      </c>
      <c r="J1055" s="13" t="s">
        <v>111</v>
      </c>
      <c r="K1055" s="13">
        <f t="shared" si="80"/>
        <v>2</v>
      </c>
      <c r="L1055" s="13">
        <f t="shared" si="81"/>
        <v>0</v>
      </c>
      <c r="M1055" s="13">
        <f>IF(AND(L1055=0,COUNTIFS($B$2:$B$1534,B1055,$G$2:$G$1534,G1055,$E$2:$E$1534,"&gt;="&amp;(E1055-Assumptions!$B$5),$E$2:$E$1534,"&lt;="&amp;(E1055+Assumptions!$B$5))&gt;1),1,0)</f>
        <v>0</v>
      </c>
      <c r="N1055" s="13">
        <f>IF(AND(G1055&gt;=Assumptions!$B$4*(1-Assumptions!$B$6),G1055&lt;Assumptions!$B$4),1,0)</f>
        <v>0</v>
      </c>
      <c r="O1055" s="13">
        <f>IF(AND(G1055&gt;=Assumptions!$B$7,MOD(G1055,Assumptions!$B$7)=0),1,0)</f>
        <v>0</v>
      </c>
      <c r="P1055" s="13">
        <f t="shared" si="82"/>
        <v>0</v>
      </c>
      <c r="Q1055" s="13">
        <f t="shared" si="83"/>
        <v>0</v>
      </c>
      <c r="R1055" s="13">
        <f>L1055*Assumptions!$B$11+M1055*Assumptions!$B$12+N1055*Assumptions!$B$13+O1055*Assumptions!$B$14+P1055*Assumptions!$B$15+Q1055*Assumptions!$B$16</f>
        <v>0</v>
      </c>
      <c r="S1055" s="13" t="str">
        <f>IF(R1055&gt;=Assumptions!$B$20,"High",IF(R1055&gt;=Assumptions!$B$21,"Medium",IF(R1055&gt;=1,"Low","Clear")))</f>
        <v>Clear</v>
      </c>
      <c r="T1055" s="13" t="str">
        <f t="shared" si="84"/>
        <v/>
      </c>
    </row>
    <row r="1056" spans="1:20" x14ac:dyDescent="0.35">
      <c r="A1056" s="13" t="s">
        <v>4273</v>
      </c>
      <c r="B1056" s="13" t="s">
        <v>206</v>
      </c>
      <c r="C1056" s="13" t="s">
        <v>207</v>
      </c>
      <c r="D1056" s="13" t="s">
        <v>4274</v>
      </c>
      <c r="E1056" s="14">
        <v>46005</v>
      </c>
      <c r="F1056" s="14">
        <v>46034</v>
      </c>
      <c r="G1056" s="15">
        <v>2881.33</v>
      </c>
      <c r="H1056" s="13" t="s">
        <v>4275</v>
      </c>
      <c r="I1056" s="13" t="s">
        <v>4276</v>
      </c>
      <c r="J1056" s="13" t="s">
        <v>98</v>
      </c>
      <c r="K1056" s="13">
        <f t="shared" si="80"/>
        <v>2</v>
      </c>
      <c r="L1056" s="13">
        <f t="shared" si="81"/>
        <v>0</v>
      </c>
      <c r="M1056" s="13">
        <f>IF(AND(L1056=0,COUNTIFS($B$2:$B$1534,B1056,$G$2:$G$1534,G1056,$E$2:$E$1534,"&gt;="&amp;(E1056-Assumptions!$B$5),$E$2:$E$1534,"&lt;="&amp;(E1056+Assumptions!$B$5))&gt;1),1,0)</f>
        <v>0</v>
      </c>
      <c r="N1056" s="13">
        <f>IF(AND(G1056&gt;=Assumptions!$B$4*(1-Assumptions!$B$6),G1056&lt;Assumptions!$B$4),1,0)</f>
        <v>0</v>
      </c>
      <c r="O1056" s="13">
        <f>IF(AND(G1056&gt;=Assumptions!$B$7,MOD(G1056,Assumptions!$B$7)=0),1,0)</f>
        <v>0</v>
      </c>
      <c r="P1056" s="13">
        <f t="shared" si="82"/>
        <v>0</v>
      </c>
      <c r="Q1056" s="13">
        <f t="shared" si="83"/>
        <v>0</v>
      </c>
      <c r="R1056" s="13">
        <f>L1056*Assumptions!$B$11+M1056*Assumptions!$B$12+N1056*Assumptions!$B$13+O1056*Assumptions!$B$14+P1056*Assumptions!$B$15+Q1056*Assumptions!$B$16</f>
        <v>0</v>
      </c>
      <c r="S1056" s="13" t="str">
        <f>IF(R1056&gt;=Assumptions!$B$20,"High",IF(R1056&gt;=Assumptions!$B$21,"Medium",IF(R1056&gt;=1,"Low","Clear")))</f>
        <v>Clear</v>
      </c>
      <c r="T1056" s="13" t="str">
        <f t="shared" si="84"/>
        <v/>
      </c>
    </row>
    <row r="1057" spans="1:20" x14ac:dyDescent="0.35">
      <c r="A1057" s="13" t="s">
        <v>4277</v>
      </c>
      <c r="B1057" s="13" t="s">
        <v>212</v>
      </c>
      <c r="C1057" s="13" t="s">
        <v>213</v>
      </c>
      <c r="D1057" s="13" t="s">
        <v>4278</v>
      </c>
      <c r="E1057" s="14">
        <v>46012</v>
      </c>
      <c r="F1057" s="14">
        <v>46034</v>
      </c>
      <c r="G1057" s="15">
        <v>448133.41</v>
      </c>
      <c r="H1057" s="13"/>
      <c r="I1057" s="13"/>
      <c r="J1057" s="13" t="s">
        <v>170</v>
      </c>
      <c r="K1057" s="13">
        <f t="shared" si="80"/>
        <v>4</v>
      </c>
      <c r="L1057" s="13">
        <f t="shared" si="81"/>
        <v>0</v>
      </c>
      <c r="M1057" s="13">
        <f>IF(AND(L1057=0,COUNTIFS($B$2:$B$1534,B1057,$G$2:$G$1534,G1057,$E$2:$E$1534,"&gt;="&amp;(E1057-Assumptions!$B$5),$E$2:$E$1534,"&lt;="&amp;(E1057+Assumptions!$B$5))&gt;1),1,0)</f>
        <v>0</v>
      </c>
      <c r="N1057" s="13">
        <f>IF(AND(G1057&gt;=Assumptions!$B$4*(1-Assumptions!$B$6),G1057&lt;Assumptions!$B$4),1,0)</f>
        <v>0</v>
      </c>
      <c r="O1057" s="13">
        <f>IF(AND(G1057&gt;=Assumptions!$B$7,MOD(G1057,Assumptions!$B$7)=0),1,0)</f>
        <v>0</v>
      </c>
      <c r="P1057" s="13">
        <f t="shared" si="82"/>
        <v>1</v>
      </c>
      <c r="Q1057" s="13">
        <f t="shared" si="83"/>
        <v>0</v>
      </c>
      <c r="R1057" s="13">
        <f>L1057*Assumptions!$B$11+M1057*Assumptions!$B$12+N1057*Assumptions!$B$13+O1057*Assumptions!$B$14+P1057*Assumptions!$B$15+Q1057*Assumptions!$B$16</f>
        <v>4</v>
      </c>
      <c r="S1057" s="13" t="str">
        <f>IF(R1057&gt;=Assumptions!$B$20,"High",IF(R1057&gt;=Assumptions!$B$21,"Medium",IF(R1057&gt;=1,"Low","Clear")))</f>
        <v>Medium</v>
      </c>
      <c r="T1057" s="13" t="str">
        <f t="shared" si="84"/>
        <v xml:space="preserve">No PO/GRN; </v>
      </c>
    </row>
    <row r="1058" spans="1:20" x14ac:dyDescent="0.35">
      <c r="A1058" s="13" t="s">
        <v>4279</v>
      </c>
      <c r="B1058" s="13" t="s">
        <v>212</v>
      </c>
      <c r="C1058" s="13" t="s">
        <v>213</v>
      </c>
      <c r="D1058" s="13" t="s">
        <v>4280</v>
      </c>
      <c r="E1058" s="14">
        <v>46013</v>
      </c>
      <c r="F1058" s="14">
        <v>46034</v>
      </c>
      <c r="G1058" s="15">
        <v>3277.01</v>
      </c>
      <c r="H1058" s="13" t="s">
        <v>4281</v>
      </c>
      <c r="I1058" s="13" t="s">
        <v>4282</v>
      </c>
      <c r="J1058" s="13" t="s">
        <v>143</v>
      </c>
      <c r="K1058" s="13">
        <f t="shared" si="80"/>
        <v>3</v>
      </c>
      <c r="L1058" s="13">
        <f t="shared" si="81"/>
        <v>0</v>
      </c>
      <c r="M1058" s="13">
        <f>IF(AND(L1058=0,COUNTIFS($B$2:$B$1534,B1058,$G$2:$G$1534,G1058,$E$2:$E$1534,"&gt;="&amp;(E1058-Assumptions!$B$5),$E$2:$E$1534,"&lt;="&amp;(E1058+Assumptions!$B$5))&gt;1),1,0)</f>
        <v>0</v>
      </c>
      <c r="N1058" s="13">
        <f>IF(AND(G1058&gt;=Assumptions!$B$4*(1-Assumptions!$B$6),G1058&lt;Assumptions!$B$4),1,0)</f>
        <v>0</v>
      </c>
      <c r="O1058" s="13">
        <f>IF(AND(G1058&gt;=Assumptions!$B$7,MOD(G1058,Assumptions!$B$7)=0),1,0)</f>
        <v>0</v>
      </c>
      <c r="P1058" s="13">
        <f t="shared" si="82"/>
        <v>0</v>
      </c>
      <c r="Q1058" s="13">
        <f t="shared" si="83"/>
        <v>0</v>
      </c>
      <c r="R1058" s="13">
        <f>L1058*Assumptions!$B$11+M1058*Assumptions!$B$12+N1058*Assumptions!$B$13+O1058*Assumptions!$B$14+P1058*Assumptions!$B$15+Q1058*Assumptions!$B$16</f>
        <v>0</v>
      </c>
      <c r="S1058" s="13" t="str">
        <f>IF(R1058&gt;=Assumptions!$B$20,"High",IF(R1058&gt;=Assumptions!$B$21,"Medium",IF(R1058&gt;=1,"Low","Clear")))</f>
        <v>Clear</v>
      </c>
      <c r="T1058" s="13" t="str">
        <f t="shared" si="84"/>
        <v/>
      </c>
    </row>
    <row r="1059" spans="1:20" x14ac:dyDescent="0.35">
      <c r="A1059" s="13" t="s">
        <v>4283</v>
      </c>
      <c r="B1059" s="13" t="s">
        <v>323</v>
      </c>
      <c r="C1059" s="13" t="s">
        <v>324</v>
      </c>
      <c r="D1059" s="13" t="s">
        <v>4284</v>
      </c>
      <c r="E1059" s="14">
        <v>46000</v>
      </c>
      <c r="F1059" s="14">
        <v>46034</v>
      </c>
      <c r="G1059" s="15">
        <v>11316.01</v>
      </c>
      <c r="H1059" s="13" t="s">
        <v>4285</v>
      </c>
      <c r="I1059" s="13" t="s">
        <v>4286</v>
      </c>
      <c r="J1059" s="13" t="s">
        <v>98</v>
      </c>
      <c r="K1059" s="13">
        <f t="shared" si="80"/>
        <v>1</v>
      </c>
      <c r="L1059" s="13">
        <f t="shared" si="81"/>
        <v>0</v>
      </c>
      <c r="M1059" s="13">
        <f>IF(AND(L1059=0,COUNTIFS($B$2:$B$1534,B1059,$G$2:$G$1534,G1059,$E$2:$E$1534,"&gt;="&amp;(E1059-Assumptions!$B$5),$E$2:$E$1534,"&lt;="&amp;(E1059+Assumptions!$B$5))&gt;1),1,0)</f>
        <v>1</v>
      </c>
      <c r="N1059" s="13">
        <f>IF(AND(G1059&gt;=Assumptions!$B$4*(1-Assumptions!$B$6),G1059&lt;Assumptions!$B$4),1,0)</f>
        <v>0</v>
      </c>
      <c r="O1059" s="13">
        <f>IF(AND(G1059&gt;=Assumptions!$B$7,MOD(G1059,Assumptions!$B$7)=0),1,0)</f>
        <v>0</v>
      </c>
      <c r="P1059" s="13">
        <f t="shared" si="82"/>
        <v>0</v>
      </c>
      <c r="Q1059" s="13">
        <f t="shared" si="83"/>
        <v>0</v>
      </c>
      <c r="R1059" s="13">
        <f>L1059*Assumptions!$B$11+M1059*Assumptions!$B$12+N1059*Assumptions!$B$13+O1059*Assumptions!$B$14+P1059*Assumptions!$B$15+Q1059*Assumptions!$B$16</f>
        <v>3</v>
      </c>
      <c r="S1059" s="13" t="str">
        <f>IF(R1059&gt;=Assumptions!$B$20,"High",IF(R1059&gt;=Assumptions!$B$21,"Medium",IF(R1059&gt;=1,"Low","Clear")))</f>
        <v>Medium</v>
      </c>
      <c r="T1059" s="13" t="str">
        <f t="shared" si="84"/>
        <v xml:space="preserve">Near-duplicate; </v>
      </c>
    </row>
    <row r="1060" spans="1:20" x14ac:dyDescent="0.35">
      <c r="A1060" s="13" t="s">
        <v>4287</v>
      </c>
      <c r="B1060" s="13" t="s">
        <v>323</v>
      </c>
      <c r="C1060" s="13" t="s">
        <v>324</v>
      </c>
      <c r="D1060" s="13" t="s">
        <v>4288</v>
      </c>
      <c r="E1060" s="14">
        <v>46003</v>
      </c>
      <c r="F1060" s="14">
        <v>46034</v>
      </c>
      <c r="G1060" s="15">
        <v>11316.01</v>
      </c>
      <c r="H1060" s="13" t="s">
        <v>4285</v>
      </c>
      <c r="I1060" s="13" t="s">
        <v>4286</v>
      </c>
      <c r="J1060" s="13" t="s">
        <v>98</v>
      </c>
      <c r="K1060" s="13">
        <f t="shared" si="80"/>
        <v>1</v>
      </c>
      <c r="L1060" s="13">
        <f t="shared" si="81"/>
        <v>0</v>
      </c>
      <c r="M1060" s="13">
        <f>IF(AND(L1060=0,COUNTIFS($B$2:$B$1534,B1060,$G$2:$G$1534,G1060,$E$2:$E$1534,"&gt;="&amp;(E1060-Assumptions!$B$5),$E$2:$E$1534,"&lt;="&amp;(E1060+Assumptions!$B$5))&gt;1),1,0)</f>
        <v>1</v>
      </c>
      <c r="N1060" s="13">
        <f>IF(AND(G1060&gt;=Assumptions!$B$4*(1-Assumptions!$B$6),G1060&lt;Assumptions!$B$4),1,0)</f>
        <v>0</v>
      </c>
      <c r="O1060" s="13">
        <f>IF(AND(G1060&gt;=Assumptions!$B$7,MOD(G1060,Assumptions!$B$7)=0),1,0)</f>
        <v>0</v>
      </c>
      <c r="P1060" s="13">
        <f t="shared" si="82"/>
        <v>0</v>
      </c>
      <c r="Q1060" s="13">
        <f t="shared" si="83"/>
        <v>0</v>
      </c>
      <c r="R1060" s="13">
        <f>L1060*Assumptions!$B$11+M1060*Assumptions!$B$12+N1060*Assumptions!$B$13+O1060*Assumptions!$B$14+P1060*Assumptions!$B$15+Q1060*Assumptions!$B$16</f>
        <v>3</v>
      </c>
      <c r="S1060" s="13" t="str">
        <f>IF(R1060&gt;=Assumptions!$B$20,"High",IF(R1060&gt;=Assumptions!$B$21,"Medium",IF(R1060&gt;=1,"Low","Clear")))</f>
        <v>Medium</v>
      </c>
      <c r="T1060" s="13" t="str">
        <f t="shared" si="84"/>
        <v xml:space="preserve">Near-duplicate; </v>
      </c>
    </row>
    <row r="1061" spans="1:20" x14ac:dyDescent="0.35">
      <c r="A1061" s="13" t="s">
        <v>4289</v>
      </c>
      <c r="B1061" s="13" t="s">
        <v>161</v>
      </c>
      <c r="C1061" s="13" t="s">
        <v>162</v>
      </c>
      <c r="D1061" s="13" t="s">
        <v>4290</v>
      </c>
      <c r="E1061" s="14">
        <v>45996</v>
      </c>
      <c r="F1061" s="14">
        <v>46034</v>
      </c>
      <c r="G1061" s="15">
        <v>941627.9</v>
      </c>
      <c r="H1061" s="13" t="s">
        <v>4187</v>
      </c>
      <c r="I1061" s="13" t="s">
        <v>4188</v>
      </c>
      <c r="J1061" s="13" t="s">
        <v>111</v>
      </c>
      <c r="K1061" s="13">
        <f t="shared" si="80"/>
        <v>9</v>
      </c>
      <c r="L1061" s="13">
        <f t="shared" si="81"/>
        <v>0</v>
      </c>
      <c r="M1061" s="13">
        <f>IF(AND(L1061=0,COUNTIFS($B$2:$B$1534,B1061,$G$2:$G$1534,G1061,$E$2:$E$1534,"&gt;="&amp;(E1061-Assumptions!$B$5),$E$2:$E$1534,"&lt;="&amp;(E1061+Assumptions!$B$5))&gt;1),1,0)</f>
        <v>1</v>
      </c>
      <c r="N1061" s="13">
        <f>IF(AND(G1061&gt;=Assumptions!$B$4*(1-Assumptions!$B$6),G1061&lt;Assumptions!$B$4),1,0)</f>
        <v>0</v>
      </c>
      <c r="O1061" s="13">
        <f>IF(AND(G1061&gt;=Assumptions!$B$7,MOD(G1061,Assumptions!$B$7)=0),1,0)</f>
        <v>0</v>
      </c>
      <c r="P1061" s="13">
        <f t="shared" si="82"/>
        <v>0</v>
      </c>
      <c r="Q1061" s="13">
        <f t="shared" si="83"/>
        <v>0</v>
      </c>
      <c r="R1061" s="13">
        <f>L1061*Assumptions!$B$11+M1061*Assumptions!$B$12+N1061*Assumptions!$B$13+O1061*Assumptions!$B$14+P1061*Assumptions!$B$15+Q1061*Assumptions!$B$16</f>
        <v>3</v>
      </c>
      <c r="S1061" s="13" t="str">
        <f>IF(R1061&gt;=Assumptions!$B$20,"High",IF(R1061&gt;=Assumptions!$B$21,"Medium",IF(R1061&gt;=1,"Low","Clear")))</f>
        <v>Medium</v>
      </c>
      <c r="T1061" s="13" t="str">
        <f t="shared" si="84"/>
        <v xml:space="preserve">Near-duplicate; </v>
      </c>
    </row>
    <row r="1062" spans="1:20" x14ac:dyDescent="0.35">
      <c r="A1062" s="13" t="s">
        <v>4291</v>
      </c>
      <c r="B1062" s="13" t="s">
        <v>476</v>
      </c>
      <c r="C1062" s="13" t="s">
        <v>477</v>
      </c>
      <c r="D1062" s="13" t="s">
        <v>4292</v>
      </c>
      <c r="E1062" s="14">
        <v>46012</v>
      </c>
      <c r="F1062" s="14">
        <v>46034</v>
      </c>
      <c r="G1062" s="15">
        <v>47666.49</v>
      </c>
      <c r="H1062" s="13" t="s">
        <v>4293</v>
      </c>
      <c r="I1062" s="13" t="s">
        <v>4294</v>
      </c>
      <c r="J1062" s="13" t="s">
        <v>143</v>
      </c>
      <c r="K1062" s="13">
        <f t="shared" si="80"/>
        <v>4</v>
      </c>
      <c r="L1062" s="13">
        <f t="shared" si="81"/>
        <v>0</v>
      </c>
      <c r="M1062" s="13">
        <f>IF(AND(L1062=0,COUNTIFS($B$2:$B$1534,B1062,$G$2:$G$1534,G1062,$E$2:$E$1534,"&gt;="&amp;(E1062-Assumptions!$B$5),$E$2:$E$1534,"&lt;="&amp;(E1062+Assumptions!$B$5))&gt;1),1,0)</f>
        <v>0</v>
      </c>
      <c r="N1062" s="13">
        <f>IF(AND(G1062&gt;=Assumptions!$B$4*(1-Assumptions!$B$6),G1062&lt;Assumptions!$B$4),1,0)</f>
        <v>1</v>
      </c>
      <c r="O1062" s="13">
        <f>IF(AND(G1062&gt;=Assumptions!$B$7,MOD(G1062,Assumptions!$B$7)=0),1,0)</f>
        <v>0</v>
      </c>
      <c r="P1062" s="13">
        <f t="shared" si="82"/>
        <v>0</v>
      </c>
      <c r="Q1062" s="13">
        <f t="shared" si="83"/>
        <v>0</v>
      </c>
      <c r="R1062" s="13">
        <f>L1062*Assumptions!$B$11+M1062*Assumptions!$B$12+N1062*Assumptions!$B$13+O1062*Assumptions!$B$14+P1062*Assumptions!$B$15+Q1062*Assumptions!$B$16</f>
        <v>3</v>
      </c>
      <c r="S1062" s="13" t="str">
        <f>IF(R1062&gt;=Assumptions!$B$20,"High",IF(R1062&gt;=Assumptions!$B$21,"Medium",IF(R1062&gt;=1,"Low","Clear")))</f>
        <v>Medium</v>
      </c>
      <c r="T1062" s="13" t="str">
        <f t="shared" si="84"/>
        <v xml:space="preserve">Just below limit; </v>
      </c>
    </row>
    <row r="1063" spans="1:20" x14ac:dyDescent="0.35">
      <c r="A1063" s="13" t="s">
        <v>4295</v>
      </c>
      <c r="B1063" s="13" t="s">
        <v>476</v>
      </c>
      <c r="C1063" s="13" t="s">
        <v>477</v>
      </c>
      <c r="D1063" s="13" t="s">
        <v>4296</v>
      </c>
      <c r="E1063" s="14">
        <v>46008</v>
      </c>
      <c r="F1063" s="14">
        <v>46034</v>
      </c>
      <c r="G1063" s="15">
        <v>118974.29</v>
      </c>
      <c r="H1063" s="13" t="s">
        <v>4297</v>
      </c>
      <c r="I1063" s="13" t="s">
        <v>4298</v>
      </c>
      <c r="J1063" s="13" t="s">
        <v>111</v>
      </c>
      <c r="K1063" s="13">
        <f t="shared" si="80"/>
        <v>1</v>
      </c>
      <c r="L1063" s="13">
        <f t="shared" si="81"/>
        <v>0</v>
      </c>
      <c r="M1063" s="13">
        <f>IF(AND(L1063=0,COUNTIFS($B$2:$B$1534,B1063,$G$2:$G$1534,G1063,$E$2:$E$1534,"&gt;="&amp;(E1063-Assumptions!$B$5),$E$2:$E$1534,"&lt;="&amp;(E1063+Assumptions!$B$5))&gt;1),1,0)</f>
        <v>0</v>
      </c>
      <c r="N1063" s="13">
        <f>IF(AND(G1063&gt;=Assumptions!$B$4*(1-Assumptions!$B$6),G1063&lt;Assumptions!$B$4),1,0)</f>
        <v>0</v>
      </c>
      <c r="O1063" s="13">
        <f>IF(AND(G1063&gt;=Assumptions!$B$7,MOD(G1063,Assumptions!$B$7)=0),1,0)</f>
        <v>0</v>
      </c>
      <c r="P1063" s="13">
        <f t="shared" si="82"/>
        <v>0</v>
      </c>
      <c r="Q1063" s="13">
        <f t="shared" si="83"/>
        <v>0</v>
      </c>
      <c r="R1063" s="13">
        <f>L1063*Assumptions!$B$11+M1063*Assumptions!$B$12+N1063*Assumptions!$B$13+O1063*Assumptions!$B$14+P1063*Assumptions!$B$15+Q1063*Assumptions!$B$16</f>
        <v>0</v>
      </c>
      <c r="S1063" s="13" t="str">
        <f>IF(R1063&gt;=Assumptions!$B$20,"High",IF(R1063&gt;=Assumptions!$B$21,"Medium",IF(R1063&gt;=1,"Low","Clear")))</f>
        <v>Clear</v>
      </c>
      <c r="T1063" s="13" t="str">
        <f t="shared" si="84"/>
        <v/>
      </c>
    </row>
    <row r="1064" spans="1:20" x14ac:dyDescent="0.35">
      <c r="A1064" s="13" t="s">
        <v>4299</v>
      </c>
      <c r="B1064" s="13" t="s">
        <v>100</v>
      </c>
      <c r="C1064" s="13" t="s">
        <v>101</v>
      </c>
      <c r="D1064" s="13" t="s">
        <v>4300</v>
      </c>
      <c r="E1064" s="14">
        <v>46011</v>
      </c>
      <c r="F1064" s="14">
        <v>46034</v>
      </c>
      <c r="G1064" s="15">
        <v>1631.47</v>
      </c>
      <c r="H1064" s="13" t="s">
        <v>4301</v>
      </c>
      <c r="I1064" s="13" t="s">
        <v>4302</v>
      </c>
      <c r="J1064" s="13" t="s">
        <v>91</v>
      </c>
      <c r="K1064" s="13">
        <f t="shared" si="80"/>
        <v>1</v>
      </c>
      <c r="L1064" s="13">
        <f t="shared" si="81"/>
        <v>0</v>
      </c>
      <c r="M1064" s="13">
        <f>IF(AND(L1064=0,COUNTIFS($B$2:$B$1534,B1064,$G$2:$G$1534,G1064,$E$2:$E$1534,"&gt;="&amp;(E1064-Assumptions!$B$5),$E$2:$E$1534,"&lt;="&amp;(E1064+Assumptions!$B$5))&gt;1),1,0)</f>
        <v>0</v>
      </c>
      <c r="N1064" s="13">
        <f>IF(AND(G1064&gt;=Assumptions!$B$4*(1-Assumptions!$B$6),G1064&lt;Assumptions!$B$4),1,0)</f>
        <v>0</v>
      </c>
      <c r="O1064" s="13">
        <f>IF(AND(G1064&gt;=Assumptions!$B$7,MOD(G1064,Assumptions!$B$7)=0),1,0)</f>
        <v>0</v>
      </c>
      <c r="P1064" s="13">
        <f t="shared" si="82"/>
        <v>0</v>
      </c>
      <c r="Q1064" s="13">
        <f t="shared" si="83"/>
        <v>0</v>
      </c>
      <c r="R1064" s="13">
        <f>L1064*Assumptions!$B$11+M1064*Assumptions!$B$12+N1064*Assumptions!$B$13+O1064*Assumptions!$B$14+P1064*Assumptions!$B$15+Q1064*Assumptions!$B$16</f>
        <v>0</v>
      </c>
      <c r="S1064" s="13" t="str">
        <f>IF(R1064&gt;=Assumptions!$B$20,"High",IF(R1064&gt;=Assumptions!$B$21,"Medium",IF(R1064&gt;=1,"Low","Clear")))</f>
        <v>Clear</v>
      </c>
      <c r="T1064" s="13" t="str">
        <f t="shared" si="84"/>
        <v/>
      </c>
    </row>
    <row r="1065" spans="1:20" x14ac:dyDescent="0.35">
      <c r="A1065" s="13" t="s">
        <v>4303</v>
      </c>
      <c r="B1065" s="13" t="s">
        <v>339</v>
      </c>
      <c r="C1065" s="13" t="s">
        <v>340</v>
      </c>
      <c r="D1065" s="13" t="s">
        <v>4304</v>
      </c>
      <c r="E1065" s="14">
        <v>46000</v>
      </c>
      <c r="F1065" s="14">
        <v>46034</v>
      </c>
      <c r="G1065" s="15">
        <v>4034.55</v>
      </c>
      <c r="H1065" s="13" t="s">
        <v>4305</v>
      </c>
      <c r="I1065" s="13" t="s">
        <v>4306</v>
      </c>
      <c r="J1065" s="13" t="s">
        <v>98</v>
      </c>
      <c r="K1065" s="13">
        <f t="shared" si="80"/>
        <v>4</v>
      </c>
      <c r="L1065" s="13">
        <f t="shared" si="81"/>
        <v>0</v>
      </c>
      <c r="M1065" s="13">
        <f>IF(AND(L1065=0,COUNTIFS($B$2:$B$1534,B1065,$G$2:$G$1534,G1065,$E$2:$E$1534,"&gt;="&amp;(E1065-Assumptions!$B$5),$E$2:$E$1534,"&lt;="&amp;(E1065+Assumptions!$B$5))&gt;1),1,0)</f>
        <v>0</v>
      </c>
      <c r="N1065" s="13">
        <f>IF(AND(G1065&gt;=Assumptions!$B$4*(1-Assumptions!$B$6),G1065&lt;Assumptions!$B$4),1,0)</f>
        <v>0</v>
      </c>
      <c r="O1065" s="13">
        <f>IF(AND(G1065&gt;=Assumptions!$B$7,MOD(G1065,Assumptions!$B$7)=0),1,0)</f>
        <v>0</v>
      </c>
      <c r="P1065" s="13">
        <f t="shared" si="82"/>
        <v>0</v>
      </c>
      <c r="Q1065" s="13">
        <f t="shared" si="83"/>
        <v>0</v>
      </c>
      <c r="R1065" s="13">
        <f>L1065*Assumptions!$B$11+M1065*Assumptions!$B$12+N1065*Assumptions!$B$13+O1065*Assumptions!$B$14+P1065*Assumptions!$B$15+Q1065*Assumptions!$B$16</f>
        <v>0</v>
      </c>
      <c r="S1065" s="13" t="str">
        <f>IF(R1065&gt;=Assumptions!$B$20,"High",IF(R1065&gt;=Assumptions!$B$21,"Medium",IF(R1065&gt;=1,"Low","Clear")))</f>
        <v>Clear</v>
      </c>
      <c r="T1065" s="13" t="str">
        <f t="shared" si="84"/>
        <v/>
      </c>
    </row>
    <row r="1066" spans="1:20" x14ac:dyDescent="0.35">
      <c r="A1066" s="13" t="s">
        <v>4307</v>
      </c>
      <c r="B1066" s="13" t="s">
        <v>212</v>
      </c>
      <c r="C1066" s="13" t="s">
        <v>213</v>
      </c>
      <c r="D1066" s="13" t="s">
        <v>4308</v>
      </c>
      <c r="E1066" s="14">
        <v>46008</v>
      </c>
      <c r="F1066" s="14">
        <v>46035</v>
      </c>
      <c r="G1066" s="15">
        <v>2312.5300000000002</v>
      </c>
      <c r="H1066" s="13" t="s">
        <v>4309</v>
      </c>
      <c r="I1066" s="13" t="s">
        <v>4310</v>
      </c>
      <c r="J1066" s="13" t="s">
        <v>143</v>
      </c>
      <c r="K1066" s="13">
        <f t="shared" si="80"/>
        <v>2</v>
      </c>
      <c r="L1066" s="13">
        <f t="shared" si="81"/>
        <v>0</v>
      </c>
      <c r="M1066" s="13">
        <f>IF(AND(L1066=0,COUNTIFS($B$2:$B$1534,B1066,$G$2:$G$1534,G1066,$E$2:$E$1534,"&gt;="&amp;(E1066-Assumptions!$B$5),$E$2:$E$1534,"&lt;="&amp;(E1066+Assumptions!$B$5))&gt;1),1,0)</f>
        <v>0</v>
      </c>
      <c r="N1066" s="13">
        <f>IF(AND(G1066&gt;=Assumptions!$B$4*(1-Assumptions!$B$6),G1066&lt;Assumptions!$B$4),1,0)</f>
        <v>0</v>
      </c>
      <c r="O1066" s="13">
        <f>IF(AND(G1066&gt;=Assumptions!$B$7,MOD(G1066,Assumptions!$B$7)=0),1,0)</f>
        <v>0</v>
      </c>
      <c r="P1066" s="13">
        <f t="shared" si="82"/>
        <v>0</v>
      </c>
      <c r="Q1066" s="13">
        <f t="shared" si="83"/>
        <v>0</v>
      </c>
      <c r="R1066" s="13">
        <f>L1066*Assumptions!$B$11+M1066*Assumptions!$B$12+N1066*Assumptions!$B$13+O1066*Assumptions!$B$14+P1066*Assumptions!$B$15+Q1066*Assumptions!$B$16</f>
        <v>0</v>
      </c>
      <c r="S1066" s="13" t="str">
        <f>IF(R1066&gt;=Assumptions!$B$20,"High",IF(R1066&gt;=Assumptions!$B$21,"Medium",IF(R1066&gt;=1,"Low","Clear")))</f>
        <v>Clear</v>
      </c>
      <c r="T1066" s="13" t="str">
        <f t="shared" si="84"/>
        <v/>
      </c>
    </row>
    <row r="1067" spans="1:20" x14ac:dyDescent="0.35">
      <c r="A1067" s="13" t="s">
        <v>4311</v>
      </c>
      <c r="B1067" s="13" t="s">
        <v>125</v>
      </c>
      <c r="C1067" s="13" t="s">
        <v>126</v>
      </c>
      <c r="D1067" s="13" t="s">
        <v>4312</v>
      </c>
      <c r="E1067" s="14">
        <v>46011</v>
      </c>
      <c r="F1067" s="14">
        <v>46035</v>
      </c>
      <c r="G1067" s="15">
        <v>9636.02</v>
      </c>
      <c r="H1067" s="13" t="s">
        <v>4313</v>
      </c>
      <c r="I1067" s="13" t="s">
        <v>4314</v>
      </c>
      <c r="J1067" s="13" t="s">
        <v>143</v>
      </c>
      <c r="K1067" s="13">
        <f t="shared" si="80"/>
        <v>9</v>
      </c>
      <c r="L1067" s="13">
        <f t="shared" si="81"/>
        <v>0</v>
      </c>
      <c r="M1067" s="13">
        <f>IF(AND(L1067=0,COUNTIFS($B$2:$B$1534,B1067,$G$2:$G$1534,G1067,$E$2:$E$1534,"&gt;="&amp;(E1067-Assumptions!$B$5),$E$2:$E$1534,"&lt;="&amp;(E1067+Assumptions!$B$5))&gt;1),1,0)</f>
        <v>0</v>
      </c>
      <c r="N1067" s="13">
        <f>IF(AND(G1067&gt;=Assumptions!$B$4*(1-Assumptions!$B$6),G1067&lt;Assumptions!$B$4),1,0)</f>
        <v>0</v>
      </c>
      <c r="O1067" s="13">
        <f>IF(AND(G1067&gt;=Assumptions!$B$7,MOD(G1067,Assumptions!$B$7)=0),1,0)</f>
        <v>0</v>
      </c>
      <c r="P1067" s="13">
        <f t="shared" si="82"/>
        <v>0</v>
      </c>
      <c r="Q1067" s="13">
        <f t="shared" si="83"/>
        <v>0</v>
      </c>
      <c r="R1067" s="13">
        <f>L1067*Assumptions!$B$11+M1067*Assumptions!$B$12+N1067*Assumptions!$B$13+O1067*Assumptions!$B$14+P1067*Assumptions!$B$15+Q1067*Assumptions!$B$16</f>
        <v>0</v>
      </c>
      <c r="S1067" s="13" t="str">
        <f>IF(R1067&gt;=Assumptions!$B$20,"High",IF(R1067&gt;=Assumptions!$B$21,"Medium",IF(R1067&gt;=1,"Low","Clear")))</f>
        <v>Clear</v>
      </c>
      <c r="T1067" s="13" t="str">
        <f t="shared" si="84"/>
        <v/>
      </c>
    </row>
    <row r="1068" spans="1:20" x14ac:dyDescent="0.35">
      <c r="A1068" s="13" t="s">
        <v>4315</v>
      </c>
      <c r="B1068" s="13" t="s">
        <v>391</v>
      </c>
      <c r="C1068" s="13" t="s">
        <v>392</v>
      </c>
      <c r="D1068" s="13" t="s">
        <v>4316</v>
      </c>
      <c r="E1068" s="14">
        <v>46002</v>
      </c>
      <c r="F1068" s="14">
        <v>46036</v>
      </c>
      <c r="G1068" s="15">
        <v>34067.919999999998</v>
      </c>
      <c r="H1068" s="13" t="s">
        <v>4317</v>
      </c>
      <c r="I1068" s="13" t="s">
        <v>4318</v>
      </c>
      <c r="J1068" s="13" t="s">
        <v>91</v>
      </c>
      <c r="K1068" s="13">
        <f t="shared" si="80"/>
        <v>3</v>
      </c>
      <c r="L1068" s="13">
        <f t="shared" si="81"/>
        <v>0</v>
      </c>
      <c r="M1068" s="13">
        <f>IF(AND(L1068=0,COUNTIFS($B$2:$B$1534,B1068,$G$2:$G$1534,G1068,$E$2:$E$1534,"&gt;="&amp;(E1068-Assumptions!$B$5),$E$2:$E$1534,"&lt;="&amp;(E1068+Assumptions!$B$5))&gt;1),1,0)</f>
        <v>0</v>
      </c>
      <c r="N1068" s="13">
        <f>IF(AND(G1068&gt;=Assumptions!$B$4*(1-Assumptions!$B$6),G1068&lt;Assumptions!$B$4),1,0)</f>
        <v>0</v>
      </c>
      <c r="O1068" s="13">
        <f>IF(AND(G1068&gt;=Assumptions!$B$7,MOD(G1068,Assumptions!$B$7)=0),1,0)</f>
        <v>0</v>
      </c>
      <c r="P1068" s="13">
        <f t="shared" si="82"/>
        <v>0</v>
      </c>
      <c r="Q1068" s="13">
        <f t="shared" si="83"/>
        <v>0</v>
      </c>
      <c r="R1068" s="13">
        <f>L1068*Assumptions!$B$11+M1068*Assumptions!$B$12+N1068*Assumptions!$B$13+O1068*Assumptions!$B$14+P1068*Assumptions!$B$15+Q1068*Assumptions!$B$16</f>
        <v>0</v>
      </c>
      <c r="S1068" s="13" t="str">
        <f>IF(R1068&gt;=Assumptions!$B$20,"High",IF(R1068&gt;=Assumptions!$B$21,"Medium",IF(R1068&gt;=1,"Low","Clear")))</f>
        <v>Clear</v>
      </c>
      <c r="T1068" s="13" t="str">
        <f t="shared" si="84"/>
        <v/>
      </c>
    </row>
    <row r="1069" spans="1:20" x14ac:dyDescent="0.35">
      <c r="A1069" s="13" t="s">
        <v>4319</v>
      </c>
      <c r="B1069" s="13" t="s">
        <v>774</v>
      </c>
      <c r="C1069" s="13" t="s">
        <v>775</v>
      </c>
      <c r="D1069" s="13" t="s">
        <v>4320</v>
      </c>
      <c r="E1069" s="14">
        <v>46000</v>
      </c>
      <c r="F1069" s="14">
        <v>46036</v>
      </c>
      <c r="G1069" s="15">
        <v>180788.14</v>
      </c>
      <c r="H1069" s="13" t="s">
        <v>4321</v>
      </c>
      <c r="I1069" s="13" t="s">
        <v>4322</v>
      </c>
      <c r="J1069" s="13" t="s">
        <v>170</v>
      </c>
      <c r="K1069" s="13">
        <f t="shared" si="80"/>
        <v>1</v>
      </c>
      <c r="L1069" s="13">
        <f t="shared" si="81"/>
        <v>0</v>
      </c>
      <c r="M1069" s="13">
        <f>IF(AND(L1069=0,COUNTIFS($B$2:$B$1534,B1069,$G$2:$G$1534,G1069,$E$2:$E$1534,"&gt;="&amp;(E1069-Assumptions!$B$5),$E$2:$E$1534,"&lt;="&amp;(E1069+Assumptions!$B$5))&gt;1),1,0)</f>
        <v>0</v>
      </c>
      <c r="N1069" s="13">
        <f>IF(AND(G1069&gt;=Assumptions!$B$4*(1-Assumptions!$B$6),G1069&lt;Assumptions!$B$4),1,0)</f>
        <v>0</v>
      </c>
      <c r="O1069" s="13">
        <f>IF(AND(G1069&gt;=Assumptions!$B$7,MOD(G1069,Assumptions!$B$7)=0),1,0)</f>
        <v>0</v>
      </c>
      <c r="P1069" s="13">
        <f t="shared" si="82"/>
        <v>0</v>
      </c>
      <c r="Q1069" s="13">
        <f t="shared" si="83"/>
        <v>0</v>
      </c>
      <c r="R1069" s="13">
        <f>L1069*Assumptions!$B$11+M1069*Assumptions!$B$12+N1069*Assumptions!$B$13+O1069*Assumptions!$B$14+P1069*Assumptions!$B$15+Q1069*Assumptions!$B$16</f>
        <v>0</v>
      </c>
      <c r="S1069" s="13" t="str">
        <f>IF(R1069&gt;=Assumptions!$B$20,"High",IF(R1069&gt;=Assumptions!$B$21,"Medium",IF(R1069&gt;=1,"Low","Clear")))</f>
        <v>Clear</v>
      </c>
      <c r="T1069" s="13" t="str">
        <f t="shared" si="84"/>
        <v/>
      </c>
    </row>
    <row r="1070" spans="1:20" x14ac:dyDescent="0.35">
      <c r="A1070" s="13" t="s">
        <v>4323</v>
      </c>
      <c r="B1070" s="13" t="s">
        <v>466</v>
      </c>
      <c r="C1070" s="13" t="s">
        <v>467</v>
      </c>
      <c r="D1070" s="13" t="s">
        <v>4324</v>
      </c>
      <c r="E1070" s="14">
        <v>46008</v>
      </c>
      <c r="F1070" s="14">
        <v>46036</v>
      </c>
      <c r="G1070" s="15">
        <v>17638.88</v>
      </c>
      <c r="H1070" s="13" t="s">
        <v>4325</v>
      </c>
      <c r="I1070" s="13" t="s">
        <v>4326</v>
      </c>
      <c r="J1070" s="13" t="s">
        <v>143</v>
      </c>
      <c r="K1070" s="13">
        <f t="shared" si="80"/>
        <v>1</v>
      </c>
      <c r="L1070" s="13">
        <f t="shared" si="81"/>
        <v>0</v>
      </c>
      <c r="M1070" s="13">
        <f>IF(AND(L1070=0,COUNTIFS($B$2:$B$1534,B1070,$G$2:$G$1534,G1070,$E$2:$E$1534,"&gt;="&amp;(E1070-Assumptions!$B$5),$E$2:$E$1534,"&lt;="&amp;(E1070+Assumptions!$B$5))&gt;1),1,0)</f>
        <v>0</v>
      </c>
      <c r="N1070" s="13">
        <f>IF(AND(G1070&gt;=Assumptions!$B$4*(1-Assumptions!$B$6),G1070&lt;Assumptions!$B$4),1,0)</f>
        <v>0</v>
      </c>
      <c r="O1070" s="13">
        <f>IF(AND(G1070&gt;=Assumptions!$B$7,MOD(G1070,Assumptions!$B$7)=0),1,0)</f>
        <v>0</v>
      </c>
      <c r="P1070" s="13">
        <f t="shared" si="82"/>
        <v>0</v>
      </c>
      <c r="Q1070" s="13">
        <f t="shared" si="83"/>
        <v>0</v>
      </c>
      <c r="R1070" s="13">
        <f>L1070*Assumptions!$B$11+M1070*Assumptions!$B$12+N1070*Assumptions!$B$13+O1070*Assumptions!$B$14+P1070*Assumptions!$B$15+Q1070*Assumptions!$B$16</f>
        <v>0</v>
      </c>
      <c r="S1070" s="13" t="str">
        <f>IF(R1070&gt;=Assumptions!$B$20,"High",IF(R1070&gt;=Assumptions!$B$21,"Medium",IF(R1070&gt;=1,"Low","Clear")))</f>
        <v>Clear</v>
      </c>
      <c r="T1070" s="13" t="str">
        <f t="shared" si="84"/>
        <v/>
      </c>
    </row>
    <row r="1071" spans="1:20" x14ac:dyDescent="0.35">
      <c r="A1071" s="13" t="s">
        <v>4327</v>
      </c>
      <c r="B1071" s="13" t="s">
        <v>182</v>
      </c>
      <c r="C1071" s="13" t="s">
        <v>183</v>
      </c>
      <c r="D1071" s="13" t="s">
        <v>4328</v>
      </c>
      <c r="E1071" s="14">
        <v>46013</v>
      </c>
      <c r="F1071" s="14">
        <v>46037</v>
      </c>
      <c r="G1071" s="15">
        <v>955511.74</v>
      </c>
      <c r="H1071" s="13" t="s">
        <v>4329</v>
      </c>
      <c r="I1071" s="13" t="s">
        <v>4330</v>
      </c>
      <c r="J1071" s="13" t="s">
        <v>170</v>
      </c>
      <c r="K1071" s="13">
        <f t="shared" si="80"/>
        <v>9</v>
      </c>
      <c r="L1071" s="13">
        <f t="shared" si="81"/>
        <v>0</v>
      </c>
      <c r="M1071" s="13">
        <f>IF(AND(L1071=0,COUNTIFS($B$2:$B$1534,B1071,$G$2:$G$1534,G1071,$E$2:$E$1534,"&gt;="&amp;(E1071-Assumptions!$B$5),$E$2:$E$1534,"&lt;="&amp;(E1071+Assumptions!$B$5))&gt;1),1,0)</f>
        <v>0</v>
      </c>
      <c r="N1071" s="13">
        <f>IF(AND(G1071&gt;=Assumptions!$B$4*(1-Assumptions!$B$6),G1071&lt;Assumptions!$B$4),1,0)</f>
        <v>0</v>
      </c>
      <c r="O1071" s="13">
        <f>IF(AND(G1071&gt;=Assumptions!$B$7,MOD(G1071,Assumptions!$B$7)=0),1,0)</f>
        <v>0</v>
      </c>
      <c r="P1071" s="13">
        <f t="shared" si="82"/>
        <v>0</v>
      </c>
      <c r="Q1071" s="13">
        <f t="shared" si="83"/>
        <v>0</v>
      </c>
      <c r="R1071" s="13">
        <f>L1071*Assumptions!$B$11+M1071*Assumptions!$B$12+N1071*Assumptions!$B$13+O1071*Assumptions!$B$14+P1071*Assumptions!$B$15+Q1071*Assumptions!$B$16</f>
        <v>0</v>
      </c>
      <c r="S1071" s="13" t="str">
        <f>IF(R1071&gt;=Assumptions!$B$20,"High",IF(R1071&gt;=Assumptions!$B$21,"Medium",IF(R1071&gt;=1,"Low","Clear")))</f>
        <v>Clear</v>
      </c>
      <c r="T1071" s="13" t="str">
        <f t="shared" si="84"/>
        <v/>
      </c>
    </row>
    <row r="1072" spans="1:20" x14ac:dyDescent="0.35">
      <c r="A1072" s="13" t="s">
        <v>4331</v>
      </c>
      <c r="B1072" s="13" t="s">
        <v>228</v>
      </c>
      <c r="C1072" s="13" t="s">
        <v>229</v>
      </c>
      <c r="D1072" s="13" t="s">
        <v>4332</v>
      </c>
      <c r="E1072" s="14">
        <v>45998</v>
      </c>
      <c r="F1072" s="14">
        <v>46037</v>
      </c>
      <c r="G1072" s="15">
        <v>16762.84</v>
      </c>
      <c r="H1072" s="13" t="s">
        <v>4333</v>
      </c>
      <c r="I1072" s="13" t="s">
        <v>4334</v>
      </c>
      <c r="J1072" s="13" t="s">
        <v>136</v>
      </c>
      <c r="K1072" s="13">
        <f t="shared" si="80"/>
        <v>1</v>
      </c>
      <c r="L1072" s="13">
        <f t="shared" si="81"/>
        <v>0</v>
      </c>
      <c r="M1072" s="13">
        <f>IF(AND(L1072=0,COUNTIFS($B$2:$B$1534,B1072,$G$2:$G$1534,G1072,$E$2:$E$1534,"&gt;="&amp;(E1072-Assumptions!$B$5),$E$2:$E$1534,"&lt;="&amp;(E1072+Assumptions!$B$5))&gt;1),1,0)</f>
        <v>0</v>
      </c>
      <c r="N1072" s="13">
        <f>IF(AND(G1072&gt;=Assumptions!$B$4*(1-Assumptions!$B$6),G1072&lt;Assumptions!$B$4),1,0)</f>
        <v>0</v>
      </c>
      <c r="O1072" s="13">
        <f>IF(AND(G1072&gt;=Assumptions!$B$7,MOD(G1072,Assumptions!$B$7)=0),1,0)</f>
        <v>0</v>
      </c>
      <c r="P1072" s="13">
        <f t="shared" si="82"/>
        <v>0</v>
      </c>
      <c r="Q1072" s="13">
        <f t="shared" si="83"/>
        <v>0</v>
      </c>
      <c r="R1072" s="13">
        <f>L1072*Assumptions!$B$11+M1072*Assumptions!$B$12+N1072*Assumptions!$B$13+O1072*Assumptions!$B$14+P1072*Assumptions!$B$15+Q1072*Assumptions!$B$16</f>
        <v>0</v>
      </c>
      <c r="S1072" s="13" t="str">
        <f>IF(R1072&gt;=Assumptions!$B$20,"High",IF(R1072&gt;=Assumptions!$B$21,"Medium",IF(R1072&gt;=1,"Low","Clear")))</f>
        <v>Clear</v>
      </c>
      <c r="T1072" s="13" t="str">
        <f t="shared" si="84"/>
        <v/>
      </c>
    </row>
    <row r="1073" spans="1:20" x14ac:dyDescent="0.35">
      <c r="A1073" s="13" t="s">
        <v>4335</v>
      </c>
      <c r="B1073" s="13" t="s">
        <v>252</v>
      </c>
      <c r="C1073" s="13" t="s">
        <v>253</v>
      </c>
      <c r="D1073" s="13" t="s">
        <v>4336</v>
      </c>
      <c r="E1073" s="14">
        <v>46001</v>
      </c>
      <c r="F1073" s="14">
        <v>46037</v>
      </c>
      <c r="G1073" s="15">
        <v>77388.91</v>
      </c>
      <c r="H1073" s="13" t="s">
        <v>4337</v>
      </c>
      <c r="I1073" s="13" t="s">
        <v>4338</v>
      </c>
      <c r="J1073" s="13" t="s">
        <v>170</v>
      </c>
      <c r="K1073" s="13">
        <f t="shared" si="80"/>
        <v>7</v>
      </c>
      <c r="L1073" s="13">
        <f t="shared" si="81"/>
        <v>0</v>
      </c>
      <c r="M1073" s="13">
        <f>IF(AND(L1073=0,COUNTIFS($B$2:$B$1534,B1073,$G$2:$G$1534,G1073,$E$2:$E$1534,"&gt;="&amp;(E1073-Assumptions!$B$5),$E$2:$E$1534,"&lt;="&amp;(E1073+Assumptions!$B$5))&gt;1),1,0)</f>
        <v>0</v>
      </c>
      <c r="N1073" s="13">
        <f>IF(AND(G1073&gt;=Assumptions!$B$4*(1-Assumptions!$B$6),G1073&lt;Assumptions!$B$4),1,0)</f>
        <v>0</v>
      </c>
      <c r="O1073" s="13">
        <f>IF(AND(G1073&gt;=Assumptions!$B$7,MOD(G1073,Assumptions!$B$7)=0),1,0)</f>
        <v>0</v>
      </c>
      <c r="P1073" s="13">
        <f t="shared" si="82"/>
        <v>0</v>
      </c>
      <c r="Q1073" s="13">
        <f t="shared" si="83"/>
        <v>0</v>
      </c>
      <c r="R1073" s="13">
        <f>L1073*Assumptions!$B$11+M1073*Assumptions!$B$12+N1073*Assumptions!$B$13+O1073*Assumptions!$B$14+P1073*Assumptions!$B$15+Q1073*Assumptions!$B$16</f>
        <v>0</v>
      </c>
      <c r="S1073" s="13" t="str">
        <f>IF(R1073&gt;=Assumptions!$B$20,"High",IF(R1073&gt;=Assumptions!$B$21,"Medium",IF(R1073&gt;=1,"Low","Clear")))</f>
        <v>Clear</v>
      </c>
      <c r="T1073" s="13" t="str">
        <f t="shared" si="84"/>
        <v/>
      </c>
    </row>
    <row r="1074" spans="1:20" x14ac:dyDescent="0.35">
      <c r="A1074" s="13" t="s">
        <v>4339</v>
      </c>
      <c r="B1074" s="13" t="s">
        <v>93</v>
      </c>
      <c r="C1074" s="13" t="s">
        <v>94</v>
      </c>
      <c r="D1074" s="13" t="s">
        <v>4340</v>
      </c>
      <c r="E1074" s="14">
        <v>46000</v>
      </c>
      <c r="F1074" s="14">
        <v>46037</v>
      </c>
      <c r="G1074" s="15">
        <v>8455.89</v>
      </c>
      <c r="H1074" s="13" t="s">
        <v>4341</v>
      </c>
      <c r="I1074" s="13" t="s">
        <v>4342</v>
      </c>
      <c r="J1074" s="13" t="s">
        <v>111</v>
      </c>
      <c r="K1074" s="13">
        <f t="shared" si="80"/>
        <v>8</v>
      </c>
      <c r="L1074" s="13">
        <f t="shared" si="81"/>
        <v>0</v>
      </c>
      <c r="M1074" s="13">
        <f>IF(AND(L1074=0,COUNTIFS($B$2:$B$1534,B1074,$G$2:$G$1534,G1074,$E$2:$E$1534,"&gt;="&amp;(E1074-Assumptions!$B$5),$E$2:$E$1534,"&lt;="&amp;(E1074+Assumptions!$B$5))&gt;1),1,0)</f>
        <v>0</v>
      </c>
      <c r="N1074" s="13">
        <f>IF(AND(G1074&gt;=Assumptions!$B$4*(1-Assumptions!$B$6),G1074&lt;Assumptions!$B$4),1,0)</f>
        <v>0</v>
      </c>
      <c r="O1074" s="13">
        <f>IF(AND(G1074&gt;=Assumptions!$B$7,MOD(G1074,Assumptions!$B$7)=0),1,0)</f>
        <v>0</v>
      </c>
      <c r="P1074" s="13">
        <f t="shared" si="82"/>
        <v>0</v>
      </c>
      <c r="Q1074" s="13">
        <f t="shared" si="83"/>
        <v>0</v>
      </c>
      <c r="R1074" s="13">
        <f>L1074*Assumptions!$B$11+M1074*Assumptions!$B$12+N1074*Assumptions!$B$13+O1074*Assumptions!$B$14+P1074*Assumptions!$B$15+Q1074*Assumptions!$B$16</f>
        <v>0</v>
      </c>
      <c r="S1074" s="13" t="str">
        <f>IF(R1074&gt;=Assumptions!$B$20,"High",IF(R1074&gt;=Assumptions!$B$21,"Medium",IF(R1074&gt;=1,"Low","Clear")))</f>
        <v>Clear</v>
      </c>
      <c r="T1074" s="13" t="str">
        <f t="shared" si="84"/>
        <v/>
      </c>
    </row>
    <row r="1075" spans="1:20" x14ac:dyDescent="0.35">
      <c r="A1075" s="13" t="s">
        <v>4343</v>
      </c>
      <c r="B1075" s="13" t="s">
        <v>113</v>
      </c>
      <c r="C1075" s="13" t="s">
        <v>114</v>
      </c>
      <c r="D1075" s="13" t="s">
        <v>4344</v>
      </c>
      <c r="E1075" s="14">
        <v>45999</v>
      </c>
      <c r="F1075" s="14">
        <v>46037</v>
      </c>
      <c r="G1075" s="15">
        <v>44717.81</v>
      </c>
      <c r="H1075" s="13" t="s">
        <v>4345</v>
      </c>
      <c r="I1075" s="13" t="s">
        <v>4346</v>
      </c>
      <c r="J1075" s="13" t="s">
        <v>91</v>
      </c>
      <c r="K1075" s="13">
        <f t="shared" si="80"/>
        <v>4</v>
      </c>
      <c r="L1075" s="13">
        <f t="shared" si="81"/>
        <v>0</v>
      </c>
      <c r="M1075" s="13">
        <f>IF(AND(L1075=0,COUNTIFS($B$2:$B$1534,B1075,$G$2:$G$1534,G1075,$E$2:$E$1534,"&gt;="&amp;(E1075-Assumptions!$B$5),$E$2:$E$1534,"&lt;="&amp;(E1075+Assumptions!$B$5))&gt;1),1,0)</f>
        <v>0</v>
      </c>
      <c r="N1075" s="13">
        <f>IF(AND(G1075&gt;=Assumptions!$B$4*(1-Assumptions!$B$6),G1075&lt;Assumptions!$B$4),1,0)</f>
        <v>0</v>
      </c>
      <c r="O1075" s="13">
        <f>IF(AND(G1075&gt;=Assumptions!$B$7,MOD(G1075,Assumptions!$B$7)=0),1,0)</f>
        <v>0</v>
      </c>
      <c r="P1075" s="13">
        <f t="shared" si="82"/>
        <v>0</v>
      </c>
      <c r="Q1075" s="13">
        <f t="shared" si="83"/>
        <v>0</v>
      </c>
      <c r="R1075" s="13">
        <f>L1075*Assumptions!$B$11+M1075*Assumptions!$B$12+N1075*Assumptions!$B$13+O1075*Assumptions!$B$14+P1075*Assumptions!$B$15+Q1075*Assumptions!$B$16</f>
        <v>0</v>
      </c>
      <c r="S1075" s="13" t="str">
        <f>IF(R1075&gt;=Assumptions!$B$20,"High",IF(R1075&gt;=Assumptions!$B$21,"Medium",IF(R1075&gt;=1,"Low","Clear")))</f>
        <v>Clear</v>
      </c>
      <c r="T1075" s="13" t="str">
        <f t="shared" si="84"/>
        <v/>
      </c>
    </row>
    <row r="1076" spans="1:20" x14ac:dyDescent="0.35">
      <c r="A1076" s="13" t="s">
        <v>4347</v>
      </c>
      <c r="B1076" s="13" t="s">
        <v>113</v>
      </c>
      <c r="C1076" s="13" t="s">
        <v>114</v>
      </c>
      <c r="D1076" s="13" t="s">
        <v>4348</v>
      </c>
      <c r="E1076" s="14">
        <v>46000</v>
      </c>
      <c r="F1076" s="14">
        <v>46037</v>
      </c>
      <c r="G1076" s="15">
        <v>30000</v>
      </c>
      <c r="H1076" s="13" t="s">
        <v>4349</v>
      </c>
      <c r="I1076" s="13" t="s">
        <v>4350</v>
      </c>
      <c r="J1076" s="13" t="s">
        <v>111</v>
      </c>
      <c r="K1076" s="13">
        <f t="shared" si="80"/>
        <v>3</v>
      </c>
      <c r="L1076" s="13">
        <f t="shared" si="81"/>
        <v>0</v>
      </c>
      <c r="M1076" s="13">
        <f>IF(AND(L1076=0,COUNTIFS($B$2:$B$1534,B1076,$G$2:$G$1534,G1076,$E$2:$E$1534,"&gt;="&amp;(E1076-Assumptions!$B$5),$E$2:$E$1534,"&lt;="&amp;(E1076+Assumptions!$B$5))&gt;1),1,0)</f>
        <v>0</v>
      </c>
      <c r="N1076" s="13">
        <f>IF(AND(G1076&gt;=Assumptions!$B$4*(1-Assumptions!$B$6),G1076&lt;Assumptions!$B$4),1,0)</f>
        <v>0</v>
      </c>
      <c r="O1076" s="13">
        <f>IF(AND(G1076&gt;=Assumptions!$B$7,MOD(G1076,Assumptions!$B$7)=0),1,0)</f>
        <v>1</v>
      </c>
      <c r="P1076" s="13">
        <f t="shared" si="82"/>
        <v>0</v>
      </c>
      <c r="Q1076" s="13">
        <f t="shared" si="83"/>
        <v>0</v>
      </c>
      <c r="R1076" s="13">
        <f>L1076*Assumptions!$B$11+M1076*Assumptions!$B$12+N1076*Assumptions!$B$13+O1076*Assumptions!$B$14+P1076*Assumptions!$B$15+Q1076*Assumptions!$B$16</f>
        <v>1</v>
      </c>
      <c r="S1076" s="13" t="str">
        <f>IF(R1076&gt;=Assumptions!$B$20,"High",IF(R1076&gt;=Assumptions!$B$21,"Medium",IF(R1076&gt;=1,"Low","Clear")))</f>
        <v>Low</v>
      </c>
      <c r="T1076" s="13" t="str">
        <f t="shared" si="84"/>
        <v xml:space="preserve">Round amount; </v>
      </c>
    </row>
    <row r="1077" spans="1:20" x14ac:dyDescent="0.35">
      <c r="A1077" s="13" t="s">
        <v>4351</v>
      </c>
      <c r="B1077" s="13" t="s">
        <v>188</v>
      </c>
      <c r="C1077" s="13" t="s">
        <v>189</v>
      </c>
      <c r="D1077" s="13" t="s">
        <v>4352</v>
      </c>
      <c r="E1077" s="14">
        <v>46018</v>
      </c>
      <c r="F1077" s="14">
        <v>46038</v>
      </c>
      <c r="G1077" s="15">
        <v>18450.73</v>
      </c>
      <c r="H1077" s="13" t="s">
        <v>4353</v>
      </c>
      <c r="I1077" s="13" t="s">
        <v>4354</v>
      </c>
      <c r="J1077" s="13" t="s">
        <v>111</v>
      </c>
      <c r="K1077" s="13">
        <f t="shared" si="80"/>
        <v>1</v>
      </c>
      <c r="L1077" s="13">
        <f t="shared" si="81"/>
        <v>0</v>
      </c>
      <c r="M1077" s="13">
        <f>IF(AND(L1077=0,COUNTIFS($B$2:$B$1534,B1077,$G$2:$G$1534,G1077,$E$2:$E$1534,"&gt;="&amp;(E1077-Assumptions!$B$5),$E$2:$E$1534,"&lt;="&amp;(E1077+Assumptions!$B$5))&gt;1),1,0)</f>
        <v>0</v>
      </c>
      <c r="N1077" s="13">
        <f>IF(AND(G1077&gt;=Assumptions!$B$4*(1-Assumptions!$B$6),G1077&lt;Assumptions!$B$4),1,0)</f>
        <v>0</v>
      </c>
      <c r="O1077" s="13">
        <f>IF(AND(G1077&gt;=Assumptions!$B$7,MOD(G1077,Assumptions!$B$7)=0),1,0)</f>
        <v>0</v>
      </c>
      <c r="P1077" s="13">
        <f t="shared" si="82"/>
        <v>0</v>
      </c>
      <c r="Q1077" s="13">
        <f t="shared" si="83"/>
        <v>0</v>
      </c>
      <c r="R1077" s="13">
        <f>L1077*Assumptions!$B$11+M1077*Assumptions!$B$12+N1077*Assumptions!$B$13+O1077*Assumptions!$B$14+P1077*Assumptions!$B$15+Q1077*Assumptions!$B$16</f>
        <v>0</v>
      </c>
      <c r="S1077" s="13" t="str">
        <f>IF(R1077&gt;=Assumptions!$B$20,"High",IF(R1077&gt;=Assumptions!$B$21,"Medium",IF(R1077&gt;=1,"Low","Clear")))</f>
        <v>Clear</v>
      </c>
      <c r="T1077" s="13" t="str">
        <f t="shared" si="84"/>
        <v/>
      </c>
    </row>
    <row r="1078" spans="1:20" x14ac:dyDescent="0.35">
      <c r="A1078" s="13" t="s">
        <v>4355</v>
      </c>
      <c r="B1078" s="13" t="s">
        <v>391</v>
      </c>
      <c r="C1078" s="13" t="s">
        <v>392</v>
      </c>
      <c r="D1078" s="13" t="s">
        <v>4356</v>
      </c>
      <c r="E1078" s="14">
        <v>46011</v>
      </c>
      <c r="F1078" s="14">
        <v>46038</v>
      </c>
      <c r="G1078" s="15">
        <v>6845.92</v>
      </c>
      <c r="H1078" s="13" t="s">
        <v>4357</v>
      </c>
      <c r="I1078" s="13" t="s">
        <v>4358</v>
      </c>
      <c r="J1078" s="13" t="s">
        <v>91</v>
      </c>
      <c r="K1078" s="13">
        <f t="shared" si="80"/>
        <v>6</v>
      </c>
      <c r="L1078" s="13">
        <f t="shared" si="81"/>
        <v>0</v>
      </c>
      <c r="M1078" s="13">
        <f>IF(AND(L1078=0,COUNTIFS($B$2:$B$1534,B1078,$G$2:$G$1534,G1078,$E$2:$E$1534,"&gt;="&amp;(E1078-Assumptions!$B$5),$E$2:$E$1534,"&lt;="&amp;(E1078+Assumptions!$B$5))&gt;1),1,0)</f>
        <v>0</v>
      </c>
      <c r="N1078" s="13">
        <f>IF(AND(G1078&gt;=Assumptions!$B$4*(1-Assumptions!$B$6),G1078&lt;Assumptions!$B$4),1,0)</f>
        <v>0</v>
      </c>
      <c r="O1078" s="13">
        <f>IF(AND(G1078&gt;=Assumptions!$B$7,MOD(G1078,Assumptions!$B$7)=0),1,0)</f>
        <v>0</v>
      </c>
      <c r="P1078" s="13">
        <f t="shared" si="82"/>
        <v>0</v>
      </c>
      <c r="Q1078" s="13">
        <f t="shared" si="83"/>
        <v>0</v>
      </c>
      <c r="R1078" s="13">
        <f>L1078*Assumptions!$B$11+M1078*Assumptions!$B$12+N1078*Assumptions!$B$13+O1078*Assumptions!$B$14+P1078*Assumptions!$B$15+Q1078*Assumptions!$B$16</f>
        <v>0</v>
      </c>
      <c r="S1078" s="13" t="str">
        <f>IF(R1078&gt;=Assumptions!$B$20,"High",IF(R1078&gt;=Assumptions!$B$21,"Medium",IF(R1078&gt;=1,"Low","Clear")))</f>
        <v>Clear</v>
      </c>
      <c r="T1078" s="13" t="str">
        <f t="shared" si="84"/>
        <v/>
      </c>
    </row>
    <row r="1079" spans="1:20" x14ac:dyDescent="0.35">
      <c r="A1079" s="13" t="s">
        <v>4359</v>
      </c>
      <c r="B1079" s="13" t="s">
        <v>93</v>
      </c>
      <c r="C1079" s="13" t="s">
        <v>94</v>
      </c>
      <c r="D1079" s="13" t="s">
        <v>4360</v>
      </c>
      <c r="E1079" s="14">
        <v>46004</v>
      </c>
      <c r="F1079" s="14">
        <v>46038</v>
      </c>
      <c r="G1079" s="15">
        <v>137216.89000000001</v>
      </c>
      <c r="H1079" s="13" t="s">
        <v>4361</v>
      </c>
      <c r="I1079" s="13" t="s">
        <v>4362</v>
      </c>
      <c r="J1079" s="13" t="s">
        <v>91</v>
      </c>
      <c r="K1079" s="13">
        <f t="shared" si="80"/>
        <v>1</v>
      </c>
      <c r="L1079" s="13">
        <f t="shared" si="81"/>
        <v>0</v>
      </c>
      <c r="M1079" s="13">
        <f>IF(AND(L1079=0,COUNTIFS($B$2:$B$1534,B1079,$G$2:$G$1534,G1079,$E$2:$E$1534,"&gt;="&amp;(E1079-Assumptions!$B$5),$E$2:$E$1534,"&lt;="&amp;(E1079+Assumptions!$B$5))&gt;1),1,0)</f>
        <v>0</v>
      </c>
      <c r="N1079" s="13">
        <f>IF(AND(G1079&gt;=Assumptions!$B$4*(1-Assumptions!$B$6),G1079&lt;Assumptions!$B$4),1,0)</f>
        <v>0</v>
      </c>
      <c r="O1079" s="13">
        <f>IF(AND(G1079&gt;=Assumptions!$B$7,MOD(G1079,Assumptions!$B$7)=0),1,0)</f>
        <v>0</v>
      </c>
      <c r="P1079" s="13">
        <f t="shared" si="82"/>
        <v>0</v>
      </c>
      <c r="Q1079" s="13">
        <f t="shared" si="83"/>
        <v>0</v>
      </c>
      <c r="R1079" s="13">
        <f>L1079*Assumptions!$B$11+M1079*Assumptions!$B$12+N1079*Assumptions!$B$13+O1079*Assumptions!$B$14+P1079*Assumptions!$B$15+Q1079*Assumptions!$B$16</f>
        <v>0</v>
      </c>
      <c r="S1079" s="13" t="str">
        <f>IF(R1079&gt;=Assumptions!$B$20,"High",IF(R1079&gt;=Assumptions!$B$21,"Medium",IF(R1079&gt;=1,"Low","Clear")))</f>
        <v>Clear</v>
      </c>
      <c r="T1079" s="13" t="str">
        <f t="shared" si="84"/>
        <v/>
      </c>
    </row>
    <row r="1080" spans="1:20" x14ac:dyDescent="0.35">
      <c r="A1080" s="13" t="s">
        <v>4363</v>
      </c>
      <c r="B1080" s="13" t="s">
        <v>206</v>
      </c>
      <c r="C1080" s="13" t="s">
        <v>207</v>
      </c>
      <c r="D1080" s="13" t="s">
        <v>4364</v>
      </c>
      <c r="E1080" s="14">
        <v>46000</v>
      </c>
      <c r="F1080" s="14">
        <v>46038</v>
      </c>
      <c r="G1080" s="15">
        <v>403930.37</v>
      </c>
      <c r="H1080" s="13" t="s">
        <v>4365</v>
      </c>
      <c r="I1080" s="13" t="s">
        <v>4366</v>
      </c>
      <c r="J1080" s="13" t="s">
        <v>91</v>
      </c>
      <c r="K1080" s="13">
        <f t="shared" si="80"/>
        <v>4</v>
      </c>
      <c r="L1080" s="13">
        <f t="shared" si="81"/>
        <v>0</v>
      </c>
      <c r="M1080" s="13">
        <f>IF(AND(L1080=0,COUNTIFS($B$2:$B$1534,B1080,$G$2:$G$1534,G1080,$E$2:$E$1534,"&gt;="&amp;(E1080-Assumptions!$B$5),$E$2:$E$1534,"&lt;="&amp;(E1080+Assumptions!$B$5))&gt;1),1,0)</f>
        <v>0</v>
      </c>
      <c r="N1080" s="13">
        <f>IF(AND(G1080&gt;=Assumptions!$B$4*(1-Assumptions!$B$6),G1080&lt;Assumptions!$B$4),1,0)</f>
        <v>0</v>
      </c>
      <c r="O1080" s="13">
        <f>IF(AND(G1080&gt;=Assumptions!$B$7,MOD(G1080,Assumptions!$B$7)=0),1,0)</f>
        <v>0</v>
      </c>
      <c r="P1080" s="13">
        <f t="shared" si="82"/>
        <v>0</v>
      </c>
      <c r="Q1080" s="13">
        <f t="shared" si="83"/>
        <v>0</v>
      </c>
      <c r="R1080" s="13">
        <f>L1080*Assumptions!$B$11+M1080*Assumptions!$B$12+N1080*Assumptions!$B$13+O1080*Assumptions!$B$14+P1080*Assumptions!$B$15+Q1080*Assumptions!$B$16</f>
        <v>0</v>
      </c>
      <c r="S1080" s="13" t="str">
        <f>IF(R1080&gt;=Assumptions!$B$20,"High",IF(R1080&gt;=Assumptions!$B$21,"Medium",IF(R1080&gt;=1,"Low","Clear")))</f>
        <v>Clear</v>
      </c>
      <c r="T1080" s="13" t="str">
        <f t="shared" si="84"/>
        <v/>
      </c>
    </row>
    <row r="1081" spans="1:20" x14ac:dyDescent="0.35">
      <c r="A1081" s="13" t="s">
        <v>4367</v>
      </c>
      <c r="B1081" s="13" t="s">
        <v>307</v>
      </c>
      <c r="C1081" s="13" t="s">
        <v>308</v>
      </c>
      <c r="D1081" s="13" t="s">
        <v>4368</v>
      </c>
      <c r="E1081" s="14">
        <v>46002</v>
      </c>
      <c r="F1081" s="14">
        <v>46038</v>
      </c>
      <c r="G1081" s="15">
        <v>271876.40999999997</v>
      </c>
      <c r="H1081" s="13" t="s">
        <v>4369</v>
      </c>
      <c r="I1081" s="13" t="s">
        <v>4370</v>
      </c>
      <c r="J1081" s="13" t="s">
        <v>143</v>
      </c>
      <c r="K1081" s="13">
        <f t="shared" si="80"/>
        <v>2</v>
      </c>
      <c r="L1081" s="13">
        <f t="shared" si="81"/>
        <v>0</v>
      </c>
      <c r="M1081" s="13">
        <f>IF(AND(L1081=0,COUNTIFS($B$2:$B$1534,B1081,$G$2:$G$1534,G1081,$E$2:$E$1534,"&gt;="&amp;(E1081-Assumptions!$B$5),$E$2:$E$1534,"&lt;="&amp;(E1081+Assumptions!$B$5))&gt;1),1,0)</f>
        <v>0</v>
      </c>
      <c r="N1081" s="13">
        <f>IF(AND(G1081&gt;=Assumptions!$B$4*(1-Assumptions!$B$6),G1081&lt;Assumptions!$B$4),1,0)</f>
        <v>0</v>
      </c>
      <c r="O1081" s="13">
        <f>IF(AND(G1081&gt;=Assumptions!$B$7,MOD(G1081,Assumptions!$B$7)=0),1,0)</f>
        <v>0</v>
      </c>
      <c r="P1081" s="13">
        <f t="shared" si="82"/>
        <v>0</v>
      </c>
      <c r="Q1081" s="13">
        <f t="shared" si="83"/>
        <v>0</v>
      </c>
      <c r="R1081" s="13">
        <f>L1081*Assumptions!$B$11+M1081*Assumptions!$B$12+N1081*Assumptions!$B$13+O1081*Assumptions!$B$14+P1081*Assumptions!$B$15+Q1081*Assumptions!$B$16</f>
        <v>0</v>
      </c>
      <c r="S1081" s="13" t="str">
        <f>IF(R1081&gt;=Assumptions!$B$20,"High",IF(R1081&gt;=Assumptions!$B$21,"Medium",IF(R1081&gt;=1,"Low","Clear")))</f>
        <v>Clear</v>
      </c>
      <c r="T1081" s="13" t="str">
        <f t="shared" si="84"/>
        <v/>
      </c>
    </row>
    <row r="1082" spans="1:20" x14ac:dyDescent="0.35">
      <c r="A1082" s="13" t="s">
        <v>4371</v>
      </c>
      <c r="B1082" s="13" t="s">
        <v>317</v>
      </c>
      <c r="C1082" s="13" t="s">
        <v>318</v>
      </c>
      <c r="D1082" s="13" t="s">
        <v>4372</v>
      </c>
      <c r="E1082" s="14">
        <v>46016</v>
      </c>
      <c r="F1082" s="14">
        <v>46038</v>
      </c>
      <c r="G1082" s="15">
        <v>15392.18</v>
      </c>
      <c r="H1082" s="13" t="s">
        <v>4373</v>
      </c>
      <c r="I1082" s="13" t="s">
        <v>4374</v>
      </c>
      <c r="J1082" s="13" t="s">
        <v>143</v>
      </c>
      <c r="K1082" s="13">
        <f t="shared" si="80"/>
        <v>1</v>
      </c>
      <c r="L1082" s="13">
        <f t="shared" si="81"/>
        <v>0</v>
      </c>
      <c r="M1082" s="13">
        <f>IF(AND(L1082=0,COUNTIFS($B$2:$B$1534,B1082,$G$2:$G$1534,G1082,$E$2:$E$1534,"&gt;="&amp;(E1082-Assumptions!$B$5),$E$2:$E$1534,"&lt;="&amp;(E1082+Assumptions!$B$5))&gt;1),1,0)</f>
        <v>0</v>
      </c>
      <c r="N1082" s="13">
        <f>IF(AND(G1082&gt;=Assumptions!$B$4*(1-Assumptions!$B$6),G1082&lt;Assumptions!$B$4),1,0)</f>
        <v>0</v>
      </c>
      <c r="O1082" s="13">
        <f>IF(AND(G1082&gt;=Assumptions!$B$7,MOD(G1082,Assumptions!$B$7)=0),1,0)</f>
        <v>0</v>
      </c>
      <c r="P1082" s="13">
        <f t="shared" si="82"/>
        <v>0</v>
      </c>
      <c r="Q1082" s="13">
        <f t="shared" si="83"/>
        <v>0</v>
      </c>
      <c r="R1082" s="13">
        <f>L1082*Assumptions!$B$11+M1082*Assumptions!$B$12+N1082*Assumptions!$B$13+O1082*Assumptions!$B$14+P1082*Assumptions!$B$15+Q1082*Assumptions!$B$16</f>
        <v>0</v>
      </c>
      <c r="S1082" s="13" t="str">
        <f>IF(R1082&gt;=Assumptions!$B$20,"High",IF(R1082&gt;=Assumptions!$B$21,"Medium",IF(R1082&gt;=1,"Low","Clear")))</f>
        <v>Clear</v>
      </c>
      <c r="T1082" s="13" t="str">
        <f t="shared" si="84"/>
        <v/>
      </c>
    </row>
    <row r="1083" spans="1:20" x14ac:dyDescent="0.35">
      <c r="A1083" s="13" t="s">
        <v>4375</v>
      </c>
      <c r="B1083" s="13" t="s">
        <v>391</v>
      </c>
      <c r="C1083" s="13" t="s">
        <v>392</v>
      </c>
      <c r="D1083" s="13" t="s">
        <v>4376</v>
      </c>
      <c r="E1083" s="14">
        <v>46012</v>
      </c>
      <c r="F1083" s="14">
        <v>46041</v>
      </c>
      <c r="G1083" s="15">
        <v>13458.18</v>
      </c>
      <c r="H1083" s="13" t="s">
        <v>4377</v>
      </c>
      <c r="I1083" s="13" t="s">
        <v>4378</v>
      </c>
      <c r="J1083" s="13" t="s">
        <v>98</v>
      </c>
      <c r="K1083" s="13">
        <f t="shared" si="80"/>
        <v>1</v>
      </c>
      <c r="L1083" s="13">
        <f t="shared" si="81"/>
        <v>0</v>
      </c>
      <c r="M1083" s="13">
        <f>IF(AND(L1083=0,COUNTIFS($B$2:$B$1534,B1083,$G$2:$G$1534,G1083,$E$2:$E$1534,"&gt;="&amp;(E1083-Assumptions!$B$5),$E$2:$E$1534,"&lt;="&amp;(E1083+Assumptions!$B$5))&gt;1),1,0)</f>
        <v>0</v>
      </c>
      <c r="N1083" s="13">
        <f>IF(AND(G1083&gt;=Assumptions!$B$4*(1-Assumptions!$B$6),G1083&lt;Assumptions!$B$4),1,0)</f>
        <v>0</v>
      </c>
      <c r="O1083" s="13">
        <f>IF(AND(G1083&gt;=Assumptions!$B$7,MOD(G1083,Assumptions!$B$7)=0),1,0)</f>
        <v>0</v>
      </c>
      <c r="P1083" s="13">
        <f t="shared" si="82"/>
        <v>0</v>
      </c>
      <c r="Q1083" s="13">
        <f t="shared" si="83"/>
        <v>0</v>
      </c>
      <c r="R1083" s="13">
        <f>L1083*Assumptions!$B$11+M1083*Assumptions!$B$12+N1083*Assumptions!$B$13+O1083*Assumptions!$B$14+P1083*Assumptions!$B$15+Q1083*Assumptions!$B$16</f>
        <v>0</v>
      </c>
      <c r="S1083" s="13" t="str">
        <f>IF(R1083&gt;=Assumptions!$B$20,"High",IF(R1083&gt;=Assumptions!$B$21,"Medium",IF(R1083&gt;=1,"Low","Clear")))</f>
        <v>Clear</v>
      </c>
      <c r="T1083" s="13" t="str">
        <f t="shared" si="84"/>
        <v/>
      </c>
    </row>
    <row r="1084" spans="1:20" x14ac:dyDescent="0.35">
      <c r="A1084" s="13" t="s">
        <v>4379</v>
      </c>
      <c r="B1084" s="13" t="s">
        <v>228</v>
      </c>
      <c r="C1084" s="13" t="s">
        <v>229</v>
      </c>
      <c r="D1084" s="13" t="s">
        <v>4380</v>
      </c>
      <c r="E1084" s="14">
        <v>46014</v>
      </c>
      <c r="F1084" s="14">
        <v>46041</v>
      </c>
      <c r="G1084" s="15">
        <v>26210.58</v>
      </c>
      <c r="H1084" s="13" t="s">
        <v>4381</v>
      </c>
      <c r="I1084" s="13" t="s">
        <v>4382</v>
      </c>
      <c r="J1084" s="13" t="s">
        <v>170</v>
      </c>
      <c r="K1084" s="13">
        <f t="shared" si="80"/>
        <v>2</v>
      </c>
      <c r="L1084" s="13">
        <f t="shared" si="81"/>
        <v>0</v>
      </c>
      <c r="M1084" s="13">
        <f>IF(AND(L1084=0,COUNTIFS($B$2:$B$1534,B1084,$G$2:$G$1534,G1084,$E$2:$E$1534,"&gt;="&amp;(E1084-Assumptions!$B$5),$E$2:$E$1534,"&lt;="&amp;(E1084+Assumptions!$B$5))&gt;1),1,0)</f>
        <v>0</v>
      </c>
      <c r="N1084" s="13">
        <f>IF(AND(G1084&gt;=Assumptions!$B$4*(1-Assumptions!$B$6),G1084&lt;Assumptions!$B$4),1,0)</f>
        <v>0</v>
      </c>
      <c r="O1084" s="13">
        <f>IF(AND(G1084&gt;=Assumptions!$B$7,MOD(G1084,Assumptions!$B$7)=0),1,0)</f>
        <v>0</v>
      </c>
      <c r="P1084" s="13">
        <f t="shared" si="82"/>
        <v>0</v>
      </c>
      <c r="Q1084" s="13">
        <f t="shared" si="83"/>
        <v>0</v>
      </c>
      <c r="R1084" s="13">
        <f>L1084*Assumptions!$B$11+M1084*Assumptions!$B$12+N1084*Assumptions!$B$13+O1084*Assumptions!$B$14+P1084*Assumptions!$B$15+Q1084*Assumptions!$B$16</f>
        <v>0</v>
      </c>
      <c r="S1084" s="13" t="str">
        <f>IF(R1084&gt;=Assumptions!$B$20,"High",IF(R1084&gt;=Assumptions!$B$21,"Medium",IF(R1084&gt;=1,"Low","Clear")))</f>
        <v>Clear</v>
      </c>
      <c r="T1084" s="13" t="str">
        <f t="shared" si="84"/>
        <v/>
      </c>
    </row>
    <row r="1085" spans="1:20" x14ac:dyDescent="0.35">
      <c r="A1085" s="13" t="s">
        <v>4383</v>
      </c>
      <c r="B1085" s="13" t="s">
        <v>498</v>
      </c>
      <c r="C1085" s="13" t="s">
        <v>499</v>
      </c>
      <c r="D1085" s="13" t="s">
        <v>4384</v>
      </c>
      <c r="E1085" s="14">
        <v>46013</v>
      </c>
      <c r="F1085" s="14">
        <v>46041</v>
      </c>
      <c r="G1085" s="15">
        <v>987116.94</v>
      </c>
      <c r="H1085" s="13" t="s">
        <v>4385</v>
      </c>
      <c r="I1085" s="13" t="s">
        <v>4386</v>
      </c>
      <c r="J1085" s="13" t="s">
        <v>98</v>
      </c>
      <c r="K1085" s="13">
        <f t="shared" si="80"/>
        <v>9</v>
      </c>
      <c r="L1085" s="13">
        <f t="shared" si="81"/>
        <v>0</v>
      </c>
      <c r="M1085" s="13">
        <f>IF(AND(L1085=0,COUNTIFS($B$2:$B$1534,B1085,$G$2:$G$1534,G1085,$E$2:$E$1534,"&gt;="&amp;(E1085-Assumptions!$B$5),$E$2:$E$1534,"&lt;="&amp;(E1085+Assumptions!$B$5))&gt;1),1,0)</f>
        <v>0</v>
      </c>
      <c r="N1085" s="13">
        <f>IF(AND(G1085&gt;=Assumptions!$B$4*(1-Assumptions!$B$6),G1085&lt;Assumptions!$B$4),1,0)</f>
        <v>0</v>
      </c>
      <c r="O1085" s="13">
        <f>IF(AND(G1085&gt;=Assumptions!$B$7,MOD(G1085,Assumptions!$B$7)=0),1,0)</f>
        <v>0</v>
      </c>
      <c r="P1085" s="13">
        <f t="shared" si="82"/>
        <v>0</v>
      </c>
      <c r="Q1085" s="13">
        <f t="shared" si="83"/>
        <v>0</v>
      </c>
      <c r="R1085" s="13">
        <f>L1085*Assumptions!$B$11+M1085*Assumptions!$B$12+N1085*Assumptions!$B$13+O1085*Assumptions!$B$14+P1085*Assumptions!$B$15+Q1085*Assumptions!$B$16</f>
        <v>0</v>
      </c>
      <c r="S1085" s="13" t="str">
        <f>IF(R1085&gt;=Assumptions!$B$20,"High",IF(R1085&gt;=Assumptions!$B$21,"Medium",IF(R1085&gt;=1,"Low","Clear")))</f>
        <v>Clear</v>
      </c>
      <c r="T1085" s="13" t="str">
        <f t="shared" si="84"/>
        <v/>
      </c>
    </row>
    <row r="1086" spans="1:20" x14ac:dyDescent="0.35">
      <c r="A1086" s="13" t="s">
        <v>4387</v>
      </c>
      <c r="B1086" s="13" t="s">
        <v>252</v>
      </c>
      <c r="C1086" s="13" t="s">
        <v>253</v>
      </c>
      <c r="D1086" s="13" t="s">
        <v>4388</v>
      </c>
      <c r="E1086" s="14">
        <v>46012</v>
      </c>
      <c r="F1086" s="14">
        <v>46041</v>
      </c>
      <c r="G1086" s="15">
        <v>500104.93</v>
      </c>
      <c r="H1086" s="13" t="s">
        <v>4389</v>
      </c>
      <c r="I1086" s="13" t="s">
        <v>4390</v>
      </c>
      <c r="J1086" s="13" t="s">
        <v>136</v>
      </c>
      <c r="K1086" s="13">
        <f t="shared" si="80"/>
        <v>5</v>
      </c>
      <c r="L1086" s="13">
        <f t="shared" si="81"/>
        <v>0</v>
      </c>
      <c r="M1086" s="13">
        <f>IF(AND(L1086=0,COUNTIFS($B$2:$B$1534,B1086,$G$2:$G$1534,G1086,$E$2:$E$1534,"&gt;="&amp;(E1086-Assumptions!$B$5),$E$2:$E$1534,"&lt;="&amp;(E1086+Assumptions!$B$5))&gt;1),1,0)</f>
        <v>0</v>
      </c>
      <c r="N1086" s="13">
        <f>IF(AND(G1086&gt;=Assumptions!$B$4*(1-Assumptions!$B$6),G1086&lt;Assumptions!$B$4),1,0)</f>
        <v>0</v>
      </c>
      <c r="O1086" s="13">
        <f>IF(AND(G1086&gt;=Assumptions!$B$7,MOD(G1086,Assumptions!$B$7)=0),1,0)</f>
        <v>0</v>
      </c>
      <c r="P1086" s="13">
        <f t="shared" si="82"/>
        <v>0</v>
      </c>
      <c r="Q1086" s="13">
        <f t="shared" si="83"/>
        <v>0</v>
      </c>
      <c r="R1086" s="13">
        <f>L1086*Assumptions!$B$11+M1086*Assumptions!$B$12+N1086*Assumptions!$B$13+O1086*Assumptions!$B$14+P1086*Assumptions!$B$15+Q1086*Assumptions!$B$16</f>
        <v>0</v>
      </c>
      <c r="S1086" s="13" t="str">
        <f>IF(R1086&gt;=Assumptions!$B$20,"High",IF(R1086&gt;=Assumptions!$B$21,"Medium",IF(R1086&gt;=1,"Low","Clear")))</f>
        <v>Clear</v>
      </c>
      <c r="T1086" s="13" t="str">
        <f t="shared" si="84"/>
        <v/>
      </c>
    </row>
    <row r="1087" spans="1:20" x14ac:dyDescent="0.35">
      <c r="A1087" s="13" t="s">
        <v>4391</v>
      </c>
      <c r="B1087" s="13" t="s">
        <v>86</v>
      </c>
      <c r="C1087" s="13" t="s">
        <v>87</v>
      </c>
      <c r="D1087" s="13" t="s">
        <v>4392</v>
      </c>
      <c r="E1087" s="14">
        <v>46003</v>
      </c>
      <c r="F1087" s="14">
        <v>46041</v>
      </c>
      <c r="G1087" s="15">
        <v>25144.639999999999</v>
      </c>
      <c r="H1087" s="13" t="s">
        <v>4393</v>
      </c>
      <c r="I1087" s="13" t="s">
        <v>4394</v>
      </c>
      <c r="J1087" s="13" t="s">
        <v>111</v>
      </c>
      <c r="K1087" s="13">
        <f t="shared" si="80"/>
        <v>2</v>
      </c>
      <c r="L1087" s="13">
        <f t="shared" si="81"/>
        <v>0</v>
      </c>
      <c r="M1087" s="13">
        <f>IF(AND(L1087=0,COUNTIFS($B$2:$B$1534,B1087,$G$2:$G$1534,G1087,$E$2:$E$1534,"&gt;="&amp;(E1087-Assumptions!$B$5),$E$2:$E$1534,"&lt;="&amp;(E1087+Assumptions!$B$5))&gt;1),1,0)</f>
        <v>0</v>
      </c>
      <c r="N1087" s="13">
        <f>IF(AND(G1087&gt;=Assumptions!$B$4*(1-Assumptions!$B$6),G1087&lt;Assumptions!$B$4),1,0)</f>
        <v>0</v>
      </c>
      <c r="O1087" s="13">
        <f>IF(AND(G1087&gt;=Assumptions!$B$7,MOD(G1087,Assumptions!$B$7)=0),1,0)</f>
        <v>0</v>
      </c>
      <c r="P1087" s="13">
        <f t="shared" si="82"/>
        <v>0</v>
      </c>
      <c r="Q1087" s="13">
        <f t="shared" si="83"/>
        <v>0</v>
      </c>
      <c r="R1087" s="13">
        <f>L1087*Assumptions!$B$11+M1087*Assumptions!$B$12+N1087*Assumptions!$B$13+O1087*Assumptions!$B$14+P1087*Assumptions!$B$15+Q1087*Assumptions!$B$16</f>
        <v>0</v>
      </c>
      <c r="S1087" s="13" t="str">
        <f>IF(R1087&gt;=Assumptions!$B$20,"High",IF(R1087&gt;=Assumptions!$B$21,"Medium",IF(R1087&gt;=1,"Low","Clear")))</f>
        <v>Clear</v>
      </c>
      <c r="T1087" s="13" t="str">
        <f t="shared" si="84"/>
        <v/>
      </c>
    </row>
    <row r="1088" spans="1:20" x14ac:dyDescent="0.35">
      <c r="A1088" s="13" t="s">
        <v>4395</v>
      </c>
      <c r="B1088" s="13" t="s">
        <v>200</v>
      </c>
      <c r="C1088" s="13" t="s">
        <v>201</v>
      </c>
      <c r="D1088" s="13" t="s">
        <v>4396</v>
      </c>
      <c r="E1088" s="14">
        <v>46018</v>
      </c>
      <c r="F1088" s="14">
        <v>46041</v>
      </c>
      <c r="G1088" s="15">
        <v>10679.33</v>
      </c>
      <c r="H1088" s="13" t="s">
        <v>4397</v>
      </c>
      <c r="I1088" s="13" t="s">
        <v>4398</v>
      </c>
      <c r="J1088" s="13" t="s">
        <v>91</v>
      </c>
      <c r="K1088" s="13">
        <f t="shared" si="80"/>
        <v>1</v>
      </c>
      <c r="L1088" s="13">
        <f t="shared" si="81"/>
        <v>0</v>
      </c>
      <c r="M1088" s="13">
        <f>IF(AND(L1088=0,COUNTIFS($B$2:$B$1534,B1088,$G$2:$G$1534,G1088,$E$2:$E$1534,"&gt;="&amp;(E1088-Assumptions!$B$5),$E$2:$E$1534,"&lt;="&amp;(E1088+Assumptions!$B$5))&gt;1),1,0)</f>
        <v>0</v>
      </c>
      <c r="N1088" s="13">
        <f>IF(AND(G1088&gt;=Assumptions!$B$4*(1-Assumptions!$B$6),G1088&lt;Assumptions!$B$4),1,0)</f>
        <v>0</v>
      </c>
      <c r="O1088" s="13">
        <f>IF(AND(G1088&gt;=Assumptions!$B$7,MOD(G1088,Assumptions!$B$7)=0),1,0)</f>
        <v>0</v>
      </c>
      <c r="P1088" s="13">
        <f t="shared" si="82"/>
        <v>0</v>
      </c>
      <c r="Q1088" s="13">
        <f t="shared" si="83"/>
        <v>0</v>
      </c>
      <c r="R1088" s="13">
        <f>L1088*Assumptions!$B$11+M1088*Assumptions!$B$12+N1088*Assumptions!$B$13+O1088*Assumptions!$B$14+P1088*Assumptions!$B$15+Q1088*Assumptions!$B$16</f>
        <v>0</v>
      </c>
      <c r="S1088" s="13" t="str">
        <f>IF(R1088&gt;=Assumptions!$B$20,"High",IF(R1088&gt;=Assumptions!$B$21,"Medium",IF(R1088&gt;=1,"Low","Clear")))</f>
        <v>Clear</v>
      </c>
      <c r="T1088" s="13" t="str">
        <f t="shared" si="84"/>
        <v/>
      </c>
    </row>
    <row r="1089" spans="1:20" x14ac:dyDescent="0.35">
      <c r="A1089" s="13" t="s">
        <v>4399</v>
      </c>
      <c r="B1089" s="13" t="s">
        <v>680</v>
      </c>
      <c r="C1089" s="13" t="s">
        <v>681</v>
      </c>
      <c r="D1089" s="13" t="s">
        <v>4400</v>
      </c>
      <c r="E1089" s="14">
        <v>46006</v>
      </c>
      <c r="F1089" s="14">
        <v>46041</v>
      </c>
      <c r="G1089" s="15">
        <v>13170.49</v>
      </c>
      <c r="H1089" s="13" t="s">
        <v>4401</v>
      </c>
      <c r="I1089" s="13" t="s">
        <v>4402</v>
      </c>
      <c r="J1089" s="13" t="s">
        <v>136</v>
      </c>
      <c r="K1089" s="13">
        <f t="shared" si="80"/>
        <v>1</v>
      </c>
      <c r="L1089" s="13">
        <f t="shared" si="81"/>
        <v>0</v>
      </c>
      <c r="M1089" s="13">
        <f>IF(AND(L1089=0,COUNTIFS($B$2:$B$1534,B1089,$G$2:$G$1534,G1089,$E$2:$E$1534,"&gt;="&amp;(E1089-Assumptions!$B$5),$E$2:$E$1534,"&lt;="&amp;(E1089+Assumptions!$B$5))&gt;1),1,0)</f>
        <v>0</v>
      </c>
      <c r="N1089" s="13">
        <f>IF(AND(G1089&gt;=Assumptions!$B$4*(1-Assumptions!$B$6),G1089&lt;Assumptions!$B$4),1,0)</f>
        <v>0</v>
      </c>
      <c r="O1089" s="13">
        <f>IF(AND(G1089&gt;=Assumptions!$B$7,MOD(G1089,Assumptions!$B$7)=0),1,0)</f>
        <v>0</v>
      </c>
      <c r="P1089" s="13">
        <f t="shared" si="82"/>
        <v>0</v>
      </c>
      <c r="Q1089" s="13">
        <f t="shared" si="83"/>
        <v>0</v>
      </c>
      <c r="R1089" s="13">
        <f>L1089*Assumptions!$B$11+M1089*Assumptions!$B$12+N1089*Assumptions!$B$13+O1089*Assumptions!$B$14+P1089*Assumptions!$B$15+Q1089*Assumptions!$B$16</f>
        <v>0</v>
      </c>
      <c r="S1089" s="13" t="str">
        <f>IF(R1089&gt;=Assumptions!$B$20,"High",IF(R1089&gt;=Assumptions!$B$21,"Medium",IF(R1089&gt;=1,"Low","Clear")))</f>
        <v>Clear</v>
      </c>
      <c r="T1089" s="13" t="str">
        <f t="shared" si="84"/>
        <v/>
      </c>
    </row>
    <row r="1090" spans="1:20" x14ac:dyDescent="0.35">
      <c r="A1090" s="13" t="s">
        <v>4403</v>
      </c>
      <c r="B1090" s="13" t="s">
        <v>680</v>
      </c>
      <c r="C1090" s="13" t="s">
        <v>681</v>
      </c>
      <c r="D1090" s="13" t="s">
        <v>4404</v>
      </c>
      <c r="E1090" s="14">
        <v>46008</v>
      </c>
      <c r="F1090" s="14">
        <v>46041</v>
      </c>
      <c r="G1090" s="15">
        <v>228162.03</v>
      </c>
      <c r="H1090" s="13" t="s">
        <v>4405</v>
      </c>
      <c r="I1090" s="13" t="s">
        <v>4406</v>
      </c>
      <c r="J1090" s="13" t="s">
        <v>136</v>
      </c>
      <c r="K1090" s="13">
        <f t="shared" ref="K1090:K1153" si="85">VALUE(LEFT(TEXT(G1090,"0"),1))</f>
        <v>2</v>
      </c>
      <c r="L1090" s="13">
        <f t="shared" ref="L1090:L1153" si="86">IF(COUNTIFS($B$2:$B$1534,B1090,$D$2:$D$1534,D1090)&gt;1,1,0)</f>
        <v>0</v>
      </c>
      <c r="M1090" s="13">
        <f>IF(AND(L1090=0,COUNTIFS($B$2:$B$1534,B1090,$G$2:$G$1534,G1090,$E$2:$E$1534,"&gt;="&amp;(E1090-Assumptions!$B$5),$E$2:$E$1534,"&lt;="&amp;(E1090+Assumptions!$B$5))&gt;1),1,0)</f>
        <v>0</v>
      </c>
      <c r="N1090" s="13">
        <f>IF(AND(G1090&gt;=Assumptions!$B$4*(1-Assumptions!$B$6),G1090&lt;Assumptions!$B$4),1,0)</f>
        <v>0</v>
      </c>
      <c r="O1090" s="13">
        <f>IF(AND(G1090&gt;=Assumptions!$B$7,MOD(G1090,Assumptions!$B$7)=0),1,0)</f>
        <v>0</v>
      </c>
      <c r="P1090" s="13">
        <f t="shared" ref="P1090:P1153" si="87">IF(OR(H1090="",I1090=""),1,0)</f>
        <v>0</v>
      </c>
      <c r="Q1090" s="13">
        <f t="shared" ref="Q1090:Q1153" si="88">IF(WEEKDAY(F1090,2)&gt;5,1,0)</f>
        <v>0</v>
      </c>
      <c r="R1090" s="13">
        <f>L1090*Assumptions!$B$11+M1090*Assumptions!$B$12+N1090*Assumptions!$B$13+O1090*Assumptions!$B$14+P1090*Assumptions!$B$15+Q1090*Assumptions!$B$16</f>
        <v>0</v>
      </c>
      <c r="S1090" s="13" t="str">
        <f>IF(R1090&gt;=Assumptions!$B$20,"High",IF(R1090&gt;=Assumptions!$B$21,"Medium",IF(R1090&gt;=1,"Low","Clear")))</f>
        <v>Clear</v>
      </c>
      <c r="T1090" s="13" t="str">
        <f t="shared" ref="T1090:T1153" si="89">IF(R1090=0,"",IF(L1090=1,"Duplicate invoice; ","")&amp;IF(M1090=1,"Near-duplicate; ","")&amp;IF(N1090=1,"Just below limit; ","")&amp;IF(O1090=1,"Round amount; ","")&amp;IF(P1090=1,"No PO/GRN; ","")&amp;IF(Q1090=1,"Weekend payment; ",""))</f>
        <v/>
      </c>
    </row>
    <row r="1091" spans="1:20" x14ac:dyDescent="0.35">
      <c r="A1091" s="13" t="s">
        <v>4407</v>
      </c>
      <c r="B1091" s="13" t="s">
        <v>774</v>
      </c>
      <c r="C1091" s="13" t="s">
        <v>775</v>
      </c>
      <c r="D1091" s="13" t="s">
        <v>4408</v>
      </c>
      <c r="E1091" s="14">
        <v>46003</v>
      </c>
      <c r="F1091" s="14">
        <v>46041</v>
      </c>
      <c r="G1091" s="15">
        <v>92007.64</v>
      </c>
      <c r="H1091" s="13" t="s">
        <v>4409</v>
      </c>
      <c r="I1091" s="13" t="s">
        <v>4410</v>
      </c>
      <c r="J1091" s="13" t="s">
        <v>170</v>
      </c>
      <c r="K1091" s="13">
        <f t="shared" si="85"/>
        <v>9</v>
      </c>
      <c r="L1091" s="13">
        <f t="shared" si="86"/>
        <v>0</v>
      </c>
      <c r="M1091" s="13">
        <f>IF(AND(L1091=0,COUNTIFS($B$2:$B$1534,B1091,$G$2:$G$1534,G1091,$E$2:$E$1534,"&gt;="&amp;(E1091-Assumptions!$B$5),$E$2:$E$1534,"&lt;="&amp;(E1091+Assumptions!$B$5))&gt;1),1,0)</f>
        <v>0</v>
      </c>
      <c r="N1091" s="13">
        <f>IF(AND(G1091&gt;=Assumptions!$B$4*(1-Assumptions!$B$6),G1091&lt;Assumptions!$B$4),1,0)</f>
        <v>0</v>
      </c>
      <c r="O1091" s="13">
        <f>IF(AND(G1091&gt;=Assumptions!$B$7,MOD(G1091,Assumptions!$B$7)=0),1,0)</f>
        <v>0</v>
      </c>
      <c r="P1091" s="13">
        <f t="shared" si="87"/>
        <v>0</v>
      </c>
      <c r="Q1091" s="13">
        <f t="shared" si="88"/>
        <v>0</v>
      </c>
      <c r="R1091" s="13">
        <f>L1091*Assumptions!$B$11+M1091*Assumptions!$B$12+N1091*Assumptions!$B$13+O1091*Assumptions!$B$14+P1091*Assumptions!$B$15+Q1091*Assumptions!$B$16</f>
        <v>0</v>
      </c>
      <c r="S1091" s="13" t="str">
        <f>IF(R1091&gt;=Assumptions!$B$20,"High",IF(R1091&gt;=Assumptions!$B$21,"Medium",IF(R1091&gt;=1,"Low","Clear")))</f>
        <v>Clear</v>
      </c>
      <c r="T1091" s="13" t="str">
        <f t="shared" si="89"/>
        <v/>
      </c>
    </row>
    <row r="1092" spans="1:20" x14ac:dyDescent="0.35">
      <c r="A1092" s="13" t="s">
        <v>4411</v>
      </c>
      <c r="B1092" s="13" t="s">
        <v>234</v>
      </c>
      <c r="C1092" s="13" t="s">
        <v>235</v>
      </c>
      <c r="D1092" s="13" t="s">
        <v>4412</v>
      </c>
      <c r="E1092" s="14">
        <v>46001</v>
      </c>
      <c r="F1092" s="14">
        <v>46041</v>
      </c>
      <c r="G1092" s="15">
        <v>817734.41</v>
      </c>
      <c r="H1092" s="13" t="s">
        <v>4413</v>
      </c>
      <c r="I1092" s="13" t="s">
        <v>4414</v>
      </c>
      <c r="J1092" s="13" t="s">
        <v>170</v>
      </c>
      <c r="K1092" s="13">
        <f t="shared" si="85"/>
        <v>8</v>
      </c>
      <c r="L1092" s="13">
        <f t="shared" si="86"/>
        <v>0</v>
      </c>
      <c r="M1092" s="13">
        <f>IF(AND(L1092=0,COUNTIFS($B$2:$B$1534,B1092,$G$2:$G$1534,G1092,$E$2:$E$1534,"&gt;="&amp;(E1092-Assumptions!$B$5),$E$2:$E$1534,"&lt;="&amp;(E1092+Assumptions!$B$5))&gt;1),1,0)</f>
        <v>0</v>
      </c>
      <c r="N1092" s="13">
        <f>IF(AND(G1092&gt;=Assumptions!$B$4*(1-Assumptions!$B$6),G1092&lt;Assumptions!$B$4),1,0)</f>
        <v>0</v>
      </c>
      <c r="O1092" s="13">
        <f>IF(AND(G1092&gt;=Assumptions!$B$7,MOD(G1092,Assumptions!$B$7)=0),1,0)</f>
        <v>0</v>
      </c>
      <c r="P1092" s="13">
        <f t="shared" si="87"/>
        <v>0</v>
      </c>
      <c r="Q1092" s="13">
        <f t="shared" si="88"/>
        <v>0</v>
      </c>
      <c r="R1092" s="13">
        <f>L1092*Assumptions!$B$11+M1092*Assumptions!$B$12+N1092*Assumptions!$B$13+O1092*Assumptions!$B$14+P1092*Assumptions!$B$15+Q1092*Assumptions!$B$16</f>
        <v>0</v>
      </c>
      <c r="S1092" s="13" t="str">
        <f>IF(R1092&gt;=Assumptions!$B$20,"High",IF(R1092&gt;=Assumptions!$B$21,"Medium",IF(R1092&gt;=1,"Low","Clear")))</f>
        <v>Clear</v>
      </c>
      <c r="T1092" s="13" t="str">
        <f t="shared" si="89"/>
        <v/>
      </c>
    </row>
    <row r="1093" spans="1:20" x14ac:dyDescent="0.35">
      <c r="A1093" s="13" t="s">
        <v>4415</v>
      </c>
      <c r="B1093" s="13" t="s">
        <v>113</v>
      </c>
      <c r="C1093" s="13" t="s">
        <v>114</v>
      </c>
      <c r="D1093" s="13" t="s">
        <v>4416</v>
      </c>
      <c r="E1093" s="14">
        <v>46003</v>
      </c>
      <c r="F1093" s="14">
        <v>46041</v>
      </c>
      <c r="G1093" s="15">
        <v>784985.33</v>
      </c>
      <c r="H1093" s="13"/>
      <c r="I1093" s="13"/>
      <c r="J1093" s="13" t="s">
        <v>111</v>
      </c>
      <c r="K1093" s="13">
        <f t="shared" si="85"/>
        <v>7</v>
      </c>
      <c r="L1093" s="13">
        <f t="shared" si="86"/>
        <v>0</v>
      </c>
      <c r="M1093" s="13">
        <f>IF(AND(L1093=0,COUNTIFS($B$2:$B$1534,B1093,$G$2:$G$1534,G1093,$E$2:$E$1534,"&gt;="&amp;(E1093-Assumptions!$B$5),$E$2:$E$1534,"&lt;="&amp;(E1093+Assumptions!$B$5))&gt;1),1,0)</f>
        <v>0</v>
      </c>
      <c r="N1093" s="13">
        <f>IF(AND(G1093&gt;=Assumptions!$B$4*(1-Assumptions!$B$6),G1093&lt;Assumptions!$B$4),1,0)</f>
        <v>0</v>
      </c>
      <c r="O1093" s="13">
        <f>IF(AND(G1093&gt;=Assumptions!$B$7,MOD(G1093,Assumptions!$B$7)=0),1,0)</f>
        <v>0</v>
      </c>
      <c r="P1093" s="13">
        <f t="shared" si="87"/>
        <v>1</v>
      </c>
      <c r="Q1093" s="13">
        <f t="shared" si="88"/>
        <v>0</v>
      </c>
      <c r="R1093" s="13">
        <f>L1093*Assumptions!$B$11+M1093*Assumptions!$B$12+N1093*Assumptions!$B$13+O1093*Assumptions!$B$14+P1093*Assumptions!$B$15+Q1093*Assumptions!$B$16</f>
        <v>4</v>
      </c>
      <c r="S1093" s="13" t="str">
        <f>IF(R1093&gt;=Assumptions!$B$20,"High",IF(R1093&gt;=Assumptions!$B$21,"Medium",IF(R1093&gt;=1,"Low","Clear")))</f>
        <v>Medium</v>
      </c>
      <c r="T1093" s="13" t="str">
        <f t="shared" si="89"/>
        <v xml:space="preserve">No PO/GRN; </v>
      </c>
    </row>
    <row r="1094" spans="1:20" x14ac:dyDescent="0.35">
      <c r="A1094" s="13" t="s">
        <v>4417</v>
      </c>
      <c r="B1094" s="13" t="s">
        <v>307</v>
      </c>
      <c r="C1094" s="13" t="s">
        <v>308</v>
      </c>
      <c r="D1094" s="13" t="s">
        <v>4418</v>
      </c>
      <c r="E1094" s="14">
        <v>46014</v>
      </c>
      <c r="F1094" s="14">
        <v>46041</v>
      </c>
      <c r="G1094" s="15">
        <v>677084.28</v>
      </c>
      <c r="H1094" s="13" t="s">
        <v>4419</v>
      </c>
      <c r="I1094" s="13" t="s">
        <v>4420</v>
      </c>
      <c r="J1094" s="13" t="s">
        <v>98</v>
      </c>
      <c r="K1094" s="13">
        <f t="shared" si="85"/>
        <v>6</v>
      </c>
      <c r="L1094" s="13">
        <f t="shared" si="86"/>
        <v>0</v>
      </c>
      <c r="M1094" s="13">
        <f>IF(AND(L1094=0,COUNTIFS($B$2:$B$1534,B1094,$G$2:$G$1534,G1094,$E$2:$E$1534,"&gt;="&amp;(E1094-Assumptions!$B$5),$E$2:$E$1534,"&lt;="&amp;(E1094+Assumptions!$B$5))&gt;1),1,0)</f>
        <v>0</v>
      </c>
      <c r="N1094" s="13">
        <f>IF(AND(G1094&gt;=Assumptions!$B$4*(1-Assumptions!$B$6),G1094&lt;Assumptions!$B$4),1,0)</f>
        <v>0</v>
      </c>
      <c r="O1094" s="13">
        <f>IF(AND(G1094&gt;=Assumptions!$B$7,MOD(G1094,Assumptions!$B$7)=0),1,0)</f>
        <v>0</v>
      </c>
      <c r="P1094" s="13">
        <f t="shared" si="87"/>
        <v>0</v>
      </c>
      <c r="Q1094" s="13">
        <f t="shared" si="88"/>
        <v>0</v>
      </c>
      <c r="R1094" s="13">
        <f>L1094*Assumptions!$B$11+M1094*Assumptions!$B$12+N1094*Assumptions!$B$13+O1094*Assumptions!$B$14+P1094*Assumptions!$B$15+Q1094*Assumptions!$B$16</f>
        <v>0</v>
      </c>
      <c r="S1094" s="13" t="str">
        <f>IF(R1094&gt;=Assumptions!$B$20,"High",IF(R1094&gt;=Assumptions!$B$21,"Medium",IF(R1094&gt;=1,"Low","Clear")))</f>
        <v>Clear</v>
      </c>
      <c r="T1094" s="13" t="str">
        <f t="shared" si="89"/>
        <v/>
      </c>
    </row>
    <row r="1095" spans="1:20" x14ac:dyDescent="0.35">
      <c r="A1095" s="13" t="s">
        <v>4421</v>
      </c>
      <c r="B1095" s="13" t="s">
        <v>161</v>
      </c>
      <c r="C1095" s="13" t="s">
        <v>162</v>
      </c>
      <c r="D1095" s="13" t="s">
        <v>4422</v>
      </c>
      <c r="E1095" s="14">
        <v>46004</v>
      </c>
      <c r="F1095" s="14">
        <v>46041</v>
      </c>
      <c r="G1095" s="15">
        <v>1869.23</v>
      </c>
      <c r="H1095" s="13" t="s">
        <v>4423</v>
      </c>
      <c r="I1095" s="13" t="s">
        <v>4424</v>
      </c>
      <c r="J1095" s="13" t="s">
        <v>111</v>
      </c>
      <c r="K1095" s="13">
        <f t="shared" si="85"/>
        <v>1</v>
      </c>
      <c r="L1095" s="13">
        <f t="shared" si="86"/>
        <v>0</v>
      </c>
      <c r="M1095" s="13">
        <f>IF(AND(L1095=0,COUNTIFS($B$2:$B$1534,B1095,$G$2:$G$1534,G1095,$E$2:$E$1534,"&gt;="&amp;(E1095-Assumptions!$B$5),$E$2:$E$1534,"&lt;="&amp;(E1095+Assumptions!$B$5))&gt;1),1,0)</f>
        <v>0</v>
      </c>
      <c r="N1095" s="13">
        <f>IF(AND(G1095&gt;=Assumptions!$B$4*(1-Assumptions!$B$6),G1095&lt;Assumptions!$B$4),1,0)</f>
        <v>0</v>
      </c>
      <c r="O1095" s="13">
        <f>IF(AND(G1095&gt;=Assumptions!$B$7,MOD(G1095,Assumptions!$B$7)=0),1,0)</f>
        <v>0</v>
      </c>
      <c r="P1095" s="13">
        <f t="shared" si="87"/>
        <v>0</v>
      </c>
      <c r="Q1095" s="13">
        <f t="shared" si="88"/>
        <v>0</v>
      </c>
      <c r="R1095" s="13">
        <f>L1095*Assumptions!$B$11+M1095*Assumptions!$B$12+N1095*Assumptions!$B$13+O1095*Assumptions!$B$14+P1095*Assumptions!$B$15+Q1095*Assumptions!$B$16</f>
        <v>0</v>
      </c>
      <c r="S1095" s="13" t="str">
        <f>IF(R1095&gt;=Assumptions!$B$20,"High",IF(R1095&gt;=Assumptions!$B$21,"Medium",IF(R1095&gt;=1,"Low","Clear")))</f>
        <v>Clear</v>
      </c>
      <c r="T1095" s="13" t="str">
        <f t="shared" si="89"/>
        <v/>
      </c>
    </row>
    <row r="1096" spans="1:20" x14ac:dyDescent="0.35">
      <c r="A1096" s="13" t="s">
        <v>4425</v>
      </c>
      <c r="B1096" s="13" t="s">
        <v>476</v>
      </c>
      <c r="C1096" s="13" t="s">
        <v>477</v>
      </c>
      <c r="D1096" s="13" t="s">
        <v>4426</v>
      </c>
      <c r="E1096" s="14">
        <v>46005</v>
      </c>
      <c r="F1096" s="14">
        <v>46041</v>
      </c>
      <c r="G1096" s="15">
        <v>2966.87</v>
      </c>
      <c r="H1096" s="13" t="s">
        <v>4427</v>
      </c>
      <c r="I1096" s="13" t="s">
        <v>4428</v>
      </c>
      <c r="J1096" s="13" t="s">
        <v>143</v>
      </c>
      <c r="K1096" s="13">
        <f t="shared" si="85"/>
        <v>2</v>
      </c>
      <c r="L1096" s="13">
        <f t="shared" si="86"/>
        <v>0</v>
      </c>
      <c r="M1096" s="13">
        <f>IF(AND(L1096=0,COUNTIFS($B$2:$B$1534,B1096,$G$2:$G$1534,G1096,$E$2:$E$1534,"&gt;="&amp;(E1096-Assumptions!$B$5),$E$2:$E$1534,"&lt;="&amp;(E1096+Assumptions!$B$5))&gt;1),1,0)</f>
        <v>0</v>
      </c>
      <c r="N1096" s="13">
        <f>IF(AND(G1096&gt;=Assumptions!$B$4*(1-Assumptions!$B$6),G1096&lt;Assumptions!$B$4),1,0)</f>
        <v>0</v>
      </c>
      <c r="O1096" s="13">
        <f>IF(AND(G1096&gt;=Assumptions!$B$7,MOD(G1096,Assumptions!$B$7)=0),1,0)</f>
        <v>0</v>
      </c>
      <c r="P1096" s="13">
        <f t="shared" si="87"/>
        <v>0</v>
      </c>
      <c r="Q1096" s="13">
        <f t="shared" si="88"/>
        <v>0</v>
      </c>
      <c r="R1096" s="13">
        <f>L1096*Assumptions!$B$11+M1096*Assumptions!$B$12+N1096*Assumptions!$B$13+O1096*Assumptions!$B$14+P1096*Assumptions!$B$15+Q1096*Assumptions!$B$16</f>
        <v>0</v>
      </c>
      <c r="S1096" s="13" t="str">
        <f>IF(R1096&gt;=Assumptions!$B$20,"High",IF(R1096&gt;=Assumptions!$B$21,"Medium",IF(R1096&gt;=1,"Low","Clear")))</f>
        <v>Clear</v>
      </c>
      <c r="T1096" s="13" t="str">
        <f t="shared" si="89"/>
        <v/>
      </c>
    </row>
    <row r="1097" spans="1:20" x14ac:dyDescent="0.35">
      <c r="A1097" s="13" t="s">
        <v>4429</v>
      </c>
      <c r="B1097" s="13" t="s">
        <v>138</v>
      </c>
      <c r="C1097" s="13" t="s">
        <v>139</v>
      </c>
      <c r="D1097" s="13" t="s">
        <v>4430</v>
      </c>
      <c r="E1097" s="14">
        <v>46017</v>
      </c>
      <c r="F1097" s="14">
        <v>46041</v>
      </c>
      <c r="G1097" s="15">
        <v>25733.07</v>
      </c>
      <c r="H1097" s="13" t="s">
        <v>4431</v>
      </c>
      <c r="I1097" s="13" t="s">
        <v>4432</v>
      </c>
      <c r="J1097" s="13" t="s">
        <v>91</v>
      </c>
      <c r="K1097" s="13">
        <f t="shared" si="85"/>
        <v>2</v>
      </c>
      <c r="L1097" s="13">
        <f t="shared" si="86"/>
        <v>0</v>
      </c>
      <c r="M1097" s="13">
        <f>IF(AND(L1097=0,COUNTIFS($B$2:$B$1534,B1097,$G$2:$G$1534,G1097,$E$2:$E$1534,"&gt;="&amp;(E1097-Assumptions!$B$5),$E$2:$E$1534,"&lt;="&amp;(E1097+Assumptions!$B$5))&gt;1),1,0)</f>
        <v>0</v>
      </c>
      <c r="N1097" s="13">
        <f>IF(AND(G1097&gt;=Assumptions!$B$4*(1-Assumptions!$B$6),G1097&lt;Assumptions!$B$4),1,0)</f>
        <v>0</v>
      </c>
      <c r="O1097" s="13">
        <f>IF(AND(G1097&gt;=Assumptions!$B$7,MOD(G1097,Assumptions!$B$7)=0),1,0)</f>
        <v>0</v>
      </c>
      <c r="P1097" s="13">
        <f t="shared" si="87"/>
        <v>0</v>
      </c>
      <c r="Q1097" s="13">
        <f t="shared" si="88"/>
        <v>0</v>
      </c>
      <c r="R1097" s="13">
        <f>L1097*Assumptions!$B$11+M1097*Assumptions!$B$12+N1097*Assumptions!$B$13+O1097*Assumptions!$B$14+P1097*Assumptions!$B$15+Q1097*Assumptions!$B$16</f>
        <v>0</v>
      </c>
      <c r="S1097" s="13" t="str">
        <f>IF(R1097&gt;=Assumptions!$B$20,"High",IF(R1097&gt;=Assumptions!$B$21,"Medium",IF(R1097&gt;=1,"Low","Clear")))</f>
        <v>Clear</v>
      </c>
      <c r="T1097" s="13" t="str">
        <f t="shared" si="89"/>
        <v/>
      </c>
    </row>
    <row r="1098" spans="1:20" x14ac:dyDescent="0.35">
      <c r="A1098" s="13" t="s">
        <v>4433</v>
      </c>
      <c r="B1098" s="13" t="s">
        <v>438</v>
      </c>
      <c r="C1098" s="13" t="s">
        <v>439</v>
      </c>
      <c r="D1098" s="13" t="s">
        <v>4434</v>
      </c>
      <c r="E1098" s="14">
        <v>46021</v>
      </c>
      <c r="F1098" s="14">
        <v>46041</v>
      </c>
      <c r="G1098" s="15">
        <v>75997.490000000005</v>
      </c>
      <c r="H1098" s="13" t="s">
        <v>4435</v>
      </c>
      <c r="I1098" s="13" t="s">
        <v>4436</v>
      </c>
      <c r="J1098" s="13" t="s">
        <v>136</v>
      </c>
      <c r="K1098" s="13">
        <f t="shared" si="85"/>
        <v>7</v>
      </c>
      <c r="L1098" s="13">
        <f t="shared" si="86"/>
        <v>0</v>
      </c>
      <c r="M1098" s="13">
        <f>IF(AND(L1098=0,COUNTIFS($B$2:$B$1534,B1098,$G$2:$G$1534,G1098,$E$2:$E$1534,"&gt;="&amp;(E1098-Assumptions!$B$5),$E$2:$E$1534,"&lt;="&amp;(E1098+Assumptions!$B$5))&gt;1),1,0)</f>
        <v>0</v>
      </c>
      <c r="N1098" s="13">
        <f>IF(AND(G1098&gt;=Assumptions!$B$4*(1-Assumptions!$B$6),G1098&lt;Assumptions!$B$4),1,0)</f>
        <v>0</v>
      </c>
      <c r="O1098" s="13">
        <f>IF(AND(G1098&gt;=Assumptions!$B$7,MOD(G1098,Assumptions!$B$7)=0),1,0)</f>
        <v>0</v>
      </c>
      <c r="P1098" s="13">
        <f t="shared" si="87"/>
        <v>0</v>
      </c>
      <c r="Q1098" s="13">
        <f t="shared" si="88"/>
        <v>0</v>
      </c>
      <c r="R1098" s="13">
        <f>L1098*Assumptions!$B$11+M1098*Assumptions!$B$12+N1098*Assumptions!$B$13+O1098*Assumptions!$B$14+P1098*Assumptions!$B$15+Q1098*Assumptions!$B$16</f>
        <v>0</v>
      </c>
      <c r="S1098" s="13" t="str">
        <f>IF(R1098&gt;=Assumptions!$B$20,"High",IF(R1098&gt;=Assumptions!$B$21,"Medium",IF(R1098&gt;=1,"Low","Clear")))</f>
        <v>Clear</v>
      </c>
      <c r="T1098" s="13" t="str">
        <f t="shared" si="89"/>
        <v/>
      </c>
    </row>
    <row r="1099" spans="1:20" x14ac:dyDescent="0.35">
      <c r="A1099" s="13" t="s">
        <v>4437</v>
      </c>
      <c r="B1099" s="13" t="s">
        <v>145</v>
      </c>
      <c r="C1099" s="13" t="s">
        <v>146</v>
      </c>
      <c r="D1099" s="13" t="s">
        <v>4438</v>
      </c>
      <c r="E1099" s="14">
        <v>46014</v>
      </c>
      <c r="F1099" s="14">
        <v>46041</v>
      </c>
      <c r="G1099" s="15">
        <v>113749.1</v>
      </c>
      <c r="H1099" s="13" t="s">
        <v>4439</v>
      </c>
      <c r="I1099" s="13" t="s">
        <v>4440</v>
      </c>
      <c r="J1099" s="13" t="s">
        <v>170</v>
      </c>
      <c r="K1099" s="13">
        <f t="shared" si="85"/>
        <v>1</v>
      </c>
      <c r="L1099" s="13">
        <f t="shared" si="86"/>
        <v>0</v>
      </c>
      <c r="M1099" s="13">
        <f>IF(AND(L1099=0,COUNTIFS($B$2:$B$1534,B1099,$G$2:$G$1534,G1099,$E$2:$E$1534,"&gt;="&amp;(E1099-Assumptions!$B$5),$E$2:$E$1534,"&lt;="&amp;(E1099+Assumptions!$B$5))&gt;1),1,0)</f>
        <v>0</v>
      </c>
      <c r="N1099" s="13">
        <f>IF(AND(G1099&gt;=Assumptions!$B$4*(1-Assumptions!$B$6),G1099&lt;Assumptions!$B$4),1,0)</f>
        <v>0</v>
      </c>
      <c r="O1099" s="13">
        <f>IF(AND(G1099&gt;=Assumptions!$B$7,MOD(G1099,Assumptions!$B$7)=0),1,0)</f>
        <v>0</v>
      </c>
      <c r="P1099" s="13">
        <f t="shared" si="87"/>
        <v>0</v>
      </c>
      <c r="Q1099" s="13">
        <f t="shared" si="88"/>
        <v>0</v>
      </c>
      <c r="R1099" s="13">
        <f>L1099*Assumptions!$B$11+M1099*Assumptions!$B$12+N1099*Assumptions!$B$13+O1099*Assumptions!$B$14+P1099*Assumptions!$B$15+Q1099*Assumptions!$B$16</f>
        <v>0</v>
      </c>
      <c r="S1099" s="13" t="str">
        <f>IF(R1099&gt;=Assumptions!$B$20,"High",IF(R1099&gt;=Assumptions!$B$21,"Medium",IF(R1099&gt;=1,"Low","Clear")))</f>
        <v>Clear</v>
      </c>
      <c r="T1099" s="13" t="str">
        <f t="shared" si="89"/>
        <v/>
      </c>
    </row>
    <row r="1100" spans="1:20" x14ac:dyDescent="0.35">
      <c r="A1100" s="13" t="s">
        <v>4441</v>
      </c>
      <c r="B1100" s="13" t="s">
        <v>357</v>
      </c>
      <c r="C1100" s="13" t="s">
        <v>358</v>
      </c>
      <c r="D1100" s="13" t="s">
        <v>4442</v>
      </c>
      <c r="E1100" s="14">
        <v>46006</v>
      </c>
      <c r="F1100" s="14">
        <v>46041</v>
      </c>
      <c r="G1100" s="15">
        <v>310246.94</v>
      </c>
      <c r="H1100" s="13" t="s">
        <v>4443</v>
      </c>
      <c r="I1100" s="13" t="s">
        <v>4444</v>
      </c>
      <c r="J1100" s="13" t="s">
        <v>143</v>
      </c>
      <c r="K1100" s="13">
        <f t="shared" si="85"/>
        <v>3</v>
      </c>
      <c r="L1100" s="13">
        <f t="shared" si="86"/>
        <v>0</v>
      </c>
      <c r="M1100" s="13">
        <f>IF(AND(L1100=0,COUNTIFS($B$2:$B$1534,B1100,$G$2:$G$1534,G1100,$E$2:$E$1534,"&gt;="&amp;(E1100-Assumptions!$B$5),$E$2:$E$1534,"&lt;="&amp;(E1100+Assumptions!$B$5))&gt;1),1,0)</f>
        <v>0</v>
      </c>
      <c r="N1100" s="13">
        <f>IF(AND(G1100&gt;=Assumptions!$B$4*(1-Assumptions!$B$6),G1100&lt;Assumptions!$B$4),1,0)</f>
        <v>0</v>
      </c>
      <c r="O1100" s="13">
        <f>IF(AND(G1100&gt;=Assumptions!$B$7,MOD(G1100,Assumptions!$B$7)=0),1,0)</f>
        <v>0</v>
      </c>
      <c r="P1100" s="13">
        <f t="shared" si="87"/>
        <v>0</v>
      </c>
      <c r="Q1100" s="13">
        <f t="shared" si="88"/>
        <v>0</v>
      </c>
      <c r="R1100" s="13">
        <f>L1100*Assumptions!$B$11+M1100*Assumptions!$B$12+N1100*Assumptions!$B$13+O1100*Assumptions!$B$14+P1100*Assumptions!$B$15+Q1100*Assumptions!$B$16</f>
        <v>0</v>
      </c>
      <c r="S1100" s="13" t="str">
        <f>IF(R1100&gt;=Assumptions!$B$20,"High",IF(R1100&gt;=Assumptions!$B$21,"Medium",IF(R1100&gt;=1,"Low","Clear")))</f>
        <v>Clear</v>
      </c>
      <c r="T1100" s="13" t="str">
        <f t="shared" si="89"/>
        <v/>
      </c>
    </row>
    <row r="1101" spans="1:20" x14ac:dyDescent="0.35">
      <c r="A1101" s="13" t="s">
        <v>4445</v>
      </c>
      <c r="B1101" s="13" t="s">
        <v>182</v>
      </c>
      <c r="C1101" s="13" t="s">
        <v>183</v>
      </c>
      <c r="D1101" s="13" t="s">
        <v>4446</v>
      </c>
      <c r="E1101" s="14">
        <v>46002</v>
      </c>
      <c r="F1101" s="14">
        <v>46042</v>
      </c>
      <c r="G1101" s="15">
        <v>43324.39</v>
      </c>
      <c r="H1101" s="13" t="s">
        <v>4447</v>
      </c>
      <c r="I1101" s="13" t="s">
        <v>4448</v>
      </c>
      <c r="J1101" s="13" t="s">
        <v>98</v>
      </c>
      <c r="K1101" s="13">
        <f t="shared" si="85"/>
        <v>4</v>
      </c>
      <c r="L1101" s="13">
        <f t="shared" si="86"/>
        <v>0</v>
      </c>
      <c r="M1101" s="13">
        <f>IF(AND(L1101=0,COUNTIFS($B$2:$B$1534,B1101,$G$2:$G$1534,G1101,$E$2:$E$1534,"&gt;="&amp;(E1101-Assumptions!$B$5),$E$2:$E$1534,"&lt;="&amp;(E1101+Assumptions!$B$5))&gt;1),1,0)</f>
        <v>0</v>
      </c>
      <c r="N1101" s="13">
        <f>IF(AND(G1101&gt;=Assumptions!$B$4*(1-Assumptions!$B$6),G1101&lt;Assumptions!$B$4),1,0)</f>
        <v>0</v>
      </c>
      <c r="O1101" s="13">
        <f>IF(AND(G1101&gt;=Assumptions!$B$7,MOD(G1101,Assumptions!$B$7)=0),1,0)</f>
        <v>0</v>
      </c>
      <c r="P1101" s="13">
        <f t="shared" si="87"/>
        <v>0</v>
      </c>
      <c r="Q1101" s="13">
        <f t="shared" si="88"/>
        <v>0</v>
      </c>
      <c r="R1101" s="13">
        <f>L1101*Assumptions!$B$11+M1101*Assumptions!$B$12+N1101*Assumptions!$B$13+O1101*Assumptions!$B$14+P1101*Assumptions!$B$15+Q1101*Assumptions!$B$16</f>
        <v>0</v>
      </c>
      <c r="S1101" s="13" t="str">
        <f>IF(R1101&gt;=Assumptions!$B$20,"High",IF(R1101&gt;=Assumptions!$B$21,"Medium",IF(R1101&gt;=1,"Low","Clear")))</f>
        <v>Clear</v>
      </c>
      <c r="T1101" s="13" t="str">
        <f t="shared" si="89"/>
        <v/>
      </c>
    </row>
    <row r="1102" spans="1:20" x14ac:dyDescent="0.35">
      <c r="A1102" s="13" t="s">
        <v>4449</v>
      </c>
      <c r="B1102" s="13" t="s">
        <v>200</v>
      </c>
      <c r="C1102" s="13" t="s">
        <v>201</v>
      </c>
      <c r="D1102" s="13" t="s">
        <v>4450</v>
      </c>
      <c r="E1102" s="14">
        <v>46003</v>
      </c>
      <c r="F1102" s="14">
        <v>46042</v>
      </c>
      <c r="G1102" s="15">
        <v>709404.91</v>
      </c>
      <c r="H1102" s="13" t="s">
        <v>4451</v>
      </c>
      <c r="I1102" s="13" t="s">
        <v>4452</v>
      </c>
      <c r="J1102" s="13" t="s">
        <v>170</v>
      </c>
      <c r="K1102" s="13">
        <f t="shared" si="85"/>
        <v>7</v>
      </c>
      <c r="L1102" s="13">
        <f t="shared" si="86"/>
        <v>0</v>
      </c>
      <c r="M1102" s="13">
        <f>IF(AND(L1102=0,COUNTIFS($B$2:$B$1534,B1102,$G$2:$G$1534,G1102,$E$2:$E$1534,"&gt;="&amp;(E1102-Assumptions!$B$5),$E$2:$E$1534,"&lt;="&amp;(E1102+Assumptions!$B$5))&gt;1),1,0)</f>
        <v>0</v>
      </c>
      <c r="N1102" s="13">
        <f>IF(AND(G1102&gt;=Assumptions!$B$4*(1-Assumptions!$B$6),G1102&lt;Assumptions!$B$4),1,0)</f>
        <v>0</v>
      </c>
      <c r="O1102" s="13">
        <f>IF(AND(G1102&gt;=Assumptions!$B$7,MOD(G1102,Assumptions!$B$7)=0),1,0)</f>
        <v>0</v>
      </c>
      <c r="P1102" s="13">
        <f t="shared" si="87"/>
        <v>0</v>
      </c>
      <c r="Q1102" s="13">
        <f t="shared" si="88"/>
        <v>0</v>
      </c>
      <c r="R1102" s="13">
        <f>L1102*Assumptions!$B$11+M1102*Assumptions!$B$12+N1102*Assumptions!$B$13+O1102*Assumptions!$B$14+P1102*Assumptions!$B$15+Q1102*Assumptions!$B$16</f>
        <v>0</v>
      </c>
      <c r="S1102" s="13" t="str">
        <f>IF(R1102&gt;=Assumptions!$B$20,"High",IF(R1102&gt;=Assumptions!$B$21,"Medium",IF(R1102&gt;=1,"Low","Clear")))</f>
        <v>Clear</v>
      </c>
      <c r="T1102" s="13" t="str">
        <f t="shared" si="89"/>
        <v/>
      </c>
    </row>
    <row r="1103" spans="1:20" x14ac:dyDescent="0.35">
      <c r="A1103" s="13" t="s">
        <v>4453</v>
      </c>
      <c r="B1103" s="13" t="s">
        <v>317</v>
      </c>
      <c r="C1103" s="13" t="s">
        <v>318</v>
      </c>
      <c r="D1103" s="13" t="s">
        <v>4454</v>
      </c>
      <c r="E1103" s="14">
        <v>46018</v>
      </c>
      <c r="F1103" s="14">
        <v>46042</v>
      </c>
      <c r="G1103" s="15">
        <v>152606.99</v>
      </c>
      <c r="H1103" s="13" t="s">
        <v>4455</v>
      </c>
      <c r="I1103" s="13" t="s">
        <v>4456</v>
      </c>
      <c r="J1103" s="13" t="s">
        <v>111</v>
      </c>
      <c r="K1103" s="13">
        <f t="shared" si="85"/>
        <v>1</v>
      </c>
      <c r="L1103" s="13">
        <f t="shared" si="86"/>
        <v>0</v>
      </c>
      <c r="M1103" s="13">
        <f>IF(AND(L1103=0,COUNTIFS($B$2:$B$1534,B1103,$G$2:$G$1534,G1103,$E$2:$E$1534,"&gt;="&amp;(E1103-Assumptions!$B$5),$E$2:$E$1534,"&lt;="&amp;(E1103+Assumptions!$B$5))&gt;1),1,0)</f>
        <v>0</v>
      </c>
      <c r="N1103" s="13">
        <f>IF(AND(G1103&gt;=Assumptions!$B$4*(1-Assumptions!$B$6),G1103&lt;Assumptions!$B$4),1,0)</f>
        <v>0</v>
      </c>
      <c r="O1103" s="13">
        <f>IF(AND(G1103&gt;=Assumptions!$B$7,MOD(G1103,Assumptions!$B$7)=0),1,0)</f>
        <v>0</v>
      </c>
      <c r="P1103" s="13">
        <f t="shared" si="87"/>
        <v>0</v>
      </c>
      <c r="Q1103" s="13">
        <f t="shared" si="88"/>
        <v>0</v>
      </c>
      <c r="R1103" s="13">
        <f>L1103*Assumptions!$B$11+M1103*Assumptions!$B$12+N1103*Assumptions!$B$13+O1103*Assumptions!$B$14+P1103*Assumptions!$B$15+Q1103*Assumptions!$B$16</f>
        <v>0</v>
      </c>
      <c r="S1103" s="13" t="str">
        <f>IF(R1103&gt;=Assumptions!$B$20,"High",IF(R1103&gt;=Assumptions!$B$21,"Medium",IF(R1103&gt;=1,"Low","Clear")))</f>
        <v>Clear</v>
      </c>
      <c r="T1103" s="13" t="str">
        <f t="shared" si="89"/>
        <v/>
      </c>
    </row>
    <row r="1104" spans="1:20" x14ac:dyDescent="0.35">
      <c r="A1104" s="13" t="s">
        <v>4457</v>
      </c>
      <c r="B1104" s="13" t="s">
        <v>106</v>
      </c>
      <c r="C1104" s="13" t="s">
        <v>107</v>
      </c>
      <c r="D1104" s="13" t="s">
        <v>4458</v>
      </c>
      <c r="E1104" s="14">
        <v>46022</v>
      </c>
      <c r="F1104" s="14">
        <v>46042</v>
      </c>
      <c r="G1104" s="15">
        <v>4214.8999999999996</v>
      </c>
      <c r="H1104" s="13" t="s">
        <v>4459</v>
      </c>
      <c r="I1104" s="13" t="s">
        <v>4460</v>
      </c>
      <c r="J1104" s="13" t="s">
        <v>170</v>
      </c>
      <c r="K1104" s="13">
        <f t="shared" si="85"/>
        <v>4</v>
      </c>
      <c r="L1104" s="13">
        <f t="shared" si="86"/>
        <v>0</v>
      </c>
      <c r="M1104" s="13">
        <f>IF(AND(L1104=0,COUNTIFS($B$2:$B$1534,B1104,$G$2:$G$1534,G1104,$E$2:$E$1534,"&gt;="&amp;(E1104-Assumptions!$B$5),$E$2:$E$1534,"&lt;="&amp;(E1104+Assumptions!$B$5))&gt;1),1,0)</f>
        <v>0</v>
      </c>
      <c r="N1104" s="13">
        <f>IF(AND(G1104&gt;=Assumptions!$B$4*(1-Assumptions!$B$6),G1104&lt;Assumptions!$B$4),1,0)</f>
        <v>0</v>
      </c>
      <c r="O1104" s="13">
        <f>IF(AND(G1104&gt;=Assumptions!$B$7,MOD(G1104,Assumptions!$B$7)=0),1,0)</f>
        <v>0</v>
      </c>
      <c r="P1104" s="13">
        <f t="shared" si="87"/>
        <v>0</v>
      </c>
      <c r="Q1104" s="13">
        <f t="shared" si="88"/>
        <v>0</v>
      </c>
      <c r="R1104" s="13">
        <f>L1104*Assumptions!$B$11+M1104*Assumptions!$B$12+N1104*Assumptions!$B$13+O1104*Assumptions!$B$14+P1104*Assumptions!$B$15+Q1104*Assumptions!$B$16</f>
        <v>0</v>
      </c>
      <c r="S1104" s="13" t="str">
        <f>IF(R1104&gt;=Assumptions!$B$20,"High",IF(R1104&gt;=Assumptions!$B$21,"Medium",IF(R1104&gt;=1,"Low","Clear")))</f>
        <v>Clear</v>
      </c>
      <c r="T1104" s="13" t="str">
        <f t="shared" si="89"/>
        <v/>
      </c>
    </row>
    <row r="1105" spans="1:20" x14ac:dyDescent="0.35">
      <c r="A1105" s="13" t="s">
        <v>4461</v>
      </c>
      <c r="B1105" s="13" t="s">
        <v>293</v>
      </c>
      <c r="C1105" s="13" t="s">
        <v>294</v>
      </c>
      <c r="D1105" s="13" t="s">
        <v>4462</v>
      </c>
      <c r="E1105" s="14">
        <v>46005</v>
      </c>
      <c r="F1105" s="14">
        <v>46043</v>
      </c>
      <c r="G1105" s="15">
        <v>502765.17</v>
      </c>
      <c r="H1105" s="13" t="s">
        <v>4463</v>
      </c>
      <c r="I1105" s="13" t="s">
        <v>4464</v>
      </c>
      <c r="J1105" s="13" t="s">
        <v>91</v>
      </c>
      <c r="K1105" s="13">
        <f t="shared" si="85"/>
        <v>5</v>
      </c>
      <c r="L1105" s="13">
        <f t="shared" si="86"/>
        <v>0</v>
      </c>
      <c r="M1105" s="13">
        <f>IF(AND(L1105=0,COUNTIFS($B$2:$B$1534,B1105,$G$2:$G$1534,G1105,$E$2:$E$1534,"&gt;="&amp;(E1105-Assumptions!$B$5),$E$2:$E$1534,"&lt;="&amp;(E1105+Assumptions!$B$5))&gt;1),1,0)</f>
        <v>0</v>
      </c>
      <c r="N1105" s="13">
        <f>IF(AND(G1105&gt;=Assumptions!$B$4*(1-Assumptions!$B$6),G1105&lt;Assumptions!$B$4),1,0)</f>
        <v>0</v>
      </c>
      <c r="O1105" s="13">
        <f>IF(AND(G1105&gt;=Assumptions!$B$7,MOD(G1105,Assumptions!$B$7)=0),1,0)</f>
        <v>0</v>
      </c>
      <c r="P1105" s="13">
        <f t="shared" si="87"/>
        <v>0</v>
      </c>
      <c r="Q1105" s="13">
        <f t="shared" si="88"/>
        <v>0</v>
      </c>
      <c r="R1105" s="13">
        <f>L1105*Assumptions!$B$11+M1105*Assumptions!$B$12+N1105*Assumptions!$B$13+O1105*Assumptions!$B$14+P1105*Assumptions!$B$15+Q1105*Assumptions!$B$16</f>
        <v>0</v>
      </c>
      <c r="S1105" s="13" t="str">
        <f>IF(R1105&gt;=Assumptions!$B$20,"High",IF(R1105&gt;=Assumptions!$B$21,"Medium",IF(R1105&gt;=1,"Low","Clear")))</f>
        <v>Clear</v>
      </c>
      <c r="T1105" s="13" t="str">
        <f t="shared" si="89"/>
        <v/>
      </c>
    </row>
    <row r="1106" spans="1:20" x14ac:dyDescent="0.35">
      <c r="A1106" s="13" t="s">
        <v>4465</v>
      </c>
      <c r="B1106" s="13" t="s">
        <v>391</v>
      </c>
      <c r="C1106" s="13" t="s">
        <v>392</v>
      </c>
      <c r="D1106" s="13" t="s">
        <v>4466</v>
      </c>
      <c r="E1106" s="14">
        <v>46023</v>
      </c>
      <c r="F1106" s="14">
        <v>46043</v>
      </c>
      <c r="G1106" s="15">
        <v>476120.17</v>
      </c>
      <c r="H1106" s="13" t="s">
        <v>4467</v>
      </c>
      <c r="I1106" s="13" t="s">
        <v>4468</v>
      </c>
      <c r="J1106" s="13" t="s">
        <v>136</v>
      </c>
      <c r="K1106" s="13">
        <f t="shared" si="85"/>
        <v>4</v>
      </c>
      <c r="L1106" s="13">
        <f t="shared" si="86"/>
        <v>0</v>
      </c>
      <c r="M1106" s="13">
        <f>IF(AND(L1106=0,COUNTIFS($B$2:$B$1534,B1106,$G$2:$G$1534,G1106,$E$2:$E$1534,"&gt;="&amp;(E1106-Assumptions!$B$5),$E$2:$E$1534,"&lt;="&amp;(E1106+Assumptions!$B$5))&gt;1),1,0)</f>
        <v>0</v>
      </c>
      <c r="N1106" s="13">
        <f>IF(AND(G1106&gt;=Assumptions!$B$4*(1-Assumptions!$B$6),G1106&lt;Assumptions!$B$4),1,0)</f>
        <v>0</v>
      </c>
      <c r="O1106" s="13">
        <f>IF(AND(G1106&gt;=Assumptions!$B$7,MOD(G1106,Assumptions!$B$7)=0),1,0)</f>
        <v>0</v>
      </c>
      <c r="P1106" s="13">
        <f t="shared" si="87"/>
        <v>0</v>
      </c>
      <c r="Q1106" s="13">
        <f t="shared" si="88"/>
        <v>0</v>
      </c>
      <c r="R1106" s="13">
        <f>L1106*Assumptions!$B$11+M1106*Assumptions!$B$12+N1106*Assumptions!$B$13+O1106*Assumptions!$B$14+P1106*Assumptions!$B$15+Q1106*Assumptions!$B$16</f>
        <v>0</v>
      </c>
      <c r="S1106" s="13" t="str">
        <f>IF(R1106&gt;=Assumptions!$B$20,"High",IF(R1106&gt;=Assumptions!$B$21,"Medium",IF(R1106&gt;=1,"Low","Clear")))</f>
        <v>Clear</v>
      </c>
      <c r="T1106" s="13" t="str">
        <f t="shared" si="89"/>
        <v/>
      </c>
    </row>
    <row r="1107" spans="1:20" x14ac:dyDescent="0.35">
      <c r="A1107" s="13" t="s">
        <v>4469</v>
      </c>
      <c r="B1107" s="13" t="s">
        <v>113</v>
      </c>
      <c r="C1107" s="13" t="s">
        <v>114</v>
      </c>
      <c r="D1107" s="13" t="s">
        <v>4470</v>
      </c>
      <c r="E1107" s="14">
        <v>46011</v>
      </c>
      <c r="F1107" s="14">
        <v>46043</v>
      </c>
      <c r="G1107" s="15">
        <v>927615.73</v>
      </c>
      <c r="H1107" s="13" t="s">
        <v>4471</v>
      </c>
      <c r="I1107" s="13" t="s">
        <v>4472</v>
      </c>
      <c r="J1107" s="13" t="s">
        <v>170</v>
      </c>
      <c r="K1107" s="13">
        <f t="shared" si="85"/>
        <v>9</v>
      </c>
      <c r="L1107" s="13">
        <f t="shared" si="86"/>
        <v>0</v>
      </c>
      <c r="M1107" s="13">
        <f>IF(AND(L1107=0,COUNTIFS($B$2:$B$1534,B1107,$G$2:$G$1534,G1107,$E$2:$E$1534,"&gt;="&amp;(E1107-Assumptions!$B$5),$E$2:$E$1534,"&lt;="&amp;(E1107+Assumptions!$B$5))&gt;1),1,0)</f>
        <v>0</v>
      </c>
      <c r="N1107" s="13">
        <f>IF(AND(G1107&gt;=Assumptions!$B$4*(1-Assumptions!$B$6),G1107&lt;Assumptions!$B$4),1,0)</f>
        <v>0</v>
      </c>
      <c r="O1107" s="13">
        <f>IF(AND(G1107&gt;=Assumptions!$B$7,MOD(G1107,Assumptions!$B$7)=0),1,0)</f>
        <v>0</v>
      </c>
      <c r="P1107" s="13">
        <f t="shared" si="87"/>
        <v>0</v>
      </c>
      <c r="Q1107" s="13">
        <f t="shared" si="88"/>
        <v>0</v>
      </c>
      <c r="R1107" s="13">
        <f>L1107*Assumptions!$B$11+M1107*Assumptions!$B$12+N1107*Assumptions!$B$13+O1107*Assumptions!$B$14+P1107*Assumptions!$B$15+Q1107*Assumptions!$B$16</f>
        <v>0</v>
      </c>
      <c r="S1107" s="13" t="str">
        <f>IF(R1107&gt;=Assumptions!$B$20,"High",IF(R1107&gt;=Assumptions!$B$21,"Medium",IF(R1107&gt;=1,"Low","Clear")))</f>
        <v>Clear</v>
      </c>
      <c r="T1107" s="13" t="str">
        <f t="shared" si="89"/>
        <v/>
      </c>
    </row>
    <row r="1108" spans="1:20" x14ac:dyDescent="0.35">
      <c r="A1108" s="13" t="s">
        <v>4473</v>
      </c>
      <c r="B1108" s="13" t="s">
        <v>100</v>
      </c>
      <c r="C1108" s="13" t="s">
        <v>101</v>
      </c>
      <c r="D1108" s="13" t="s">
        <v>4474</v>
      </c>
      <c r="E1108" s="14">
        <v>46012</v>
      </c>
      <c r="F1108" s="14">
        <v>46043</v>
      </c>
      <c r="G1108" s="15">
        <v>290437.15999999997</v>
      </c>
      <c r="H1108" s="13" t="s">
        <v>4475</v>
      </c>
      <c r="I1108" s="13" t="s">
        <v>4476</v>
      </c>
      <c r="J1108" s="13" t="s">
        <v>111</v>
      </c>
      <c r="K1108" s="13">
        <f t="shared" si="85"/>
        <v>2</v>
      </c>
      <c r="L1108" s="13">
        <f t="shared" si="86"/>
        <v>0</v>
      </c>
      <c r="M1108" s="13">
        <f>IF(AND(L1108=0,COUNTIFS($B$2:$B$1534,B1108,$G$2:$G$1534,G1108,$E$2:$E$1534,"&gt;="&amp;(E1108-Assumptions!$B$5),$E$2:$E$1534,"&lt;="&amp;(E1108+Assumptions!$B$5))&gt;1),1,0)</f>
        <v>0</v>
      </c>
      <c r="N1108" s="13">
        <f>IF(AND(G1108&gt;=Assumptions!$B$4*(1-Assumptions!$B$6),G1108&lt;Assumptions!$B$4),1,0)</f>
        <v>0</v>
      </c>
      <c r="O1108" s="13">
        <f>IF(AND(G1108&gt;=Assumptions!$B$7,MOD(G1108,Assumptions!$B$7)=0),1,0)</f>
        <v>0</v>
      </c>
      <c r="P1108" s="13">
        <f t="shared" si="87"/>
        <v>0</v>
      </c>
      <c r="Q1108" s="13">
        <f t="shared" si="88"/>
        <v>0</v>
      </c>
      <c r="R1108" s="13">
        <f>L1108*Assumptions!$B$11+M1108*Assumptions!$B$12+N1108*Assumptions!$B$13+O1108*Assumptions!$B$14+P1108*Assumptions!$B$15+Q1108*Assumptions!$B$16</f>
        <v>0</v>
      </c>
      <c r="S1108" s="13" t="str">
        <f>IF(R1108&gt;=Assumptions!$B$20,"High",IF(R1108&gt;=Assumptions!$B$21,"Medium",IF(R1108&gt;=1,"Low","Clear")))</f>
        <v>Clear</v>
      </c>
      <c r="T1108" s="13" t="str">
        <f t="shared" si="89"/>
        <v/>
      </c>
    </row>
    <row r="1109" spans="1:20" x14ac:dyDescent="0.35">
      <c r="A1109" s="13" t="s">
        <v>4477</v>
      </c>
      <c r="B1109" s="13" t="s">
        <v>680</v>
      </c>
      <c r="C1109" s="13" t="s">
        <v>681</v>
      </c>
      <c r="D1109" s="13" t="s">
        <v>4478</v>
      </c>
      <c r="E1109" s="14">
        <v>46009</v>
      </c>
      <c r="F1109" s="14">
        <v>46044</v>
      </c>
      <c r="G1109" s="15">
        <v>240550.46</v>
      </c>
      <c r="H1109" s="13" t="s">
        <v>4479</v>
      </c>
      <c r="I1109" s="13" t="s">
        <v>4480</v>
      </c>
      <c r="J1109" s="13" t="s">
        <v>136</v>
      </c>
      <c r="K1109" s="13">
        <f t="shared" si="85"/>
        <v>2</v>
      </c>
      <c r="L1109" s="13">
        <f t="shared" si="86"/>
        <v>0</v>
      </c>
      <c r="M1109" s="13">
        <f>IF(AND(L1109=0,COUNTIFS($B$2:$B$1534,B1109,$G$2:$G$1534,G1109,$E$2:$E$1534,"&gt;="&amp;(E1109-Assumptions!$B$5),$E$2:$E$1534,"&lt;="&amp;(E1109+Assumptions!$B$5))&gt;1),1,0)</f>
        <v>0</v>
      </c>
      <c r="N1109" s="13">
        <f>IF(AND(G1109&gt;=Assumptions!$B$4*(1-Assumptions!$B$6),G1109&lt;Assumptions!$B$4),1,0)</f>
        <v>0</v>
      </c>
      <c r="O1109" s="13">
        <f>IF(AND(G1109&gt;=Assumptions!$B$7,MOD(G1109,Assumptions!$B$7)=0),1,0)</f>
        <v>0</v>
      </c>
      <c r="P1109" s="13">
        <f t="shared" si="87"/>
        <v>0</v>
      </c>
      <c r="Q1109" s="13">
        <f t="shared" si="88"/>
        <v>0</v>
      </c>
      <c r="R1109" s="13">
        <f>L1109*Assumptions!$B$11+M1109*Assumptions!$B$12+N1109*Assumptions!$B$13+O1109*Assumptions!$B$14+P1109*Assumptions!$B$15+Q1109*Assumptions!$B$16</f>
        <v>0</v>
      </c>
      <c r="S1109" s="13" t="str">
        <f>IF(R1109&gt;=Assumptions!$B$20,"High",IF(R1109&gt;=Assumptions!$B$21,"Medium",IF(R1109&gt;=1,"Low","Clear")))</f>
        <v>Clear</v>
      </c>
      <c r="T1109" s="13" t="str">
        <f t="shared" si="89"/>
        <v/>
      </c>
    </row>
    <row r="1110" spans="1:20" x14ac:dyDescent="0.35">
      <c r="A1110" s="13" t="s">
        <v>4481</v>
      </c>
      <c r="B1110" s="13" t="s">
        <v>113</v>
      </c>
      <c r="C1110" s="13" t="s">
        <v>114</v>
      </c>
      <c r="D1110" s="13" t="s">
        <v>4482</v>
      </c>
      <c r="E1110" s="14">
        <v>46007</v>
      </c>
      <c r="F1110" s="14">
        <v>46044</v>
      </c>
      <c r="G1110" s="15">
        <v>9370.69</v>
      </c>
      <c r="H1110" s="13" t="s">
        <v>4483</v>
      </c>
      <c r="I1110" s="13" t="s">
        <v>4484</v>
      </c>
      <c r="J1110" s="13" t="s">
        <v>136</v>
      </c>
      <c r="K1110" s="13">
        <f t="shared" si="85"/>
        <v>9</v>
      </c>
      <c r="L1110" s="13">
        <f t="shared" si="86"/>
        <v>0</v>
      </c>
      <c r="M1110" s="13">
        <f>IF(AND(L1110=0,COUNTIFS($B$2:$B$1534,B1110,$G$2:$G$1534,G1110,$E$2:$E$1534,"&gt;="&amp;(E1110-Assumptions!$B$5),$E$2:$E$1534,"&lt;="&amp;(E1110+Assumptions!$B$5))&gt;1),1,0)</f>
        <v>0</v>
      </c>
      <c r="N1110" s="13">
        <f>IF(AND(G1110&gt;=Assumptions!$B$4*(1-Assumptions!$B$6),G1110&lt;Assumptions!$B$4),1,0)</f>
        <v>0</v>
      </c>
      <c r="O1110" s="13">
        <f>IF(AND(G1110&gt;=Assumptions!$B$7,MOD(G1110,Assumptions!$B$7)=0),1,0)</f>
        <v>0</v>
      </c>
      <c r="P1110" s="13">
        <f t="shared" si="87"/>
        <v>0</v>
      </c>
      <c r="Q1110" s="13">
        <f t="shared" si="88"/>
        <v>0</v>
      </c>
      <c r="R1110" s="13">
        <f>L1110*Assumptions!$B$11+M1110*Assumptions!$B$12+N1110*Assumptions!$B$13+O1110*Assumptions!$B$14+P1110*Assumptions!$B$15+Q1110*Assumptions!$B$16</f>
        <v>0</v>
      </c>
      <c r="S1110" s="13" t="str">
        <f>IF(R1110&gt;=Assumptions!$B$20,"High",IF(R1110&gt;=Assumptions!$B$21,"Medium",IF(R1110&gt;=1,"Low","Clear")))</f>
        <v>Clear</v>
      </c>
      <c r="T1110" s="13" t="str">
        <f t="shared" si="89"/>
        <v/>
      </c>
    </row>
    <row r="1111" spans="1:20" x14ac:dyDescent="0.35">
      <c r="A1111" s="13" t="s">
        <v>4485</v>
      </c>
      <c r="B1111" s="13" t="s">
        <v>212</v>
      </c>
      <c r="C1111" s="13" t="s">
        <v>213</v>
      </c>
      <c r="D1111" s="13" t="s">
        <v>4486</v>
      </c>
      <c r="E1111" s="14">
        <v>46010</v>
      </c>
      <c r="F1111" s="14">
        <v>46045</v>
      </c>
      <c r="G1111" s="15">
        <v>25004.16</v>
      </c>
      <c r="H1111" s="13"/>
      <c r="I1111" s="13"/>
      <c r="J1111" s="13" t="s">
        <v>170</v>
      </c>
      <c r="K1111" s="13">
        <f t="shared" si="85"/>
        <v>2</v>
      </c>
      <c r="L1111" s="13">
        <f t="shared" si="86"/>
        <v>0</v>
      </c>
      <c r="M1111" s="13">
        <f>IF(AND(L1111=0,COUNTIFS($B$2:$B$1534,B1111,$G$2:$G$1534,G1111,$E$2:$E$1534,"&gt;="&amp;(E1111-Assumptions!$B$5),$E$2:$E$1534,"&lt;="&amp;(E1111+Assumptions!$B$5))&gt;1),1,0)</f>
        <v>0</v>
      </c>
      <c r="N1111" s="13">
        <f>IF(AND(G1111&gt;=Assumptions!$B$4*(1-Assumptions!$B$6),G1111&lt;Assumptions!$B$4),1,0)</f>
        <v>0</v>
      </c>
      <c r="O1111" s="13">
        <f>IF(AND(G1111&gt;=Assumptions!$B$7,MOD(G1111,Assumptions!$B$7)=0),1,0)</f>
        <v>0</v>
      </c>
      <c r="P1111" s="13">
        <f t="shared" si="87"/>
        <v>1</v>
      </c>
      <c r="Q1111" s="13">
        <f t="shared" si="88"/>
        <v>0</v>
      </c>
      <c r="R1111" s="13">
        <f>L1111*Assumptions!$B$11+M1111*Assumptions!$B$12+N1111*Assumptions!$B$13+O1111*Assumptions!$B$14+P1111*Assumptions!$B$15+Q1111*Assumptions!$B$16</f>
        <v>4</v>
      </c>
      <c r="S1111" s="13" t="str">
        <f>IF(R1111&gt;=Assumptions!$B$20,"High",IF(R1111&gt;=Assumptions!$B$21,"Medium",IF(R1111&gt;=1,"Low","Clear")))</f>
        <v>Medium</v>
      </c>
      <c r="T1111" s="13" t="str">
        <f t="shared" si="89"/>
        <v xml:space="preserve">No PO/GRN; </v>
      </c>
    </row>
    <row r="1112" spans="1:20" x14ac:dyDescent="0.35">
      <c r="A1112" s="13" t="s">
        <v>4487</v>
      </c>
      <c r="B1112" s="13" t="s">
        <v>161</v>
      </c>
      <c r="C1112" s="13" t="s">
        <v>162</v>
      </c>
      <c r="D1112" s="13" t="s">
        <v>4488</v>
      </c>
      <c r="E1112" s="14">
        <v>46006</v>
      </c>
      <c r="F1112" s="14">
        <v>46045</v>
      </c>
      <c r="G1112" s="15">
        <v>19525.310000000001</v>
      </c>
      <c r="H1112" s="13" t="s">
        <v>4489</v>
      </c>
      <c r="I1112" s="13" t="s">
        <v>4490</v>
      </c>
      <c r="J1112" s="13" t="s">
        <v>136</v>
      </c>
      <c r="K1112" s="13">
        <f t="shared" si="85"/>
        <v>1</v>
      </c>
      <c r="L1112" s="13">
        <f t="shared" si="86"/>
        <v>0</v>
      </c>
      <c r="M1112" s="13">
        <f>IF(AND(L1112=0,COUNTIFS($B$2:$B$1534,B1112,$G$2:$G$1534,G1112,$E$2:$E$1534,"&gt;="&amp;(E1112-Assumptions!$B$5),$E$2:$E$1534,"&lt;="&amp;(E1112+Assumptions!$B$5))&gt;1),1,0)</f>
        <v>0</v>
      </c>
      <c r="N1112" s="13">
        <f>IF(AND(G1112&gt;=Assumptions!$B$4*(1-Assumptions!$B$6),G1112&lt;Assumptions!$B$4),1,0)</f>
        <v>0</v>
      </c>
      <c r="O1112" s="13">
        <f>IF(AND(G1112&gt;=Assumptions!$B$7,MOD(G1112,Assumptions!$B$7)=0),1,0)</f>
        <v>0</v>
      </c>
      <c r="P1112" s="13">
        <f t="shared" si="87"/>
        <v>0</v>
      </c>
      <c r="Q1112" s="13">
        <f t="shared" si="88"/>
        <v>0</v>
      </c>
      <c r="R1112" s="13">
        <f>L1112*Assumptions!$B$11+M1112*Assumptions!$B$12+N1112*Assumptions!$B$13+O1112*Assumptions!$B$14+P1112*Assumptions!$B$15+Q1112*Assumptions!$B$16</f>
        <v>0</v>
      </c>
      <c r="S1112" s="13" t="str">
        <f>IF(R1112&gt;=Assumptions!$B$20,"High",IF(R1112&gt;=Assumptions!$B$21,"Medium",IF(R1112&gt;=1,"Low","Clear")))</f>
        <v>Clear</v>
      </c>
      <c r="T1112" s="13" t="str">
        <f t="shared" si="89"/>
        <v/>
      </c>
    </row>
    <row r="1113" spans="1:20" x14ac:dyDescent="0.35">
      <c r="A1113" s="13" t="s">
        <v>4491</v>
      </c>
      <c r="B1113" s="13" t="s">
        <v>357</v>
      </c>
      <c r="C1113" s="13" t="s">
        <v>358</v>
      </c>
      <c r="D1113" s="13" t="s">
        <v>4492</v>
      </c>
      <c r="E1113" s="14">
        <v>46011</v>
      </c>
      <c r="F1113" s="14">
        <v>46045</v>
      </c>
      <c r="G1113" s="15">
        <v>103438.15</v>
      </c>
      <c r="H1113" s="13" t="s">
        <v>4493</v>
      </c>
      <c r="I1113" s="13" t="s">
        <v>4494</v>
      </c>
      <c r="J1113" s="13" t="s">
        <v>111</v>
      </c>
      <c r="K1113" s="13">
        <f t="shared" si="85"/>
        <v>1</v>
      </c>
      <c r="L1113" s="13">
        <f t="shared" si="86"/>
        <v>0</v>
      </c>
      <c r="M1113" s="13">
        <f>IF(AND(L1113=0,COUNTIFS($B$2:$B$1534,B1113,$G$2:$G$1534,G1113,$E$2:$E$1534,"&gt;="&amp;(E1113-Assumptions!$B$5),$E$2:$E$1534,"&lt;="&amp;(E1113+Assumptions!$B$5))&gt;1),1,0)</f>
        <v>0</v>
      </c>
      <c r="N1113" s="13">
        <f>IF(AND(G1113&gt;=Assumptions!$B$4*(1-Assumptions!$B$6),G1113&lt;Assumptions!$B$4),1,0)</f>
        <v>0</v>
      </c>
      <c r="O1113" s="13">
        <f>IF(AND(G1113&gt;=Assumptions!$B$7,MOD(G1113,Assumptions!$B$7)=0),1,0)</f>
        <v>0</v>
      </c>
      <c r="P1113" s="13">
        <f t="shared" si="87"/>
        <v>0</v>
      </c>
      <c r="Q1113" s="13">
        <f t="shared" si="88"/>
        <v>0</v>
      </c>
      <c r="R1113" s="13">
        <f>L1113*Assumptions!$B$11+M1113*Assumptions!$B$12+N1113*Assumptions!$B$13+O1113*Assumptions!$B$14+P1113*Assumptions!$B$15+Q1113*Assumptions!$B$16</f>
        <v>0</v>
      </c>
      <c r="S1113" s="13" t="str">
        <f>IF(R1113&gt;=Assumptions!$B$20,"High",IF(R1113&gt;=Assumptions!$B$21,"Medium",IF(R1113&gt;=1,"Low","Clear")))</f>
        <v>Clear</v>
      </c>
      <c r="T1113" s="13" t="str">
        <f t="shared" si="89"/>
        <v/>
      </c>
    </row>
    <row r="1114" spans="1:20" x14ac:dyDescent="0.35">
      <c r="A1114" s="13" t="s">
        <v>4495</v>
      </c>
      <c r="B1114" s="13" t="s">
        <v>307</v>
      </c>
      <c r="C1114" s="13" t="s">
        <v>308</v>
      </c>
      <c r="D1114" s="13" t="s">
        <v>4496</v>
      </c>
      <c r="E1114" s="14">
        <v>46019</v>
      </c>
      <c r="F1114" s="14">
        <v>46046</v>
      </c>
      <c r="G1114" s="15">
        <v>7758.36</v>
      </c>
      <c r="H1114" s="13" t="s">
        <v>4497</v>
      </c>
      <c r="I1114" s="13" t="s">
        <v>4498</v>
      </c>
      <c r="J1114" s="13" t="s">
        <v>136</v>
      </c>
      <c r="K1114" s="13">
        <f t="shared" si="85"/>
        <v>7</v>
      </c>
      <c r="L1114" s="13">
        <f t="shared" si="86"/>
        <v>0</v>
      </c>
      <c r="M1114" s="13">
        <f>IF(AND(L1114=0,COUNTIFS($B$2:$B$1534,B1114,$G$2:$G$1534,G1114,$E$2:$E$1534,"&gt;="&amp;(E1114-Assumptions!$B$5),$E$2:$E$1534,"&lt;="&amp;(E1114+Assumptions!$B$5))&gt;1),1,0)</f>
        <v>0</v>
      </c>
      <c r="N1114" s="13">
        <f>IF(AND(G1114&gt;=Assumptions!$B$4*(1-Assumptions!$B$6),G1114&lt;Assumptions!$B$4),1,0)</f>
        <v>0</v>
      </c>
      <c r="O1114" s="13">
        <f>IF(AND(G1114&gt;=Assumptions!$B$7,MOD(G1114,Assumptions!$B$7)=0),1,0)</f>
        <v>0</v>
      </c>
      <c r="P1114" s="13">
        <f t="shared" si="87"/>
        <v>0</v>
      </c>
      <c r="Q1114" s="13">
        <f t="shared" si="88"/>
        <v>1</v>
      </c>
      <c r="R1114" s="13">
        <f>L1114*Assumptions!$B$11+M1114*Assumptions!$B$12+N1114*Assumptions!$B$13+O1114*Assumptions!$B$14+P1114*Assumptions!$B$15+Q1114*Assumptions!$B$16</f>
        <v>1</v>
      </c>
      <c r="S1114" s="13" t="str">
        <f>IF(R1114&gt;=Assumptions!$B$20,"High",IF(R1114&gt;=Assumptions!$B$21,"Medium",IF(R1114&gt;=1,"Low","Clear")))</f>
        <v>Low</v>
      </c>
      <c r="T1114" s="13" t="str">
        <f t="shared" si="89"/>
        <v xml:space="preserve">Weekend payment; </v>
      </c>
    </row>
    <row r="1115" spans="1:20" x14ac:dyDescent="0.35">
      <c r="A1115" s="13" t="s">
        <v>4499</v>
      </c>
      <c r="B1115" s="13" t="s">
        <v>161</v>
      </c>
      <c r="C1115" s="13" t="s">
        <v>162</v>
      </c>
      <c r="D1115" s="13" t="s">
        <v>4500</v>
      </c>
      <c r="E1115" s="14">
        <v>46012</v>
      </c>
      <c r="F1115" s="14">
        <v>46046</v>
      </c>
      <c r="G1115" s="15">
        <v>677986.07</v>
      </c>
      <c r="H1115" s="13" t="s">
        <v>4501</v>
      </c>
      <c r="I1115" s="13" t="s">
        <v>4502</v>
      </c>
      <c r="J1115" s="13" t="s">
        <v>111</v>
      </c>
      <c r="K1115" s="13">
        <f t="shared" si="85"/>
        <v>6</v>
      </c>
      <c r="L1115" s="13">
        <f t="shared" si="86"/>
        <v>0</v>
      </c>
      <c r="M1115" s="13">
        <f>IF(AND(L1115=0,COUNTIFS($B$2:$B$1534,B1115,$G$2:$G$1534,G1115,$E$2:$E$1534,"&gt;="&amp;(E1115-Assumptions!$B$5),$E$2:$E$1534,"&lt;="&amp;(E1115+Assumptions!$B$5))&gt;1),1,0)</f>
        <v>0</v>
      </c>
      <c r="N1115" s="13">
        <f>IF(AND(G1115&gt;=Assumptions!$B$4*(1-Assumptions!$B$6),G1115&lt;Assumptions!$B$4),1,0)</f>
        <v>0</v>
      </c>
      <c r="O1115" s="13">
        <f>IF(AND(G1115&gt;=Assumptions!$B$7,MOD(G1115,Assumptions!$B$7)=0),1,0)</f>
        <v>0</v>
      </c>
      <c r="P1115" s="13">
        <f t="shared" si="87"/>
        <v>0</v>
      </c>
      <c r="Q1115" s="13">
        <f t="shared" si="88"/>
        <v>1</v>
      </c>
      <c r="R1115" s="13">
        <f>L1115*Assumptions!$B$11+M1115*Assumptions!$B$12+N1115*Assumptions!$B$13+O1115*Assumptions!$B$14+P1115*Assumptions!$B$15+Q1115*Assumptions!$B$16</f>
        <v>1</v>
      </c>
      <c r="S1115" s="13" t="str">
        <f>IF(R1115&gt;=Assumptions!$B$20,"High",IF(R1115&gt;=Assumptions!$B$21,"Medium",IF(R1115&gt;=1,"Low","Clear")))</f>
        <v>Low</v>
      </c>
      <c r="T1115" s="13" t="str">
        <f t="shared" si="89"/>
        <v xml:space="preserve">Weekend payment; </v>
      </c>
    </row>
    <row r="1116" spans="1:20" x14ac:dyDescent="0.35">
      <c r="A1116" s="13" t="s">
        <v>4503</v>
      </c>
      <c r="B1116" s="13" t="s">
        <v>391</v>
      </c>
      <c r="C1116" s="13" t="s">
        <v>392</v>
      </c>
      <c r="D1116" s="13" t="s">
        <v>4504</v>
      </c>
      <c r="E1116" s="14">
        <v>46022</v>
      </c>
      <c r="F1116" s="14">
        <v>46048</v>
      </c>
      <c r="G1116" s="15">
        <v>7278.92</v>
      </c>
      <c r="H1116" s="13" t="s">
        <v>4505</v>
      </c>
      <c r="I1116" s="13" t="s">
        <v>4506</v>
      </c>
      <c r="J1116" s="13" t="s">
        <v>91</v>
      </c>
      <c r="K1116" s="13">
        <f t="shared" si="85"/>
        <v>7</v>
      </c>
      <c r="L1116" s="13">
        <f t="shared" si="86"/>
        <v>0</v>
      </c>
      <c r="M1116" s="13">
        <f>IF(AND(L1116=0,COUNTIFS($B$2:$B$1534,B1116,$G$2:$G$1534,G1116,$E$2:$E$1534,"&gt;="&amp;(E1116-Assumptions!$B$5),$E$2:$E$1534,"&lt;="&amp;(E1116+Assumptions!$B$5))&gt;1),1,0)</f>
        <v>0</v>
      </c>
      <c r="N1116" s="13">
        <f>IF(AND(G1116&gt;=Assumptions!$B$4*(1-Assumptions!$B$6),G1116&lt;Assumptions!$B$4),1,0)</f>
        <v>0</v>
      </c>
      <c r="O1116" s="13">
        <f>IF(AND(G1116&gt;=Assumptions!$B$7,MOD(G1116,Assumptions!$B$7)=0),1,0)</f>
        <v>0</v>
      </c>
      <c r="P1116" s="13">
        <f t="shared" si="87"/>
        <v>0</v>
      </c>
      <c r="Q1116" s="13">
        <f t="shared" si="88"/>
        <v>0</v>
      </c>
      <c r="R1116" s="13">
        <f>L1116*Assumptions!$B$11+M1116*Assumptions!$B$12+N1116*Assumptions!$B$13+O1116*Assumptions!$B$14+P1116*Assumptions!$B$15+Q1116*Assumptions!$B$16</f>
        <v>0</v>
      </c>
      <c r="S1116" s="13" t="str">
        <f>IF(R1116&gt;=Assumptions!$B$20,"High",IF(R1116&gt;=Assumptions!$B$21,"Medium",IF(R1116&gt;=1,"Low","Clear")))</f>
        <v>Clear</v>
      </c>
      <c r="T1116" s="13" t="str">
        <f t="shared" si="89"/>
        <v/>
      </c>
    </row>
    <row r="1117" spans="1:20" x14ac:dyDescent="0.35">
      <c r="A1117" s="13" t="s">
        <v>4507</v>
      </c>
      <c r="B1117" s="13" t="s">
        <v>409</v>
      </c>
      <c r="C1117" s="13" t="s">
        <v>410</v>
      </c>
      <c r="D1117" s="13" t="s">
        <v>4508</v>
      </c>
      <c r="E1117" s="14">
        <v>46016</v>
      </c>
      <c r="F1117" s="14">
        <v>46048</v>
      </c>
      <c r="G1117" s="15">
        <v>1596.02</v>
      </c>
      <c r="H1117" s="13" t="s">
        <v>4509</v>
      </c>
      <c r="I1117" s="13" t="s">
        <v>4510</v>
      </c>
      <c r="J1117" s="13" t="s">
        <v>91</v>
      </c>
      <c r="K1117" s="13">
        <f t="shared" si="85"/>
        <v>1</v>
      </c>
      <c r="L1117" s="13">
        <f t="shared" si="86"/>
        <v>0</v>
      </c>
      <c r="M1117" s="13">
        <f>IF(AND(L1117=0,COUNTIFS($B$2:$B$1534,B1117,$G$2:$G$1534,G1117,$E$2:$E$1534,"&gt;="&amp;(E1117-Assumptions!$B$5),$E$2:$E$1534,"&lt;="&amp;(E1117+Assumptions!$B$5))&gt;1),1,0)</f>
        <v>0</v>
      </c>
      <c r="N1117" s="13">
        <f>IF(AND(G1117&gt;=Assumptions!$B$4*(1-Assumptions!$B$6),G1117&lt;Assumptions!$B$4),1,0)</f>
        <v>0</v>
      </c>
      <c r="O1117" s="13">
        <f>IF(AND(G1117&gt;=Assumptions!$B$7,MOD(G1117,Assumptions!$B$7)=0),1,0)</f>
        <v>0</v>
      </c>
      <c r="P1117" s="13">
        <f t="shared" si="87"/>
        <v>0</v>
      </c>
      <c r="Q1117" s="13">
        <f t="shared" si="88"/>
        <v>0</v>
      </c>
      <c r="R1117" s="13">
        <f>L1117*Assumptions!$B$11+M1117*Assumptions!$B$12+N1117*Assumptions!$B$13+O1117*Assumptions!$B$14+P1117*Assumptions!$B$15+Q1117*Assumptions!$B$16</f>
        <v>0</v>
      </c>
      <c r="S1117" s="13" t="str">
        <f>IF(R1117&gt;=Assumptions!$B$20,"High",IF(R1117&gt;=Assumptions!$B$21,"Medium",IF(R1117&gt;=1,"Low","Clear")))</f>
        <v>Clear</v>
      </c>
      <c r="T1117" s="13" t="str">
        <f t="shared" si="89"/>
        <v/>
      </c>
    </row>
    <row r="1118" spans="1:20" x14ac:dyDescent="0.35">
      <c r="A1118" s="13" t="s">
        <v>4511</v>
      </c>
      <c r="B1118" s="13" t="s">
        <v>670</v>
      </c>
      <c r="C1118" s="13" t="s">
        <v>671</v>
      </c>
      <c r="D1118" s="13" t="s">
        <v>4512</v>
      </c>
      <c r="E1118" s="14">
        <v>46021</v>
      </c>
      <c r="F1118" s="14">
        <v>46048</v>
      </c>
      <c r="G1118" s="15">
        <v>374060.13</v>
      </c>
      <c r="H1118" s="13" t="s">
        <v>4513</v>
      </c>
      <c r="I1118" s="13" t="s">
        <v>4514</v>
      </c>
      <c r="J1118" s="13" t="s">
        <v>98</v>
      </c>
      <c r="K1118" s="13">
        <f t="shared" si="85"/>
        <v>3</v>
      </c>
      <c r="L1118" s="13">
        <f t="shared" si="86"/>
        <v>0</v>
      </c>
      <c r="M1118" s="13">
        <f>IF(AND(L1118=0,COUNTIFS($B$2:$B$1534,B1118,$G$2:$G$1534,G1118,$E$2:$E$1534,"&gt;="&amp;(E1118-Assumptions!$B$5),$E$2:$E$1534,"&lt;="&amp;(E1118+Assumptions!$B$5))&gt;1),1,0)</f>
        <v>0</v>
      </c>
      <c r="N1118" s="13">
        <f>IF(AND(G1118&gt;=Assumptions!$B$4*(1-Assumptions!$B$6),G1118&lt;Assumptions!$B$4),1,0)</f>
        <v>0</v>
      </c>
      <c r="O1118" s="13">
        <f>IF(AND(G1118&gt;=Assumptions!$B$7,MOD(G1118,Assumptions!$B$7)=0),1,0)</f>
        <v>0</v>
      </c>
      <c r="P1118" s="13">
        <f t="shared" si="87"/>
        <v>0</v>
      </c>
      <c r="Q1118" s="13">
        <f t="shared" si="88"/>
        <v>0</v>
      </c>
      <c r="R1118" s="13">
        <f>L1118*Assumptions!$B$11+M1118*Assumptions!$B$12+N1118*Assumptions!$B$13+O1118*Assumptions!$B$14+P1118*Assumptions!$B$15+Q1118*Assumptions!$B$16</f>
        <v>0</v>
      </c>
      <c r="S1118" s="13" t="str">
        <f>IF(R1118&gt;=Assumptions!$B$20,"High",IF(R1118&gt;=Assumptions!$B$21,"Medium",IF(R1118&gt;=1,"Low","Clear")))</f>
        <v>Clear</v>
      </c>
      <c r="T1118" s="13" t="str">
        <f t="shared" si="89"/>
        <v/>
      </c>
    </row>
    <row r="1119" spans="1:20" x14ac:dyDescent="0.35">
      <c r="A1119" s="13" t="s">
        <v>4515</v>
      </c>
      <c r="B1119" s="13" t="s">
        <v>86</v>
      </c>
      <c r="C1119" s="13" t="s">
        <v>87</v>
      </c>
      <c r="D1119" s="13" t="s">
        <v>4516</v>
      </c>
      <c r="E1119" s="14">
        <v>46021</v>
      </c>
      <c r="F1119" s="14">
        <v>46048</v>
      </c>
      <c r="G1119" s="15">
        <v>2565.34</v>
      </c>
      <c r="H1119" s="13" t="s">
        <v>4517</v>
      </c>
      <c r="I1119" s="13" t="s">
        <v>4518</v>
      </c>
      <c r="J1119" s="13" t="s">
        <v>170</v>
      </c>
      <c r="K1119" s="13">
        <f t="shared" si="85"/>
        <v>2</v>
      </c>
      <c r="L1119" s="13">
        <f t="shared" si="86"/>
        <v>0</v>
      </c>
      <c r="M1119" s="13">
        <f>IF(AND(L1119=0,COUNTIFS($B$2:$B$1534,B1119,$G$2:$G$1534,G1119,$E$2:$E$1534,"&gt;="&amp;(E1119-Assumptions!$B$5),$E$2:$E$1534,"&lt;="&amp;(E1119+Assumptions!$B$5))&gt;1),1,0)</f>
        <v>0</v>
      </c>
      <c r="N1119" s="13">
        <f>IF(AND(G1119&gt;=Assumptions!$B$4*(1-Assumptions!$B$6),G1119&lt;Assumptions!$B$4),1,0)</f>
        <v>0</v>
      </c>
      <c r="O1119" s="13">
        <f>IF(AND(G1119&gt;=Assumptions!$B$7,MOD(G1119,Assumptions!$B$7)=0),1,0)</f>
        <v>0</v>
      </c>
      <c r="P1119" s="13">
        <f t="shared" si="87"/>
        <v>0</v>
      </c>
      <c r="Q1119" s="13">
        <f t="shared" si="88"/>
        <v>0</v>
      </c>
      <c r="R1119" s="13">
        <f>L1119*Assumptions!$B$11+M1119*Assumptions!$B$12+N1119*Assumptions!$B$13+O1119*Assumptions!$B$14+P1119*Assumptions!$B$15+Q1119*Assumptions!$B$16</f>
        <v>0</v>
      </c>
      <c r="S1119" s="13" t="str">
        <f>IF(R1119&gt;=Assumptions!$B$20,"High",IF(R1119&gt;=Assumptions!$B$21,"Medium",IF(R1119&gt;=1,"Low","Clear")))</f>
        <v>Clear</v>
      </c>
      <c r="T1119" s="13" t="str">
        <f t="shared" si="89"/>
        <v/>
      </c>
    </row>
    <row r="1120" spans="1:20" x14ac:dyDescent="0.35">
      <c r="A1120" s="13" t="s">
        <v>4519</v>
      </c>
      <c r="B1120" s="13" t="s">
        <v>680</v>
      </c>
      <c r="C1120" s="13" t="s">
        <v>681</v>
      </c>
      <c r="D1120" s="13" t="s">
        <v>4520</v>
      </c>
      <c r="E1120" s="14">
        <v>46019</v>
      </c>
      <c r="F1120" s="14">
        <v>46048</v>
      </c>
      <c r="G1120" s="15">
        <v>18173.87</v>
      </c>
      <c r="H1120" s="13" t="s">
        <v>4521</v>
      </c>
      <c r="I1120" s="13" t="s">
        <v>4522</v>
      </c>
      <c r="J1120" s="13" t="s">
        <v>136</v>
      </c>
      <c r="K1120" s="13">
        <f t="shared" si="85"/>
        <v>1</v>
      </c>
      <c r="L1120" s="13">
        <f t="shared" si="86"/>
        <v>0</v>
      </c>
      <c r="M1120" s="13">
        <f>IF(AND(L1120=0,COUNTIFS($B$2:$B$1534,B1120,$G$2:$G$1534,G1120,$E$2:$E$1534,"&gt;="&amp;(E1120-Assumptions!$B$5),$E$2:$E$1534,"&lt;="&amp;(E1120+Assumptions!$B$5))&gt;1),1,0)</f>
        <v>0</v>
      </c>
      <c r="N1120" s="13">
        <f>IF(AND(G1120&gt;=Assumptions!$B$4*(1-Assumptions!$B$6),G1120&lt;Assumptions!$B$4),1,0)</f>
        <v>0</v>
      </c>
      <c r="O1120" s="13">
        <f>IF(AND(G1120&gt;=Assumptions!$B$7,MOD(G1120,Assumptions!$B$7)=0),1,0)</f>
        <v>0</v>
      </c>
      <c r="P1120" s="13">
        <f t="shared" si="87"/>
        <v>0</v>
      </c>
      <c r="Q1120" s="13">
        <f t="shared" si="88"/>
        <v>0</v>
      </c>
      <c r="R1120" s="13">
        <f>L1120*Assumptions!$B$11+M1120*Assumptions!$B$12+N1120*Assumptions!$B$13+O1120*Assumptions!$B$14+P1120*Assumptions!$B$15+Q1120*Assumptions!$B$16</f>
        <v>0</v>
      </c>
      <c r="S1120" s="13" t="str">
        <f>IF(R1120&gt;=Assumptions!$B$20,"High",IF(R1120&gt;=Assumptions!$B$21,"Medium",IF(R1120&gt;=1,"Low","Clear")))</f>
        <v>Clear</v>
      </c>
      <c r="T1120" s="13" t="str">
        <f t="shared" si="89"/>
        <v/>
      </c>
    </row>
    <row r="1121" spans="1:20" x14ac:dyDescent="0.35">
      <c r="A1121" s="13" t="s">
        <v>4523</v>
      </c>
      <c r="B1121" s="13" t="s">
        <v>119</v>
      </c>
      <c r="C1121" s="13" t="s">
        <v>120</v>
      </c>
      <c r="D1121" s="13" t="s">
        <v>4524</v>
      </c>
      <c r="E1121" s="14">
        <v>46020</v>
      </c>
      <c r="F1121" s="14">
        <v>46048</v>
      </c>
      <c r="G1121" s="15">
        <v>61740.91</v>
      </c>
      <c r="H1121" s="13" t="s">
        <v>4525</v>
      </c>
      <c r="I1121" s="13" t="s">
        <v>4526</v>
      </c>
      <c r="J1121" s="13" t="s">
        <v>136</v>
      </c>
      <c r="K1121" s="13">
        <f t="shared" si="85"/>
        <v>6</v>
      </c>
      <c r="L1121" s="13">
        <f t="shared" si="86"/>
        <v>0</v>
      </c>
      <c r="M1121" s="13">
        <f>IF(AND(L1121=0,COUNTIFS($B$2:$B$1534,B1121,$G$2:$G$1534,G1121,$E$2:$E$1534,"&gt;="&amp;(E1121-Assumptions!$B$5),$E$2:$E$1534,"&lt;="&amp;(E1121+Assumptions!$B$5))&gt;1),1,0)</f>
        <v>0</v>
      </c>
      <c r="N1121" s="13">
        <f>IF(AND(G1121&gt;=Assumptions!$B$4*(1-Assumptions!$B$6),G1121&lt;Assumptions!$B$4),1,0)</f>
        <v>0</v>
      </c>
      <c r="O1121" s="13">
        <f>IF(AND(G1121&gt;=Assumptions!$B$7,MOD(G1121,Assumptions!$B$7)=0),1,0)</f>
        <v>0</v>
      </c>
      <c r="P1121" s="13">
        <f t="shared" si="87"/>
        <v>0</v>
      </c>
      <c r="Q1121" s="13">
        <f t="shared" si="88"/>
        <v>0</v>
      </c>
      <c r="R1121" s="13">
        <f>L1121*Assumptions!$B$11+M1121*Assumptions!$B$12+N1121*Assumptions!$B$13+O1121*Assumptions!$B$14+P1121*Assumptions!$B$15+Q1121*Assumptions!$B$16</f>
        <v>0</v>
      </c>
      <c r="S1121" s="13" t="str">
        <f>IF(R1121&gt;=Assumptions!$B$20,"High",IF(R1121&gt;=Assumptions!$B$21,"Medium",IF(R1121&gt;=1,"Low","Clear")))</f>
        <v>Clear</v>
      </c>
      <c r="T1121" s="13" t="str">
        <f t="shared" si="89"/>
        <v/>
      </c>
    </row>
    <row r="1122" spans="1:20" x14ac:dyDescent="0.35">
      <c r="A1122" s="13" t="s">
        <v>4527</v>
      </c>
      <c r="B1122" s="13" t="s">
        <v>212</v>
      </c>
      <c r="C1122" s="13" t="s">
        <v>213</v>
      </c>
      <c r="D1122" s="13" t="s">
        <v>4528</v>
      </c>
      <c r="E1122" s="14">
        <v>46010</v>
      </c>
      <c r="F1122" s="14">
        <v>46048</v>
      </c>
      <c r="G1122" s="15">
        <v>2124.04</v>
      </c>
      <c r="H1122" s="13" t="s">
        <v>4529</v>
      </c>
      <c r="I1122" s="13" t="s">
        <v>4530</v>
      </c>
      <c r="J1122" s="13" t="s">
        <v>91</v>
      </c>
      <c r="K1122" s="13">
        <f t="shared" si="85"/>
        <v>2</v>
      </c>
      <c r="L1122" s="13">
        <f t="shared" si="86"/>
        <v>0</v>
      </c>
      <c r="M1122" s="13">
        <f>IF(AND(L1122=0,COUNTIFS($B$2:$B$1534,B1122,$G$2:$G$1534,G1122,$E$2:$E$1534,"&gt;="&amp;(E1122-Assumptions!$B$5),$E$2:$E$1534,"&lt;="&amp;(E1122+Assumptions!$B$5))&gt;1),1,0)</f>
        <v>0</v>
      </c>
      <c r="N1122" s="13">
        <f>IF(AND(G1122&gt;=Assumptions!$B$4*(1-Assumptions!$B$6),G1122&lt;Assumptions!$B$4),1,0)</f>
        <v>0</v>
      </c>
      <c r="O1122" s="13">
        <f>IF(AND(G1122&gt;=Assumptions!$B$7,MOD(G1122,Assumptions!$B$7)=0),1,0)</f>
        <v>0</v>
      </c>
      <c r="P1122" s="13">
        <f t="shared" si="87"/>
        <v>0</v>
      </c>
      <c r="Q1122" s="13">
        <f t="shared" si="88"/>
        <v>0</v>
      </c>
      <c r="R1122" s="13">
        <f>L1122*Assumptions!$B$11+M1122*Assumptions!$B$12+N1122*Assumptions!$B$13+O1122*Assumptions!$B$14+P1122*Assumptions!$B$15+Q1122*Assumptions!$B$16</f>
        <v>0</v>
      </c>
      <c r="S1122" s="13" t="str">
        <f>IF(R1122&gt;=Assumptions!$B$20,"High",IF(R1122&gt;=Assumptions!$B$21,"Medium",IF(R1122&gt;=1,"Low","Clear")))</f>
        <v>Clear</v>
      </c>
      <c r="T1122" s="13" t="str">
        <f t="shared" si="89"/>
        <v/>
      </c>
    </row>
    <row r="1123" spans="1:20" x14ac:dyDescent="0.35">
      <c r="A1123" s="13" t="s">
        <v>4531</v>
      </c>
      <c r="B1123" s="13" t="s">
        <v>212</v>
      </c>
      <c r="C1123" s="13" t="s">
        <v>213</v>
      </c>
      <c r="D1123" s="13" t="s">
        <v>4532</v>
      </c>
      <c r="E1123" s="14">
        <v>46025</v>
      </c>
      <c r="F1123" s="14">
        <v>46048</v>
      </c>
      <c r="G1123" s="15">
        <v>190551.51</v>
      </c>
      <c r="H1123" s="13" t="s">
        <v>4533</v>
      </c>
      <c r="I1123" s="13" t="s">
        <v>4534</v>
      </c>
      <c r="J1123" s="13" t="s">
        <v>143</v>
      </c>
      <c r="K1123" s="13">
        <f t="shared" si="85"/>
        <v>1</v>
      </c>
      <c r="L1123" s="13">
        <f t="shared" si="86"/>
        <v>0</v>
      </c>
      <c r="M1123" s="13">
        <f>IF(AND(L1123=0,COUNTIFS($B$2:$B$1534,B1123,$G$2:$G$1534,G1123,$E$2:$E$1534,"&gt;="&amp;(E1123-Assumptions!$B$5),$E$2:$E$1534,"&lt;="&amp;(E1123+Assumptions!$B$5))&gt;1),1,0)</f>
        <v>0</v>
      </c>
      <c r="N1123" s="13">
        <f>IF(AND(G1123&gt;=Assumptions!$B$4*(1-Assumptions!$B$6),G1123&lt;Assumptions!$B$4),1,0)</f>
        <v>0</v>
      </c>
      <c r="O1123" s="13">
        <f>IF(AND(G1123&gt;=Assumptions!$B$7,MOD(G1123,Assumptions!$B$7)=0),1,0)</f>
        <v>0</v>
      </c>
      <c r="P1123" s="13">
        <f t="shared" si="87"/>
        <v>0</v>
      </c>
      <c r="Q1123" s="13">
        <f t="shared" si="88"/>
        <v>0</v>
      </c>
      <c r="R1123" s="13">
        <f>L1123*Assumptions!$B$11+M1123*Assumptions!$B$12+N1123*Assumptions!$B$13+O1123*Assumptions!$B$14+P1123*Assumptions!$B$15+Q1123*Assumptions!$B$16</f>
        <v>0</v>
      </c>
      <c r="S1123" s="13" t="str">
        <f>IF(R1123&gt;=Assumptions!$B$20,"High",IF(R1123&gt;=Assumptions!$B$21,"Medium",IF(R1123&gt;=1,"Low","Clear")))</f>
        <v>Clear</v>
      </c>
      <c r="T1123" s="13" t="str">
        <f t="shared" si="89"/>
        <v/>
      </c>
    </row>
    <row r="1124" spans="1:20" x14ac:dyDescent="0.35">
      <c r="A1124" s="13" t="s">
        <v>4535</v>
      </c>
      <c r="B1124" s="13" t="s">
        <v>218</v>
      </c>
      <c r="C1124" s="13" t="s">
        <v>219</v>
      </c>
      <c r="D1124" s="13" t="s">
        <v>4536</v>
      </c>
      <c r="E1124" s="14">
        <v>46020</v>
      </c>
      <c r="F1124" s="14">
        <v>46048</v>
      </c>
      <c r="G1124" s="15">
        <v>31680.14</v>
      </c>
      <c r="H1124" s="13" t="s">
        <v>4537</v>
      </c>
      <c r="I1124" s="13" t="s">
        <v>4538</v>
      </c>
      <c r="J1124" s="13" t="s">
        <v>111</v>
      </c>
      <c r="K1124" s="13">
        <f t="shared" si="85"/>
        <v>3</v>
      </c>
      <c r="L1124" s="13">
        <f t="shared" si="86"/>
        <v>0</v>
      </c>
      <c r="M1124" s="13">
        <f>IF(AND(L1124=0,COUNTIFS($B$2:$B$1534,B1124,$G$2:$G$1534,G1124,$E$2:$E$1534,"&gt;="&amp;(E1124-Assumptions!$B$5),$E$2:$E$1534,"&lt;="&amp;(E1124+Assumptions!$B$5))&gt;1),1,0)</f>
        <v>0</v>
      </c>
      <c r="N1124" s="13">
        <f>IF(AND(G1124&gt;=Assumptions!$B$4*(1-Assumptions!$B$6),G1124&lt;Assumptions!$B$4),1,0)</f>
        <v>0</v>
      </c>
      <c r="O1124" s="13">
        <f>IF(AND(G1124&gt;=Assumptions!$B$7,MOD(G1124,Assumptions!$B$7)=0),1,0)</f>
        <v>0</v>
      </c>
      <c r="P1124" s="13">
        <f t="shared" si="87"/>
        <v>0</v>
      </c>
      <c r="Q1124" s="13">
        <f t="shared" si="88"/>
        <v>0</v>
      </c>
      <c r="R1124" s="13">
        <f>L1124*Assumptions!$B$11+M1124*Assumptions!$B$12+N1124*Assumptions!$B$13+O1124*Assumptions!$B$14+P1124*Assumptions!$B$15+Q1124*Assumptions!$B$16</f>
        <v>0</v>
      </c>
      <c r="S1124" s="13" t="str">
        <f>IF(R1124&gt;=Assumptions!$B$20,"High",IF(R1124&gt;=Assumptions!$B$21,"Medium",IF(R1124&gt;=1,"Low","Clear")))</f>
        <v>Clear</v>
      </c>
      <c r="T1124" s="13" t="str">
        <f t="shared" si="89"/>
        <v/>
      </c>
    </row>
    <row r="1125" spans="1:20" x14ac:dyDescent="0.35">
      <c r="A1125" s="13" t="s">
        <v>4539</v>
      </c>
      <c r="B1125" s="13" t="s">
        <v>218</v>
      </c>
      <c r="C1125" s="13" t="s">
        <v>219</v>
      </c>
      <c r="D1125" s="13" t="s">
        <v>4540</v>
      </c>
      <c r="E1125" s="14">
        <v>46016</v>
      </c>
      <c r="F1125" s="14">
        <v>46048</v>
      </c>
      <c r="G1125" s="15">
        <v>122722.79</v>
      </c>
      <c r="H1125" s="13" t="s">
        <v>4541</v>
      </c>
      <c r="I1125" s="13" t="s">
        <v>4542</v>
      </c>
      <c r="J1125" s="13" t="s">
        <v>170</v>
      </c>
      <c r="K1125" s="13">
        <f t="shared" si="85"/>
        <v>1</v>
      </c>
      <c r="L1125" s="13">
        <f t="shared" si="86"/>
        <v>0</v>
      </c>
      <c r="M1125" s="13">
        <f>IF(AND(L1125=0,COUNTIFS($B$2:$B$1534,B1125,$G$2:$G$1534,G1125,$E$2:$E$1534,"&gt;="&amp;(E1125-Assumptions!$B$5),$E$2:$E$1534,"&lt;="&amp;(E1125+Assumptions!$B$5))&gt;1),1,0)</f>
        <v>0</v>
      </c>
      <c r="N1125" s="13">
        <f>IF(AND(G1125&gt;=Assumptions!$B$4*(1-Assumptions!$B$6),G1125&lt;Assumptions!$B$4),1,0)</f>
        <v>0</v>
      </c>
      <c r="O1125" s="13">
        <f>IF(AND(G1125&gt;=Assumptions!$B$7,MOD(G1125,Assumptions!$B$7)=0),1,0)</f>
        <v>0</v>
      </c>
      <c r="P1125" s="13">
        <f t="shared" si="87"/>
        <v>0</v>
      </c>
      <c r="Q1125" s="13">
        <f t="shared" si="88"/>
        <v>0</v>
      </c>
      <c r="R1125" s="13">
        <f>L1125*Assumptions!$B$11+M1125*Assumptions!$B$12+N1125*Assumptions!$B$13+O1125*Assumptions!$B$14+P1125*Assumptions!$B$15+Q1125*Assumptions!$B$16</f>
        <v>0</v>
      </c>
      <c r="S1125" s="13" t="str">
        <f>IF(R1125&gt;=Assumptions!$B$20,"High",IF(R1125&gt;=Assumptions!$B$21,"Medium",IF(R1125&gt;=1,"Low","Clear")))</f>
        <v>Clear</v>
      </c>
      <c r="T1125" s="13" t="str">
        <f t="shared" si="89"/>
        <v/>
      </c>
    </row>
    <row r="1126" spans="1:20" x14ac:dyDescent="0.35">
      <c r="A1126" s="13" t="s">
        <v>4543</v>
      </c>
      <c r="B1126" s="13" t="s">
        <v>329</v>
      </c>
      <c r="C1126" s="13" t="s">
        <v>330</v>
      </c>
      <c r="D1126" s="13" t="s">
        <v>4544</v>
      </c>
      <c r="E1126" s="14">
        <v>46015</v>
      </c>
      <c r="F1126" s="14">
        <v>46048</v>
      </c>
      <c r="G1126" s="15">
        <v>12916.13</v>
      </c>
      <c r="H1126" s="13" t="s">
        <v>4545</v>
      </c>
      <c r="I1126" s="13" t="s">
        <v>4546</v>
      </c>
      <c r="J1126" s="13" t="s">
        <v>98</v>
      </c>
      <c r="K1126" s="13">
        <f t="shared" si="85"/>
        <v>1</v>
      </c>
      <c r="L1126" s="13">
        <f t="shared" si="86"/>
        <v>0</v>
      </c>
      <c r="M1126" s="13">
        <f>IF(AND(L1126=0,COUNTIFS($B$2:$B$1534,B1126,$G$2:$G$1534,G1126,$E$2:$E$1534,"&gt;="&amp;(E1126-Assumptions!$B$5),$E$2:$E$1534,"&lt;="&amp;(E1126+Assumptions!$B$5))&gt;1),1,0)</f>
        <v>0</v>
      </c>
      <c r="N1126" s="13">
        <f>IF(AND(G1126&gt;=Assumptions!$B$4*(1-Assumptions!$B$6),G1126&lt;Assumptions!$B$4),1,0)</f>
        <v>0</v>
      </c>
      <c r="O1126" s="13">
        <f>IF(AND(G1126&gt;=Assumptions!$B$7,MOD(G1126,Assumptions!$B$7)=0),1,0)</f>
        <v>0</v>
      </c>
      <c r="P1126" s="13">
        <f t="shared" si="87"/>
        <v>0</v>
      </c>
      <c r="Q1126" s="13">
        <f t="shared" si="88"/>
        <v>0</v>
      </c>
      <c r="R1126" s="13">
        <f>L1126*Assumptions!$B$11+M1126*Assumptions!$B$12+N1126*Assumptions!$B$13+O1126*Assumptions!$B$14+P1126*Assumptions!$B$15+Q1126*Assumptions!$B$16</f>
        <v>0</v>
      </c>
      <c r="S1126" s="13" t="str">
        <f>IF(R1126&gt;=Assumptions!$B$20,"High",IF(R1126&gt;=Assumptions!$B$21,"Medium",IF(R1126&gt;=1,"Low","Clear")))</f>
        <v>Clear</v>
      </c>
      <c r="T1126" s="13" t="str">
        <f t="shared" si="89"/>
        <v/>
      </c>
    </row>
    <row r="1127" spans="1:20" x14ac:dyDescent="0.35">
      <c r="A1127" s="13" t="s">
        <v>4547</v>
      </c>
      <c r="B1127" s="13" t="s">
        <v>476</v>
      </c>
      <c r="C1127" s="13" t="s">
        <v>477</v>
      </c>
      <c r="D1127" s="13" t="s">
        <v>4548</v>
      </c>
      <c r="E1127" s="14">
        <v>46020</v>
      </c>
      <c r="F1127" s="14">
        <v>46048</v>
      </c>
      <c r="G1127" s="15">
        <v>13784.86</v>
      </c>
      <c r="H1127" s="13" t="s">
        <v>4549</v>
      </c>
      <c r="I1127" s="13" t="s">
        <v>4550</v>
      </c>
      <c r="J1127" s="13" t="s">
        <v>98</v>
      </c>
      <c r="K1127" s="13">
        <f t="shared" si="85"/>
        <v>1</v>
      </c>
      <c r="L1127" s="13">
        <f t="shared" si="86"/>
        <v>0</v>
      </c>
      <c r="M1127" s="13">
        <f>IF(AND(L1127=0,COUNTIFS($B$2:$B$1534,B1127,$G$2:$G$1534,G1127,$E$2:$E$1534,"&gt;="&amp;(E1127-Assumptions!$B$5),$E$2:$E$1534,"&lt;="&amp;(E1127+Assumptions!$B$5))&gt;1),1,0)</f>
        <v>0</v>
      </c>
      <c r="N1127" s="13">
        <f>IF(AND(G1127&gt;=Assumptions!$B$4*(1-Assumptions!$B$6),G1127&lt;Assumptions!$B$4),1,0)</f>
        <v>0</v>
      </c>
      <c r="O1127" s="13">
        <f>IF(AND(G1127&gt;=Assumptions!$B$7,MOD(G1127,Assumptions!$B$7)=0),1,0)</f>
        <v>0</v>
      </c>
      <c r="P1127" s="13">
        <f t="shared" si="87"/>
        <v>0</v>
      </c>
      <c r="Q1127" s="13">
        <f t="shared" si="88"/>
        <v>0</v>
      </c>
      <c r="R1127" s="13">
        <f>L1127*Assumptions!$B$11+M1127*Assumptions!$B$12+N1127*Assumptions!$B$13+O1127*Assumptions!$B$14+P1127*Assumptions!$B$15+Q1127*Assumptions!$B$16</f>
        <v>0</v>
      </c>
      <c r="S1127" s="13" t="str">
        <f>IF(R1127&gt;=Assumptions!$B$20,"High",IF(R1127&gt;=Assumptions!$B$21,"Medium",IF(R1127&gt;=1,"Low","Clear")))</f>
        <v>Clear</v>
      </c>
      <c r="T1127" s="13" t="str">
        <f t="shared" si="89"/>
        <v/>
      </c>
    </row>
    <row r="1128" spans="1:20" x14ac:dyDescent="0.35">
      <c r="A1128" s="13" t="s">
        <v>4551</v>
      </c>
      <c r="B1128" s="13" t="s">
        <v>100</v>
      </c>
      <c r="C1128" s="13" t="s">
        <v>101</v>
      </c>
      <c r="D1128" s="13" t="s">
        <v>4552</v>
      </c>
      <c r="E1128" s="14">
        <v>46025</v>
      </c>
      <c r="F1128" s="14">
        <v>46048</v>
      </c>
      <c r="G1128" s="15">
        <v>71183.34</v>
      </c>
      <c r="H1128" s="13" t="s">
        <v>4553</v>
      </c>
      <c r="I1128" s="13" t="s">
        <v>4554</v>
      </c>
      <c r="J1128" s="13" t="s">
        <v>136</v>
      </c>
      <c r="K1128" s="13">
        <f t="shared" si="85"/>
        <v>7</v>
      </c>
      <c r="L1128" s="13">
        <f t="shared" si="86"/>
        <v>0</v>
      </c>
      <c r="M1128" s="13">
        <f>IF(AND(L1128=0,COUNTIFS($B$2:$B$1534,B1128,$G$2:$G$1534,G1128,$E$2:$E$1534,"&gt;="&amp;(E1128-Assumptions!$B$5),$E$2:$E$1534,"&lt;="&amp;(E1128+Assumptions!$B$5))&gt;1),1,0)</f>
        <v>0</v>
      </c>
      <c r="N1128" s="13">
        <f>IF(AND(G1128&gt;=Assumptions!$B$4*(1-Assumptions!$B$6),G1128&lt;Assumptions!$B$4),1,0)</f>
        <v>0</v>
      </c>
      <c r="O1128" s="13">
        <f>IF(AND(G1128&gt;=Assumptions!$B$7,MOD(G1128,Assumptions!$B$7)=0),1,0)</f>
        <v>0</v>
      </c>
      <c r="P1128" s="13">
        <f t="shared" si="87"/>
        <v>0</v>
      </c>
      <c r="Q1128" s="13">
        <f t="shared" si="88"/>
        <v>0</v>
      </c>
      <c r="R1128" s="13">
        <f>L1128*Assumptions!$B$11+M1128*Assumptions!$B$12+N1128*Assumptions!$B$13+O1128*Assumptions!$B$14+P1128*Assumptions!$B$15+Q1128*Assumptions!$B$16</f>
        <v>0</v>
      </c>
      <c r="S1128" s="13" t="str">
        <f>IF(R1128&gt;=Assumptions!$B$20,"High",IF(R1128&gt;=Assumptions!$B$21,"Medium",IF(R1128&gt;=1,"Low","Clear")))</f>
        <v>Clear</v>
      </c>
      <c r="T1128" s="13" t="str">
        <f t="shared" si="89"/>
        <v/>
      </c>
    </row>
    <row r="1129" spans="1:20" x14ac:dyDescent="0.35">
      <c r="A1129" s="13" t="s">
        <v>4555</v>
      </c>
      <c r="B1129" s="13" t="s">
        <v>100</v>
      </c>
      <c r="C1129" s="13" t="s">
        <v>101</v>
      </c>
      <c r="D1129" s="13" t="s">
        <v>4556</v>
      </c>
      <c r="E1129" s="14">
        <v>46026</v>
      </c>
      <c r="F1129" s="14">
        <v>46048</v>
      </c>
      <c r="G1129" s="15">
        <v>66673.279999999999</v>
      </c>
      <c r="H1129" s="13" t="s">
        <v>4557</v>
      </c>
      <c r="I1129" s="13" t="s">
        <v>4558</v>
      </c>
      <c r="J1129" s="13" t="s">
        <v>143</v>
      </c>
      <c r="K1129" s="13">
        <f t="shared" si="85"/>
        <v>6</v>
      </c>
      <c r="L1129" s="13">
        <f t="shared" si="86"/>
        <v>0</v>
      </c>
      <c r="M1129" s="13">
        <f>IF(AND(L1129=0,COUNTIFS($B$2:$B$1534,B1129,$G$2:$G$1534,G1129,$E$2:$E$1534,"&gt;="&amp;(E1129-Assumptions!$B$5),$E$2:$E$1534,"&lt;="&amp;(E1129+Assumptions!$B$5))&gt;1),1,0)</f>
        <v>0</v>
      </c>
      <c r="N1129" s="13">
        <f>IF(AND(G1129&gt;=Assumptions!$B$4*(1-Assumptions!$B$6),G1129&lt;Assumptions!$B$4),1,0)</f>
        <v>0</v>
      </c>
      <c r="O1129" s="13">
        <f>IF(AND(G1129&gt;=Assumptions!$B$7,MOD(G1129,Assumptions!$B$7)=0),1,0)</f>
        <v>0</v>
      </c>
      <c r="P1129" s="13">
        <f t="shared" si="87"/>
        <v>0</v>
      </c>
      <c r="Q1129" s="13">
        <f t="shared" si="88"/>
        <v>0</v>
      </c>
      <c r="R1129" s="13">
        <f>L1129*Assumptions!$B$11+M1129*Assumptions!$B$12+N1129*Assumptions!$B$13+O1129*Assumptions!$B$14+P1129*Assumptions!$B$15+Q1129*Assumptions!$B$16</f>
        <v>0</v>
      </c>
      <c r="S1129" s="13" t="str">
        <f>IF(R1129&gt;=Assumptions!$B$20,"High",IF(R1129&gt;=Assumptions!$B$21,"Medium",IF(R1129&gt;=1,"Low","Clear")))</f>
        <v>Clear</v>
      </c>
      <c r="T1129" s="13" t="str">
        <f t="shared" si="89"/>
        <v/>
      </c>
    </row>
    <row r="1130" spans="1:20" x14ac:dyDescent="0.35">
      <c r="A1130" s="13" t="s">
        <v>4559</v>
      </c>
      <c r="B1130" s="13" t="s">
        <v>100</v>
      </c>
      <c r="C1130" s="13" t="s">
        <v>101</v>
      </c>
      <c r="D1130" s="13" t="s">
        <v>4560</v>
      </c>
      <c r="E1130" s="14">
        <v>46010</v>
      </c>
      <c r="F1130" s="14">
        <v>46048</v>
      </c>
      <c r="G1130" s="15">
        <v>149225.32999999999</v>
      </c>
      <c r="H1130" s="13" t="s">
        <v>4561</v>
      </c>
      <c r="I1130" s="13" t="s">
        <v>4562</v>
      </c>
      <c r="J1130" s="13" t="s">
        <v>143</v>
      </c>
      <c r="K1130" s="13">
        <f t="shared" si="85"/>
        <v>1</v>
      </c>
      <c r="L1130" s="13">
        <f t="shared" si="86"/>
        <v>0</v>
      </c>
      <c r="M1130" s="13">
        <f>IF(AND(L1130=0,COUNTIFS($B$2:$B$1534,B1130,$G$2:$G$1534,G1130,$E$2:$E$1534,"&gt;="&amp;(E1130-Assumptions!$B$5),$E$2:$E$1534,"&lt;="&amp;(E1130+Assumptions!$B$5))&gt;1),1,0)</f>
        <v>0</v>
      </c>
      <c r="N1130" s="13">
        <f>IF(AND(G1130&gt;=Assumptions!$B$4*(1-Assumptions!$B$6),G1130&lt;Assumptions!$B$4),1,0)</f>
        <v>0</v>
      </c>
      <c r="O1130" s="13">
        <f>IF(AND(G1130&gt;=Assumptions!$B$7,MOD(G1130,Assumptions!$B$7)=0),1,0)</f>
        <v>0</v>
      </c>
      <c r="P1130" s="13">
        <f t="shared" si="87"/>
        <v>0</v>
      </c>
      <c r="Q1130" s="13">
        <f t="shared" si="88"/>
        <v>0</v>
      </c>
      <c r="R1130" s="13">
        <f>L1130*Assumptions!$B$11+M1130*Assumptions!$B$12+N1130*Assumptions!$B$13+O1130*Assumptions!$B$14+P1130*Assumptions!$B$15+Q1130*Assumptions!$B$16</f>
        <v>0</v>
      </c>
      <c r="S1130" s="13" t="str">
        <f>IF(R1130&gt;=Assumptions!$B$20,"High",IF(R1130&gt;=Assumptions!$B$21,"Medium",IF(R1130&gt;=1,"Low","Clear")))</f>
        <v>Clear</v>
      </c>
      <c r="T1130" s="13" t="str">
        <f t="shared" si="89"/>
        <v/>
      </c>
    </row>
    <row r="1131" spans="1:20" x14ac:dyDescent="0.35">
      <c r="A1131" s="13" t="s">
        <v>4563</v>
      </c>
      <c r="B1131" s="13" t="s">
        <v>556</v>
      </c>
      <c r="C1131" s="13" t="s">
        <v>557</v>
      </c>
      <c r="D1131" s="13" t="s">
        <v>4564</v>
      </c>
      <c r="E1131" s="14">
        <v>46025</v>
      </c>
      <c r="F1131" s="14">
        <v>46048</v>
      </c>
      <c r="G1131" s="15">
        <v>175358.44</v>
      </c>
      <c r="H1131" s="13" t="s">
        <v>4565</v>
      </c>
      <c r="I1131" s="13" t="s">
        <v>4566</v>
      </c>
      <c r="J1131" s="13" t="s">
        <v>91</v>
      </c>
      <c r="K1131" s="13">
        <f t="shared" si="85"/>
        <v>1</v>
      </c>
      <c r="L1131" s="13">
        <f t="shared" si="86"/>
        <v>0</v>
      </c>
      <c r="M1131" s="13">
        <f>IF(AND(L1131=0,COUNTIFS($B$2:$B$1534,B1131,$G$2:$G$1534,G1131,$E$2:$E$1534,"&gt;="&amp;(E1131-Assumptions!$B$5),$E$2:$E$1534,"&lt;="&amp;(E1131+Assumptions!$B$5))&gt;1),1,0)</f>
        <v>0</v>
      </c>
      <c r="N1131" s="13">
        <f>IF(AND(G1131&gt;=Assumptions!$B$4*(1-Assumptions!$B$6),G1131&lt;Assumptions!$B$4),1,0)</f>
        <v>0</v>
      </c>
      <c r="O1131" s="13">
        <f>IF(AND(G1131&gt;=Assumptions!$B$7,MOD(G1131,Assumptions!$B$7)=0),1,0)</f>
        <v>0</v>
      </c>
      <c r="P1131" s="13">
        <f t="shared" si="87"/>
        <v>0</v>
      </c>
      <c r="Q1131" s="13">
        <f t="shared" si="88"/>
        <v>0</v>
      </c>
      <c r="R1131" s="13">
        <f>L1131*Assumptions!$B$11+M1131*Assumptions!$B$12+N1131*Assumptions!$B$13+O1131*Assumptions!$B$14+P1131*Assumptions!$B$15+Q1131*Assumptions!$B$16</f>
        <v>0</v>
      </c>
      <c r="S1131" s="13" t="str">
        <f>IF(R1131&gt;=Assumptions!$B$20,"High",IF(R1131&gt;=Assumptions!$B$21,"Medium",IF(R1131&gt;=1,"Low","Clear")))</f>
        <v>Clear</v>
      </c>
      <c r="T1131" s="13" t="str">
        <f t="shared" si="89"/>
        <v/>
      </c>
    </row>
    <row r="1132" spans="1:20" x14ac:dyDescent="0.35">
      <c r="A1132" s="13" t="s">
        <v>4567</v>
      </c>
      <c r="B1132" s="13" t="s">
        <v>391</v>
      </c>
      <c r="C1132" s="13" t="s">
        <v>392</v>
      </c>
      <c r="D1132" s="13" t="s">
        <v>4568</v>
      </c>
      <c r="E1132" s="14">
        <v>46023</v>
      </c>
      <c r="F1132" s="14">
        <v>46049</v>
      </c>
      <c r="G1132" s="15">
        <v>32934.730000000003</v>
      </c>
      <c r="H1132" s="13" t="s">
        <v>4569</v>
      </c>
      <c r="I1132" s="13" t="s">
        <v>4570</v>
      </c>
      <c r="J1132" s="13" t="s">
        <v>111</v>
      </c>
      <c r="K1132" s="13">
        <f t="shared" si="85"/>
        <v>3</v>
      </c>
      <c r="L1132" s="13">
        <f t="shared" si="86"/>
        <v>0</v>
      </c>
      <c r="M1132" s="13">
        <f>IF(AND(L1132=0,COUNTIFS($B$2:$B$1534,B1132,$G$2:$G$1534,G1132,$E$2:$E$1534,"&gt;="&amp;(E1132-Assumptions!$B$5),$E$2:$E$1534,"&lt;="&amp;(E1132+Assumptions!$B$5))&gt;1),1,0)</f>
        <v>0</v>
      </c>
      <c r="N1132" s="13">
        <f>IF(AND(G1132&gt;=Assumptions!$B$4*(1-Assumptions!$B$6),G1132&lt;Assumptions!$B$4),1,0)</f>
        <v>0</v>
      </c>
      <c r="O1132" s="13">
        <f>IF(AND(G1132&gt;=Assumptions!$B$7,MOD(G1132,Assumptions!$B$7)=0),1,0)</f>
        <v>0</v>
      </c>
      <c r="P1132" s="13">
        <f t="shared" si="87"/>
        <v>0</v>
      </c>
      <c r="Q1132" s="13">
        <f t="shared" si="88"/>
        <v>0</v>
      </c>
      <c r="R1132" s="13">
        <f>L1132*Assumptions!$B$11+M1132*Assumptions!$B$12+N1132*Assumptions!$B$13+O1132*Assumptions!$B$14+P1132*Assumptions!$B$15+Q1132*Assumptions!$B$16</f>
        <v>0</v>
      </c>
      <c r="S1132" s="13" t="str">
        <f>IF(R1132&gt;=Assumptions!$B$20,"High",IF(R1132&gt;=Assumptions!$B$21,"Medium",IF(R1132&gt;=1,"Low","Clear")))</f>
        <v>Clear</v>
      </c>
      <c r="T1132" s="13" t="str">
        <f t="shared" si="89"/>
        <v/>
      </c>
    </row>
    <row r="1133" spans="1:20" x14ac:dyDescent="0.35">
      <c r="A1133" s="13" t="s">
        <v>4571</v>
      </c>
      <c r="B1133" s="13" t="s">
        <v>680</v>
      </c>
      <c r="C1133" s="13" t="s">
        <v>681</v>
      </c>
      <c r="D1133" s="13" t="s">
        <v>4572</v>
      </c>
      <c r="E1133" s="14">
        <v>46023</v>
      </c>
      <c r="F1133" s="14">
        <v>46049</v>
      </c>
      <c r="G1133" s="15">
        <v>4086.99</v>
      </c>
      <c r="H1133" s="13" t="s">
        <v>4573</v>
      </c>
      <c r="I1133" s="13" t="s">
        <v>4574</v>
      </c>
      <c r="J1133" s="13" t="s">
        <v>91</v>
      </c>
      <c r="K1133" s="13">
        <f t="shared" si="85"/>
        <v>4</v>
      </c>
      <c r="L1133" s="13">
        <f t="shared" si="86"/>
        <v>0</v>
      </c>
      <c r="M1133" s="13">
        <f>IF(AND(L1133=0,COUNTIFS($B$2:$B$1534,B1133,$G$2:$G$1534,G1133,$E$2:$E$1534,"&gt;="&amp;(E1133-Assumptions!$B$5),$E$2:$E$1534,"&lt;="&amp;(E1133+Assumptions!$B$5))&gt;1),1,0)</f>
        <v>0</v>
      </c>
      <c r="N1133" s="13">
        <f>IF(AND(G1133&gt;=Assumptions!$B$4*(1-Assumptions!$B$6),G1133&lt;Assumptions!$B$4),1,0)</f>
        <v>0</v>
      </c>
      <c r="O1133" s="13">
        <f>IF(AND(G1133&gt;=Assumptions!$B$7,MOD(G1133,Assumptions!$B$7)=0),1,0)</f>
        <v>0</v>
      </c>
      <c r="P1133" s="13">
        <f t="shared" si="87"/>
        <v>0</v>
      </c>
      <c r="Q1133" s="13">
        <f t="shared" si="88"/>
        <v>0</v>
      </c>
      <c r="R1133" s="13">
        <f>L1133*Assumptions!$B$11+M1133*Assumptions!$B$12+N1133*Assumptions!$B$13+O1133*Assumptions!$B$14+P1133*Assumptions!$B$15+Q1133*Assumptions!$B$16</f>
        <v>0</v>
      </c>
      <c r="S1133" s="13" t="str">
        <f>IF(R1133&gt;=Assumptions!$B$20,"High",IF(R1133&gt;=Assumptions!$B$21,"Medium",IF(R1133&gt;=1,"Low","Clear")))</f>
        <v>Clear</v>
      </c>
      <c r="T1133" s="13" t="str">
        <f t="shared" si="89"/>
        <v/>
      </c>
    </row>
    <row r="1134" spans="1:20" x14ac:dyDescent="0.35">
      <c r="A1134" s="13" t="s">
        <v>4575</v>
      </c>
      <c r="B1134" s="13" t="s">
        <v>307</v>
      </c>
      <c r="C1134" s="13" t="s">
        <v>308</v>
      </c>
      <c r="D1134" s="13" t="s">
        <v>4576</v>
      </c>
      <c r="E1134" s="14">
        <v>46013</v>
      </c>
      <c r="F1134" s="14">
        <v>46049</v>
      </c>
      <c r="G1134" s="15">
        <v>116071.32</v>
      </c>
      <c r="H1134" s="13" t="s">
        <v>4577</v>
      </c>
      <c r="I1134" s="13" t="s">
        <v>4578</v>
      </c>
      <c r="J1134" s="13" t="s">
        <v>98</v>
      </c>
      <c r="K1134" s="13">
        <f t="shared" si="85"/>
        <v>1</v>
      </c>
      <c r="L1134" s="13">
        <f t="shared" si="86"/>
        <v>0</v>
      </c>
      <c r="M1134" s="13">
        <f>IF(AND(L1134=0,COUNTIFS($B$2:$B$1534,B1134,$G$2:$G$1534,G1134,$E$2:$E$1534,"&gt;="&amp;(E1134-Assumptions!$B$5),$E$2:$E$1534,"&lt;="&amp;(E1134+Assumptions!$B$5))&gt;1),1,0)</f>
        <v>0</v>
      </c>
      <c r="N1134" s="13">
        <f>IF(AND(G1134&gt;=Assumptions!$B$4*(1-Assumptions!$B$6),G1134&lt;Assumptions!$B$4),1,0)</f>
        <v>0</v>
      </c>
      <c r="O1134" s="13">
        <f>IF(AND(G1134&gt;=Assumptions!$B$7,MOD(G1134,Assumptions!$B$7)=0),1,0)</f>
        <v>0</v>
      </c>
      <c r="P1134" s="13">
        <f t="shared" si="87"/>
        <v>0</v>
      </c>
      <c r="Q1134" s="13">
        <f t="shared" si="88"/>
        <v>0</v>
      </c>
      <c r="R1134" s="13">
        <f>L1134*Assumptions!$B$11+M1134*Assumptions!$B$12+N1134*Assumptions!$B$13+O1134*Assumptions!$B$14+P1134*Assumptions!$B$15+Q1134*Assumptions!$B$16</f>
        <v>0</v>
      </c>
      <c r="S1134" s="13" t="str">
        <f>IF(R1134&gt;=Assumptions!$B$20,"High",IF(R1134&gt;=Assumptions!$B$21,"Medium",IF(R1134&gt;=1,"Low","Clear")))</f>
        <v>Clear</v>
      </c>
      <c r="T1134" s="13" t="str">
        <f t="shared" si="89"/>
        <v/>
      </c>
    </row>
    <row r="1135" spans="1:20" x14ac:dyDescent="0.35">
      <c r="A1135" s="13" t="s">
        <v>4579</v>
      </c>
      <c r="B1135" s="13" t="s">
        <v>323</v>
      </c>
      <c r="C1135" s="13" t="s">
        <v>324</v>
      </c>
      <c r="D1135" s="13" t="s">
        <v>4580</v>
      </c>
      <c r="E1135" s="14">
        <v>46016</v>
      </c>
      <c r="F1135" s="14">
        <v>46049</v>
      </c>
      <c r="G1135" s="15">
        <v>91952.51</v>
      </c>
      <c r="H1135" s="13" t="s">
        <v>4581</v>
      </c>
      <c r="I1135" s="13" t="s">
        <v>4582</v>
      </c>
      <c r="J1135" s="13" t="s">
        <v>143</v>
      </c>
      <c r="K1135" s="13">
        <f t="shared" si="85"/>
        <v>9</v>
      </c>
      <c r="L1135" s="13">
        <f t="shared" si="86"/>
        <v>0</v>
      </c>
      <c r="M1135" s="13">
        <f>IF(AND(L1135=0,COUNTIFS($B$2:$B$1534,B1135,$G$2:$G$1534,G1135,$E$2:$E$1534,"&gt;="&amp;(E1135-Assumptions!$B$5),$E$2:$E$1534,"&lt;="&amp;(E1135+Assumptions!$B$5))&gt;1),1,0)</f>
        <v>0</v>
      </c>
      <c r="N1135" s="13">
        <f>IF(AND(G1135&gt;=Assumptions!$B$4*(1-Assumptions!$B$6),G1135&lt;Assumptions!$B$4),1,0)</f>
        <v>0</v>
      </c>
      <c r="O1135" s="13">
        <f>IF(AND(G1135&gt;=Assumptions!$B$7,MOD(G1135,Assumptions!$B$7)=0),1,0)</f>
        <v>0</v>
      </c>
      <c r="P1135" s="13">
        <f t="shared" si="87"/>
        <v>0</v>
      </c>
      <c r="Q1135" s="13">
        <f t="shared" si="88"/>
        <v>0</v>
      </c>
      <c r="R1135" s="13">
        <f>L1135*Assumptions!$B$11+M1135*Assumptions!$B$12+N1135*Assumptions!$B$13+O1135*Assumptions!$B$14+P1135*Assumptions!$B$15+Q1135*Assumptions!$B$16</f>
        <v>0</v>
      </c>
      <c r="S1135" s="13" t="str">
        <f>IF(R1135&gt;=Assumptions!$B$20,"High",IF(R1135&gt;=Assumptions!$B$21,"Medium",IF(R1135&gt;=1,"Low","Clear")))</f>
        <v>Clear</v>
      </c>
      <c r="T1135" s="13" t="str">
        <f t="shared" si="89"/>
        <v/>
      </c>
    </row>
    <row r="1136" spans="1:20" x14ac:dyDescent="0.35">
      <c r="A1136" s="13" t="s">
        <v>4583</v>
      </c>
      <c r="B1136" s="13" t="s">
        <v>556</v>
      </c>
      <c r="C1136" s="13" t="s">
        <v>557</v>
      </c>
      <c r="D1136" s="13" t="s">
        <v>4584</v>
      </c>
      <c r="E1136" s="14">
        <v>46025</v>
      </c>
      <c r="F1136" s="14">
        <v>46049</v>
      </c>
      <c r="G1136" s="15">
        <v>2768.39</v>
      </c>
      <c r="H1136" s="13" t="s">
        <v>4585</v>
      </c>
      <c r="I1136" s="13" t="s">
        <v>4586</v>
      </c>
      <c r="J1136" s="13" t="s">
        <v>170</v>
      </c>
      <c r="K1136" s="13">
        <f t="shared" si="85"/>
        <v>2</v>
      </c>
      <c r="L1136" s="13">
        <f t="shared" si="86"/>
        <v>0</v>
      </c>
      <c r="M1136" s="13">
        <f>IF(AND(L1136=0,COUNTIFS($B$2:$B$1534,B1136,$G$2:$G$1534,G1136,$E$2:$E$1534,"&gt;="&amp;(E1136-Assumptions!$B$5),$E$2:$E$1534,"&lt;="&amp;(E1136+Assumptions!$B$5))&gt;1),1,0)</f>
        <v>0</v>
      </c>
      <c r="N1136" s="13">
        <f>IF(AND(G1136&gt;=Assumptions!$B$4*(1-Assumptions!$B$6),G1136&lt;Assumptions!$B$4),1,0)</f>
        <v>0</v>
      </c>
      <c r="O1136" s="13">
        <f>IF(AND(G1136&gt;=Assumptions!$B$7,MOD(G1136,Assumptions!$B$7)=0),1,0)</f>
        <v>0</v>
      </c>
      <c r="P1136" s="13">
        <f t="shared" si="87"/>
        <v>0</v>
      </c>
      <c r="Q1136" s="13">
        <f t="shared" si="88"/>
        <v>0</v>
      </c>
      <c r="R1136" s="13">
        <f>L1136*Assumptions!$B$11+M1136*Assumptions!$B$12+N1136*Assumptions!$B$13+O1136*Assumptions!$B$14+P1136*Assumptions!$B$15+Q1136*Assumptions!$B$16</f>
        <v>0</v>
      </c>
      <c r="S1136" s="13" t="str">
        <f>IF(R1136&gt;=Assumptions!$B$20,"High",IF(R1136&gt;=Assumptions!$B$21,"Medium",IF(R1136&gt;=1,"Low","Clear")))</f>
        <v>Clear</v>
      </c>
      <c r="T1136" s="13" t="str">
        <f t="shared" si="89"/>
        <v/>
      </c>
    </row>
    <row r="1137" spans="1:20" x14ac:dyDescent="0.35">
      <c r="A1137" s="13" t="s">
        <v>4587</v>
      </c>
      <c r="B1137" s="13" t="s">
        <v>317</v>
      </c>
      <c r="C1137" s="13" t="s">
        <v>318</v>
      </c>
      <c r="D1137" s="13" t="s">
        <v>4588</v>
      </c>
      <c r="E1137" s="14">
        <v>46029</v>
      </c>
      <c r="F1137" s="14">
        <v>46050</v>
      </c>
      <c r="G1137" s="15">
        <v>23146.09</v>
      </c>
      <c r="H1137" s="13" t="s">
        <v>4589</v>
      </c>
      <c r="I1137" s="13" t="s">
        <v>4590</v>
      </c>
      <c r="J1137" s="13" t="s">
        <v>170</v>
      </c>
      <c r="K1137" s="13">
        <f t="shared" si="85"/>
        <v>2</v>
      </c>
      <c r="L1137" s="13">
        <f t="shared" si="86"/>
        <v>0</v>
      </c>
      <c r="M1137" s="13">
        <f>IF(AND(L1137=0,COUNTIFS($B$2:$B$1534,B1137,$G$2:$G$1534,G1137,$E$2:$E$1534,"&gt;="&amp;(E1137-Assumptions!$B$5),$E$2:$E$1534,"&lt;="&amp;(E1137+Assumptions!$B$5))&gt;1),1,0)</f>
        <v>0</v>
      </c>
      <c r="N1137" s="13">
        <f>IF(AND(G1137&gt;=Assumptions!$B$4*(1-Assumptions!$B$6),G1137&lt;Assumptions!$B$4),1,0)</f>
        <v>0</v>
      </c>
      <c r="O1137" s="13">
        <f>IF(AND(G1137&gt;=Assumptions!$B$7,MOD(G1137,Assumptions!$B$7)=0),1,0)</f>
        <v>0</v>
      </c>
      <c r="P1137" s="13">
        <f t="shared" si="87"/>
        <v>0</v>
      </c>
      <c r="Q1137" s="13">
        <f t="shared" si="88"/>
        <v>0</v>
      </c>
      <c r="R1137" s="13">
        <f>L1137*Assumptions!$B$11+M1137*Assumptions!$B$12+N1137*Assumptions!$B$13+O1137*Assumptions!$B$14+P1137*Assumptions!$B$15+Q1137*Assumptions!$B$16</f>
        <v>0</v>
      </c>
      <c r="S1137" s="13" t="str">
        <f>IF(R1137&gt;=Assumptions!$B$20,"High",IF(R1137&gt;=Assumptions!$B$21,"Medium",IF(R1137&gt;=1,"Low","Clear")))</f>
        <v>Clear</v>
      </c>
      <c r="T1137" s="13" t="str">
        <f t="shared" si="89"/>
        <v/>
      </c>
    </row>
    <row r="1138" spans="1:20" x14ac:dyDescent="0.35">
      <c r="A1138" s="13" t="s">
        <v>4591</v>
      </c>
      <c r="B1138" s="13" t="s">
        <v>138</v>
      </c>
      <c r="C1138" s="13" t="s">
        <v>139</v>
      </c>
      <c r="D1138" s="13" t="s">
        <v>4592</v>
      </c>
      <c r="E1138" s="14">
        <v>46013</v>
      </c>
      <c r="F1138" s="14">
        <v>46050</v>
      </c>
      <c r="G1138" s="15">
        <v>55151.19</v>
      </c>
      <c r="H1138" s="13" t="s">
        <v>4593</v>
      </c>
      <c r="I1138" s="13" t="s">
        <v>4594</v>
      </c>
      <c r="J1138" s="13" t="s">
        <v>98</v>
      </c>
      <c r="K1138" s="13">
        <f t="shared" si="85"/>
        <v>5</v>
      </c>
      <c r="L1138" s="13">
        <f t="shared" si="86"/>
        <v>0</v>
      </c>
      <c r="M1138" s="13">
        <f>IF(AND(L1138=0,COUNTIFS($B$2:$B$1534,B1138,$G$2:$G$1534,G1138,$E$2:$E$1534,"&gt;="&amp;(E1138-Assumptions!$B$5),$E$2:$E$1534,"&lt;="&amp;(E1138+Assumptions!$B$5))&gt;1),1,0)</f>
        <v>0</v>
      </c>
      <c r="N1138" s="13">
        <f>IF(AND(G1138&gt;=Assumptions!$B$4*(1-Assumptions!$B$6),G1138&lt;Assumptions!$B$4),1,0)</f>
        <v>0</v>
      </c>
      <c r="O1138" s="13">
        <f>IF(AND(G1138&gt;=Assumptions!$B$7,MOD(G1138,Assumptions!$B$7)=0),1,0)</f>
        <v>0</v>
      </c>
      <c r="P1138" s="13">
        <f t="shared" si="87"/>
        <v>0</v>
      </c>
      <c r="Q1138" s="13">
        <f t="shared" si="88"/>
        <v>0</v>
      </c>
      <c r="R1138" s="13">
        <f>L1138*Assumptions!$B$11+M1138*Assumptions!$B$12+N1138*Assumptions!$B$13+O1138*Assumptions!$B$14+P1138*Assumptions!$B$15+Q1138*Assumptions!$B$16</f>
        <v>0</v>
      </c>
      <c r="S1138" s="13" t="str">
        <f>IF(R1138&gt;=Assumptions!$B$20,"High",IF(R1138&gt;=Assumptions!$B$21,"Medium",IF(R1138&gt;=1,"Low","Clear")))</f>
        <v>Clear</v>
      </c>
      <c r="T1138" s="13" t="str">
        <f t="shared" si="89"/>
        <v/>
      </c>
    </row>
    <row r="1139" spans="1:20" x14ac:dyDescent="0.35">
      <c r="A1139" s="13" t="s">
        <v>4595</v>
      </c>
      <c r="B1139" s="13" t="s">
        <v>93</v>
      </c>
      <c r="C1139" s="13" t="s">
        <v>94</v>
      </c>
      <c r="D1139" s="13" t="s">
        <v>4596</v>
      </c>
      <c r="E1139" s="14">
        <v>46015</v>
      </c>
      <c r="F1139" s="14">
        <v>46051</v>
      </c>
      <c r="G1139" s="15">
        <v>113006.52</v>
      </c>
      <c r="H1139" s="13" t="s">
        <v>4597</v>
      </c>
      <c r="I1139" s="13" t="s">
        <v>4598</v>
      </c>
      <c r="J1139" s="13" t="s">
        <v>111</v>
      </c>
      <c r="K1139" s="13">
        <f t="shared" si="85"/>
        <v>1</v>
      </c>
      <c r="L1139" s="13">
        <f t="shared" si="86"/>
        <v>0</v>
      </c>
      <c r="M1139" s="13">
        <f>IF(AND(L1139=0,COUNTIFS($B$2:$B$1534,B1139,$G$2:$G$1534,G1139,$E$2:$E$1534,"&gt;="&amp;(E1139-Assumptions!$B$5),$E$2:$E$1534,"&lt;="&amp;(E1139+Assumptions!$B$5))&gt;1),1,0)</f>
        <v>0</v>
      </c>
      <c r="N1139" s="13">
        <f>IF(AND(G1139&gt;=Assumptions!$B$4*(1-Assumptions!$B$6),G1139&lt;Assumptions!$B$4),1,0)</f>
        <v>0</v>
      </c>
      <c r="O1139" s="13">
        <f>IF(AND(G1139&gt;=Assumptions!$B$7,MOD(G1139,Assumptions!$B$7)=0),1,0)</f>
        <v>0</v>
      </c>
      <c r="P1139" s="13">
        <f t="shared" si="87"/>
        <v>0</v>
      </c>
      <c r="Q1139" s="13">
        <f t="shared" si="88"/>
        <v>0</v>
      </c>
      <c r="R1139" s="13">
        <f>L1139*Assumptions!$B$11+M1139*Assumptions!$B$12+N1139*Assumptions!$B$13+O1139*Assumptions!$B$14+P1139*Assumptions!$B$15+Q1139*Assumptions!$B$16</f>
        <v>0</v>
      </c>
      <c r="S1139" s="13" t="str">
        <f>IF(R1139&gt;=Assumptions!$B$20,"High",IF(R1139&gt;=Assumptions!$B$21,"Medium",IF(R1139&gt;=1,"Low","Clear")))</f>
        <v>Clear</v>
      </c>
      <c r="T1139" s="13" t="str">
        <f t="shared" si="89"/>
        <v/>
      </c>
    </row>
    <row r="1140" spans="1:20" x14ac:dyDescent="0.35">
      <c r="A1140" s="13" t="s">
        <v>4599</v>
      </c>
      <c r="B1140" s="13" t="s">
        <v>93</v>
      </c>
      <c r="C1140" s="13" t="s">
        <v>94</v>
      </c>
      <c r="D1140" s="13" t="s">
        <v>4600</v>
      </c>
      <c r="E1140" s="14">
        <v>46022</v>
      </c>
      <c r="F1140" s="14">
        <v>46051</v>
      </c>
      <c r="G1140" s="15">
        <v>233756.32</v>
      </c>
      <c r="H1140" s="13" t="s">
        <v>4601</v>
      </c>
      <c r="I1140" s="13" t="s">
        <v>4602</v>
      </c>
      <c r="J1140" s="13" t="s">
        <v>111</v>
      </c>
      <c r="K1140" s="13">
        <f t="shared" si="85"/>
        <v>2</v>
      </c>
      <c r="L1140" s="13">
        <f t="shared" si="86"/>
        <v>0</v>
      </c>
      <c r="M1140" s="13">
        <f>IF(AND(L1140=0,COUNTIFS($B$2:$B$1534,B1140,$G$2:$G$1534,G1140,$E$2:$E$1534,"&gt;="&amp;(E1140-Assumptions!$B$5),$E$2:$E$1534,"&lt;="&amp;(E1140+Assumptions!$B$5))&gt;1),1,0)</f>
        <v>0</v>
      </c>
      <c r="N1140" s="13">
        <f>IF(AND(G1140&gt;=Assumptions!$B$4*(1-Assumptions!$B$6),G1140&lt;Assumptions!$B$4),1,0)</f>
        <v>0</v>
      </c>
      <c r="O1140" s="13">
        <f>IF(AND(G1140&gt;=Assumptions!$B$7,MOD(G1140,Assumptions!$B$7)=0),1,0)</f>
        <v>0</v>
      </c>
      <c r="P1140" s="13">
        <f t="shared" si="87"/>
        <v>0</v>
      </c>
      <c r="Q1140" s="13">
        <f t="shared" si="88"/>
        <v>0</v>
      </c>
      <c r="R1140" s="13">
        <f>L1140*Assumptions!$B$11+M1140*Assumptions!$B$12+N1140*Assumptions!$B$13+O1140*Assumptions!$B$14+P1140*Assumptions!$B$15+Q1140*Assumptions!$B$16</f>
        <v>0</v>
      </c>
      <c r="S1140" s="13" t="str">
        <f>IF(R1140&gt;=Assumptions!$B$20,"High",IF(R1140&gt;=Assumptions!$B$21,"Medium",IF(R1140&gt;=1,"Low","Clear")))</f>
        <v>Clear</v>
      </c>
      <c r="T1140" s="13" t="str">
        <f t="shared" si="89"/>
        <v/>
      </c>
    </row>
    <row r="1141" spans="1:20" x14ac:dyDescent="0.35">
      <c r="A1141" s="13" t="s">
        <v>4603</v>
      </c>
      <c r="B1141" s="13" t="s">
        <v>329</v>
      </c>
      <c r="C1141" s="13" t="s">
        <v>330</v>
      </c>
      <c r="D1141" s="13" t="s">
        <v>4604</v>
      </c>
      <c r="E1141" s="14">
        <v>46019</v>
      </c>
      <c r="F1141" s="14">
        <v>46051</v>
      </c>
      <c r="G1141" s="15">
        <v>27403.63</v>
      </c>
      <c r="H1141" s="13" t="s">
        <v>4605</v>
      </c>
      <c r="I1141" s="13" t="s">
        <v>4606</v>
      </c>
      <c r="J1141" s="13" t="s">
        <v>98</v>
      </c>
      <c r="K1141" s="13">
        <f t="shared" si="85"/>
        <v>2</v>
      </c>
      <c r="L1141" s="13">
        <f t="shared" si="86"/>
        <v>0</v>
      </c>
      <c r="M1141" s="13">
        <f>IF(AND(L1141=0,COUNTIFS($B$2:$B$1534,B1141,$G$2:$G$1534,G1141,$E$2:$E$1534,"&gt;="&amp;(E1141-Assumptions!$B$5),$E$2:$E$1534,"&lt;="&amp;(E1141+Assumptions!$B$5))&gt;1),1,0)</f>
        <v>0</v>
      </c>
      <c r="N1141" s="13">
        <f>IF(AND(G1141&gt;=Assumptions!$B$4*(1-Assumptions!$B$6),G1141&lt;Assumptions!$B$4),1,0)</f>
        <v>0</v>
      </c>
      <c r="O1141" s="13">
        <f>IF(AND(G1141&gt;=Assumptions!$B$7,MOD(G1141,Assumptions!$B$7)=0),1,0)</f>
        <v>0</v>
      </c>
      <c r="P1141" s="13">
        <f t="shared" si="87"/>
        <v>0</v>
      </c>
      <c r="Q1141" s="13">
        <f t="shared" si="88"/>
        <v>0</v>
      </c>
      <c r="R1141" s="13">
        <f>L1141*Assumptions!$B$11+M1141*Assumptions!$B$12+N1141*Assumptions!$B$13+O1141*Assumptions!$B$14+P1141*Assumptions!$B$15+Q1141*Assumptions!$B$16</f>
        <v>0</v>
      </c>
      <c r="S1141" s="13" t="str">
        <f>IF(R1141&gt;=Assumptions!$B$20,"High",IF(R1141&gt;=Assumptions!$B$21,"Medium",IF(R1141&gt;=1,"Low","Clear")))</f>
        <v>Clear</v>
      </c>
      <c r="T1141" s="13" t="str">
        <f t="shared" si="89"/>
        <v/>
      </c>
    </row>
    <row r="1142" spans="1:20" x14ac:dyDescent="0.35">
      <c r="A1142" s="13" t="s">
        <v>4607</v>
      </c>
      <c r="B1142" s="13" t="s">
        <v>138</v>
      </c>
      <c r="C1142" s="13" t="s">
        <v>139</v>
      </c>
      <c r="D1142" s="13" t="s">
        <v>4608</v>
      </c>
      <c r="E1142" s="14">
        <v>46018</v>
      </c>
      <c r="F1142" s="14">
        <v>46051</v>
      </c>
      <c r="G1142" s="15">
        <v>792144.59</v>
      </c>
      <c r="H1142" s="13" t="s">
        <v>4609</v>
      </c>
      <c r="I1142" s="13" t="s">
        <v>4610</v>
      </c>
      <c r="J1142" s="13" t="s">
        <v>143</v>
      </c>
      <c r="K1142" s="13">
        <f t="shared" si="85"/>
        <v>7</v>
      </c>
      <c r="L1142" s="13">
        <f t="shared" si="86"/>
        <v>0</v>
      </c>
      <c r="M1142" s="13">
        <f>IF(AND(L1142=0,COUNTIFS($B$2:$B$1534,B1142,$G$2:$G$1534,G1142,$E$2:$E$1534,"&gt;="&amp;(E1142-Assumptions!$B$5),$E$2:$E$1534,"&lt;="&amp;(E1142+Assumptions!$B$5))&gt;1),1,0)</f>
        <v>0</v>
      </c>
      <c r="N1142" s="13">
        <f>IF(AND(G1142&gt;=Assumptions!$B$4*(1-Assumptions!$B$6),G1142&lt;Assumptions!$B$4),1,0)</f>
        <v>0</v>
      </c>
      <c r="O1142" s="13">
        <f>IF(AND(G1142&gt;=Assumptions!$B$7,MOD(G1142,Assumptions!$B$7)=0),1,0)</f>
        <v>0</v>
      </c>
      <c r="P1142" s="13">
        <f t="shared" si="87"/>
        <v>0</v>
      </c>
      <c r="Q1142" s="13">
        <f t="shared" si="88"/>
        <v>0</v>
      </c>
      <c r="R1142" s="13">
        <f>L1142*Assumptions!$B$11+M1142*Assumptions!$B$12+N1142*Assumptions!$B$13+O1142*Assumptions!$B$14+P1142*Assumptions!$B$15+Q1142*Assumptions!$B$16</f>
        <v>0</v>
      </c>
      <c r="S1142" s="13" t="str">
        <f>IF(R1142&gt;=Assumptions!$B$20,"High",IF(R1142&gt;=Assumptions!$B$21,"Medium",IF(R1142&gt;=1,"Low","Clear")))</f>
        <v>Clear</v>
      </c>
      <c r="T1142" s="13" t="str">
        <f t="shared" si="89"/>
        <v/>
      </c>
    </row>
    <row r="1143" spans="1:20" x14ac:dyDescent="0.35">
      <c r="A1143" s="13" t="s">
        <v>4611</v>
      </c>
      <c r="B1143" s="13" t="s">
        <v>138</v>
      </c>
      <c r="C1143" s="13" t="s">
        <v>139</v>
      </c>
      <c r="D1143" s="13" t="s">
        <v>4612</v>
      </c>
      <c r="E1143" s="14">
        <v>46031</v>
      </c>
      <c r="F1143" s="14">
        <v>46051</v>
      </c>
      <c r="G1143" s="15">
        <v>14837.52</v>
      </c>
      <c r="H1143" s="13" t="s">
        <v>4613</v>
      </c>
      <c r="I1143" s="13" t="s">
        <v>4614</v>
      </c>
      <c r="J1143" s="13" t="s">
        <v>136</v>
      </c>
      <c r="K1143" s="13">
        <f t="shared" si="85"/>
        <v>1</v>
      </c>
      <c r="L1143" s="13">
        <f t="shared" si="86"/>
        <v>0</v>
      </c>
      <c r="M1143" s="13">
        <f>IF(AND(L1143=0,COUNTIFS($B$2:$B$1534,B1143,$G$2:$G$1534,G1143,$E$2:$E$1534,"&gt;="&amp;(E1143-Assumptions!$B$5),$E$2:$E$1534,"&lt;="&amp;(E1143+Assumptions!$B$5))&gt;1),1,0)</f>
        <v>0</v>
      </c>
      <c r="N1143" s="13">
        <f>IF(AND(G1143&gt;=Assumptions!$B$4*(1-Assumptions!$B$6),G1143&lt;Assumptions!$B$4),1,0)</f>
        <v>0</v>
      </c>
      <c r="O1143" s="13">
        <f>IF(AND(G1143&gt;=Assumptions!$B$7,MOD(G1143,Assumptions!$B$7)=0),1,0)</f>
        <v>0</v>
      </c>
      <c r="P1143" s="13">
        <f t="shared" si="87"/>
        <v>0</v>
      </c>
      <c r="Q1143" s="13">
        <f t="shared" si="88"/>
        <v>0</v>
      </c>
      <c r="R1143" s="13">
        <f>L1143*Assumptions!$B$11+M1143*Assumptions!$B$12+N1143*Assumptions!$B$13+O1143*Assumptions!$B$14+P1143*Assumptions!$B$15+Q1143*Assumptions!$B$16</f>
        <v>0</v>
      </c>
      <c r="S1143" s="13" t="str">
        <f>IF(R1143&gt;=Assumptions!$B$20,"High",IF(R1143&gt;=Assumptions!$B$21,"Medium",IF(R1143&gt;=1,"Low","Clear")))</f>
        <v>Clear</v>
      </c>
      <c r="T1143" s="13" t="str">
        <f t="shared" si="89"/>
        <v/>
      </c>
    </row>
    <row r="1144" spans="1:20" x14ac:dyDescent="0.35">
      <c r="A1144" s="13" t="s">
        <v>4615</v>
      </c>
      <c r="B1144" s="13" t="s">
        <v>438</v>
      </c>
      <c r="C1144" s="13" t="s">
        <v>439</v>
      </c>
      <c r="D1144" s="13" t="s">
        <v>4616</v>
      </c>
      <c r="E1144" s="14">
        <v>46016</v>
      </c>
      <c r="F1144" s="14">
        <v>46051</v>
      </c>
      <c r="G1144" s="15">
        <v>465350.19</v>
      </c>
      <c r="H1144" s="13" t="s">
        <v>4617</v>
      </c>
      <c r="I1144" s="13" t="s">
        <v>4618</v>
      </c>
      <c r="J1144" s="13" t="s">
        <v>98</v>
      </c>
      <c r="K1144" s="13">
        <f t="shared" si="85"/>
        <v>4</v>
      </c>
      <c r="L1144" s="13">
        <f t="shared" si="86"/>
        <v>0</v>
      </c>
      <c r="M1144" s="13">
        <f>IF(AND(L1144=0,COUNTIFS($B$2:$B$1534,B1144,$G$2:$G$1534,G1144,$E$2:$E$1534,"&gt;="&amp;(E1144-Assumptions!$B$5),$E$2:$E$1534,"&lt;="&amp;(E1144+Assumptions!$B$5))&gt;1),1,0)</f>
        <v>0</v>
      </c>
      <c r="N1144" s="13">
        <f>IF(AND(G1144&gt;=Assumptions!$B$4*(1-Assumptions!$B$6),G1144&lt;Assumptions!$B$4),1,0)</f>
        <v>0</v>
      </c>
      <c r="O1144" s="13">
        <f>IF(AND(G1144&gt;=Assumptions!$B$7,MOD(G1144,Assumptions!$B$7)=0),1,0)</f>
        <v>0</v>
      </c>
      <c r="P1144" s="13">
        <f t="shared" si="87"/>
        <v>0</v>
      </c>
      <c r="Q1144" s="13">
        <f t="shared" si="88"/>
        <v>0</v>
      </c>
      <c r="R1144" s="13">
        <f>L1144*Assumptions!$B$11+M1144*Assumptions!$B$12+N1144*Assumptions!$B$13+O1144*Assumptions!$B$14+P1144*Assumptions!$B$15+Q1144*Assumptions!$B$16</f>
        <v>0</v>
      </c>
      <c r="S1144" s="13" t="str">
        <f>IF(R1144&gt;=Assumptions!$B$20,"High",IF(R1144&gt;=Assumptions!$B$21,"Medium",IF(R1144&gt;=1,"Low","Clear")))</f>
        <v>Clear</v>
      </c>
      <c r="T1144" s="13" t="str">
        <f t="shared" si="89"/>
        <v/>
      </c>
    </row>
    <row r="1145" spans="1:20" x14ac:dyDescent="0.35">
      <c r="A1145" s="13" t="s">
        <v>4619</v>
      </c>
      <c r="B1145" s="13" t="s">
        <v>106</v>
      </c>
      <c r="C1145" s="13" t="s">
        <v>107</v>
      </c>
      <c r="D1145" s="13" t="s">
        <v>4620</v>
      </c>
      <c r="E1145" s="14">
        <v>46023</v>
      </c>
      <c r="F1145" s="14">
        <v>46051</v>
      </c>
      <c r="G1145" s="15">
        <v>174197.31</v>
      </c>
      <c r="H1145" s="13" t="s">
        <v>4621</v>
      </c>
      <c r="I1145" s="13" t="s">
        <v>4622</v>
      </c>
      <c r="J1145" s="13" t="s">
        <v>98</v>
      </c>
      <c r="K1145" s="13">
        <f t="shared" si="85"/>
        <v>1</v>
      </c>
      <c r="L1145" s="13">
        <f t="shared" si="86"/>
        <v>0</v>
      </c>
      <c r="M1145" s="13">
        <f>IF(AND(L1145=0,COUNTIFS($B$2:$B$1534,B1145,$G$2:$G$1534,G1145,$E$2:$E$1534,"&gt;="&amp;(E1145-Assumptions!$B$5),$E$2:$E$1534,"&lt;="&amp;(E1145+Assumptions!$B$5))&gt;1),1,0)</f>
        <v>0</v>
      </c>
      <c r="N1145" s="13">
        <f>IF(AND(G1145&gt;=Assumptions!$B$4*(1-Assumptions!$B$6),G1145&lt;Assumptions!$B$4),1,0)</f>
        <v>0</v>
      </c>
      <c r="O1145" s="13">
        <f>IF(AND(G1145&gt;=Assumptions!$B$7,MOD(G1145,Assumptions!$B$7)=0),1,0)</f>
        <v>0</v>
      </c>
      <c r="P1145" s="13">
        <f t="shared" si="87"/>
        <v>0</v>
      </c>
      <c r="Q1145" s="13">
        <f t="shared" si="88"/>
        <v>0</v>
      </c>
      <c r="R1145" s="13">
        <f>L1145*Assumptions!$B$11+M1145*Assumptions!$B$12+N1145*Assumptions!$B$13+O1145*Assumptions!$B$14+P1145*Assumptions!$B$15+Q1145*Assumptions!$B$16</f>
        <v>0</v>
      </c>
      <c r="S1145" s="13" t="str">
        <f>IF(R1145&gt;=Assumptions!$B$20,"High",IF(R1145&gt;=Assumptions!$B$21,"Medium",IF(R1145&gt;=1,"Low","Clear")))</f>
        <v>Clear</v>
      </c>
      <c r="T1145" s="13" t="str">
        <f t="shared" si="89"/>
        <v/>
      </c>
    </row>
    <row r="1146" spans="1:20" x14ac:dyDescent="0.35">
      <c r="A1146" s="13" t="s">
        <v>4623</v>
      </c>
      <c r="B1146" s="13" t="s">
        <v>466</v>
      </c>
      <c r="C1146" s="13" t="s">
        <v>467</v>
      </c>
      <c r="D1146" s="13" t="s">
        <v>4624</v>
      </c>
      <c r="E1146" s="14">
        <v>46012</v>
      </c>
      <c r="F1146" s="14">
        <v>46052</v>
      </c>
      <c r="G1146" s="15">
        <v>48928.22</v>
      </c>
      <c r="H1146" s="13" t="s">
        <v>4625</v>
      </c>
      <c r="I1146" s="13" t="s">
        <v>4626</v>
      </c>
      <c r="J1146" s="13" t="s">
        <v>143</v>
      </c>
      <c r="K1146" s="13">
        <f t="shared" si="85"/>
        <v>4</v>
      </c>
      <c r="L1146" s="13">
        <f t="shared" si="86"/>
        <v>0</v>
      </c>
      <c r="M1146" s="13">
        <f>IF(AND(L1146=0,COUNTIFS($B$2:$B$1534,B1146,$G$2:$G$1534,G1146,$E$2:$E$1534,"&gt;="&amp;(E1146-Assumptions!$B$5),$E$2:$E$1534,"&lt;="&amp;(E1146+Assumptions!$B$5))&gt;1),1,0)</f>
        <v>0</v>
      </c>
      <c r="N1146" s="13">
        <f>IF(AND(G1146&gt;=Assumptions!$B$4*(1-Assumptions!$B$6),G1146&lt;Assumptions!$B$4),1,0)</f>
        <v>1</v>
      </c>
      <c r="O1146" s="13">
        <f>IF(AND(G1146&gt;=Assumptions!$B$7,MOD(G1146,Assumptions!$B$7)=0),1,0)</f>
        <v>0</v>
      </c>
      <c r="P1146" s="13">
        <f t="shared" si="87"/>
        <v>0</v>
      </c>
      <c r="Q1146" s="13">
        <f t="shared" si="88"/>
        <v>0</v>
      </c>
      <c r="R1146" s="13">
        <f>L1146*Assumptions!$B$11+M1146*Assumptions!$B$12+N1146*Assumptions!$B$13+O1146*Assumptions!$B$14+P1146*Assumptions!$B$15+Q1146*Assumptions!$B$16</f>
        <v>3</v>
      </c>
      <c r="S1146" s="13" t="str">
        <f>IF(R1146&gt;=Assumptions!$B$20,"High",IF(R1146&gt;=Assumptions!$B$21,"Medium",IF(R1146&gt;=1,"Low","Clear")))</f>
        <v>Medium</v>
      </c>
      <c r="T1146" s="13" t="str">
        <f t="shared" si="89"/>
        <v xml:space="preserve">Just below limit; </v>
      </c>
    </row>
    <row r="1147" spans="1:20" x14ac:dyDescent="0.35">
      <c r="A1147" s="13" t="s">
        <v>4627</v>
      </c>
      <c r="B1147" s="13" t="s">
        <v>212</v>
      </c>
      <c r="C1147" s="13" t="s">
        <v>213</v>
      </c>
      <c r="D1147" s="13" t="s">
        <v>4628</v>
      </c>
      <c r="E1147" s="14">
        <v>46017</v>
      </c>
      <c r="F1147" s="14">
        <v>46052</v>
      </c>
      <c r="G1147" s="15">
        <v>140265.1</v>
      </c>
      <c r="H1147" s="13" t="s">
        <v>4629</v>
      </c>
      <c r="I1147" s="13" t="s">
        <v>4630</v>
      </c>
      <c r="J1147" s="13" t="s">
        <v>170</v>
      </c>
      <c r="K1147" s="13">
        <f t="shared" si="85"/>
        <v>1</v>
      </c>
      <c r="L1147" s="13">
        <f t="shared" si="86"/>
        <v>0</v>
      </c>
      <c r="M1147" s="13">
        <f>IF(AND(L1147=0,COUNTIFS($B$2:$B$1534,B1147,$G$2:$G$1534,G1147,$E$2:$E$1534,"&gt;="&amp;(E1147-Assumptions!$B$5),$E$2:$E$1534,"&lt;="&amp;(E1147+Assumptions!$B$5))&gt;1),1,0)</f>
        <v>0</v>
      </c>
      <c r="N1147" s="13">
        <f>IF(AND(G1147&gt;=Assumptions!$B$4*(1-Assumptions!$B$6),G1147&lt;Assumptions!$B$4),1,0)</f>
        <v>0</v>
      </c>
      <c r="O1147" s="13">
        <f>IF(AND(G1147&gt;=Assumptions!$B$7,MOD(G1147,Assumptions!$B$7)=0),1,0)</f>
        <v>0</v>
      </c>
      <c r="P1147" s="13">
        <f t="shared" si="87"/>
        <v>0</v>
      </c>
      <c r="Q1147" s="13">
        <f t="shared" si="88"/>
        <v>0</v>
      </c>
      <c r="R1147" s="13">
        <f>L1147*Assumptions!$B$11+M1147*Assumptions!$B$12+N1147*Assumptions!$B$13+O1147*Assumptions!$B$14+P1147*Assumptions!$B$15+Q1147*Assumptions!$B$16</f>
        <v>0</v>
      </c>
      <c r="S1147" s="13" t="str">
        <f>IF(R1147&gt;=Assumptions!$B$20,"High",IF(R1147&gt;=Assumptions!$B$21,"Medium",IF(R1147&gt;=1,"Low","Clear")))</f>
        <v>Clear</v>
      </c>
      <c r="T1147" s="13" t="str">
        <f t="shared" si="89"/>
        <v/>
      </c>
    </row>
    <row r="1148" spans="1:20" x14ac:dyDescent="0.35">
      <c r="A1148" s="13" t="s">
        <v>4631</v>
      </c>
      <c r="B1148" s="13" t="s">
        <v>106</v>
      </c>
      <c r="C1148" s="13" t="s">
        <v>107</v>
      </c>
      <c r="D1148" s="13" t="s">
        <v>4632</v>
      </c>
      <c r="E1148" s="14">
        <v>46024</v>
      </c>
      <c r="F1148" s="14">
        <v>46052</v>
      </c>
      <c r="G1148" s="15">
        <v>95894.5</v>
      </c>
      <c r="H1148" s="13" t="s">
        <v>4633</v>
      </c>
      <c r="I1148" s="13" t="s">
        <v>4634</v>
      </c>
      <c r="J1148" s="13" t="s">
        <v>111</v>
      </c>
      <c r="K1148" s="13">
        <f t="shared" si="85"/>
        <v>9</v>
      </c>
      <c r="L1148" s="13">
        <f t="shared" si="86"/>
        <v>0</v>
      </c>
      <c r="M1148" s="13">
        <f>IF(AND(L1148=0,COUNTIFS($B$2:$B$1534,B1148,$G$2:$G$1534,G1148,$E$2:$E$1534,"&gt;="&amp;(E1148-Assumptions!$B$5),$E$2:$E$1534,"&lt;="&amp;(E1148+Assumptions!$B$5))&gt;1),1,0)</f>
        <v>0</v>
      </c>
      <c r="N1148" s="13">
        <f>IF(AND(G1148&gt;=Assumptions!$B$4*(1-Assumptions!$B$6),G1148&lt;Assumptions!$B$4),1,0)</f>
        <v>0</v>
      </c>
      <c r="O1148" s="13">
        <f>IF(AND(G1148&gt;=Assumptions!$B$7,MOD(G1148,Assumptions!$B$7)=0),1,0)</f>
        <v>0</v>
      </c>
      <c r="P1148" s="13">
        <f t="shared" si="87"/>
        <v>0</v>
      </c>
      <c r="Q1148" s="13">
        <f t="shared" si="88"/>
        <v>0</v>
      </c>
      <c r="R1148" s="13">
        <f>L1148*Assumptions!$B$11+M1148*Assumptions!$B$12+N1148*Assumptions!$B$13+O1148*Assumptions!$B$14+P1148*Assumptions!$B$15+Q1148*Assumptions!$B$16</f>
        <v>0</v>
      </c>
      <c r="S1148" s="13" t="str">
        <f>IF(R1148&gt;=Assumptions!$B$20,"High",IF(R1148&gt;=Assumptions!$B$21,"Medium",IF(R1148&gt;=1,"Low","Clear")))</f>
        <v>Clear</v>
      </c>
      <c r="T1148" s="13" t="str">
        <f t="shared" si="89"/>
        <v/>
      </c>
    </row>
    <row r="1149" spans="1:20" x14ac:dyDescent="0.35">
      <c r="A1149" s="13" t="s">
        <v>4635</v>
      </c>
      <c r="B1149" s="13" t="s">
        <v>556</v>
      </c>
      <c r="C1149" s="13" t="s">
        <v>557</v>
      </c>
      <c r="D1149" s="13" t="s">
        <v>4636</v>
      </c>
      <c r="E1149" s="14">
        <v>46014</v>
      </c>
      <c r="F1149" s="14">
        <v>46053</v>
      </c>
      <c r="G1149" s="15">
        <v>17456.900000000001</v>
      </c>
      <c r="H1149" s="13" t="s">
        <v>4637</v>
      </c>
      <c r="I1149" s="13" t="s">
        <v>4638</v>
      </c>
      <c r="J1149" s="13" t="s">
        <v>143</v>
      </c>
      <c r="K1149" s="13">
        <f t="shared" si="85"/>
        <v>1</v>
      </c>
      <c r="L1149" s="13">
        <f t="shared" si="86"/>
        <v>0</v>
      </c>
      <c r="M1149" s="13">
        <f>IF(AND(L1149=0,COUNTIFS($B$2:$B$1534,B1149,$G$2:$G$1534,G1149,$E$2:$E$1534,"&gt;="&amp;(E1149-Assumptions!$B$5),$E$2:$E$1534,"&lt;="&amp;(E1149+Assumptions!$B$5))&gt;1),1,0)</f>
        <v>0</v>
      </c>
      <c r="N1149" s="13">
        <f>IF(AND(G1149&gt;=Assumptions!$B$4*(1-Assumptions!$B$6),G1149&lt;Assumptions!$B$4),1,0)</f>
        <v>0</v>
      </c>
      <c r="O1149" s="13">
        <f>IF(AND(G1149&gt;=Assumptions!$B$7,MOD(G1149,Assumptions!$B$7)=0),1,0)</f>
        <v>0</v>
      </c>
      <c r="P1149" s="13">
        <f t="shared" si="87"/>
        <v>0</v>
      </c>
      <c r="Q1149" s="13">
        <f t="shared" si="88"/>
        <v>1</v>
      </c>
      <c r="R1149" s="13">
        <f>L1149*Assumptions!$B$11+M1149*Assumptions!$B$12+N1149*Assumptions!$B$13+O1149*Assumptions!$B$14+P1149*Assumptions!$B$15+Q1149*Assumptions!$B$16</f>
        <v>1</v>
      </c>
      <c r="S1149" s="13" t="str">
        <f>IF(R1149&gt;=Assumptions!$B$20,"High",IF(R1149&gt;=Assumptions!$B$21,"Medium",IF(R1149&gt;=1,"Low","Clear")))</f>
        <v>Low</v>
      </c>
      <c r="T1149" s="13" t="str">
        <f t="shared" si="89"/>
        <v xml:space="preserve">Weekend payment; </v>
      </c>
    </row>
    <row r="1150" spans="1:20" x14ac:dyDescent="0.35">
      <c r="A1150" s="13" t="s">
        <v>4639</v>
      </c>
      <c r="B1150" s="13" t="s">
        <v>176</v>
      </c>
      <c r="C1150" s="13" t="s">
        <v>177</v>
      </c>
      <c r="D1150" s="13" t="s">
        <v>4640</v>
      </c>
      <c r="E1150" s="14">
        <v>46017</v>
      </c>
      <c r="F1150" s="14">
        <v>46055</v>
      </c>
      <c r="G1150" s="15">
        <v>3481.02</v>
      </c>
      <c r="H1150" s="13" t="s">
        <v>4641</v>
      </c>
      <c r="I1150" s="13" t="s">
        <v>4642</v>
      </c>
      <c r="J1150" s="13" t="s">
        <v>98</v>
      </c>
      <c r="K1150" s="13">
        <f t="shared" si="85"/>
        <v>3</v>
      </c>
      <c r="L1150" s="13">
        <f t="shared" si="86"/>
        <v>0</v>
      </c>
      <c r="M1150" s="13">
        <f>IF(AND(L1150=0,COUNTIFS($B$2:$B$1534,B1150,$G$2:$G$1534,G1150,$E$2:$E$1534,"&gt;="&amp;(E1150-Assumptions!$B$5),$E$2:$E$1534,"&lt;="&amp;(E1150+Assumptions!$B$5))&gt;1),1,0)</f>
        <v>0</v>
      </c>
      <c r="N1150" s="13">
        <f>IF(AND(G1150&gt;=Assumptions!$B$4*(1-Assumptions!$B$6),G1150&lt;Assumptions!$B$4),1,0)</f>
        <v>0</v>
      </c>
      <c r="O1150" s="13">
        <f>IF(AND(G1150&gt;=Assumptions!$B$7,MOD(G1150,Assumptions!$B$7)=0),1,0)</f>
        <v>0</v>
      </c>
      <c r="P1150" s="13">
        <f t="shared" si="87"/>
        <v>0</v>
      </c>
      <c r="Q1150" s="13">
        <f t="shared" si="88"/>
        <v>0</v>
      </c>
      <c r="R1150" s="13">
        <f>L1150*Assumptions!$B$11+M1150*Assumptions!$B$12+N1150*Assumptions!$B$13+O1150*Assumptions!$B$14+P1150*Assumptions!$B$15+Q1150*Assumptions!$B$16</f>
        <v>0</v>
      </c>
      <c r="S1150" s="13" t="str">
        <f>IF(R1150&gt;=Assumptions!$B$20,"High",IF(R1150&gt;=Assumptions!$B$21,"Medium",IF(R1150&gt;=1,"Low","Clear")))</f>
        <v>Clear</v>
      </c>
      <c r="T1150" s="13" t="str">
        <f t="shared" si="89"/>
        <v/>
      </c>
    </row>
    <row r="1151" spans="1:20" x14ac:dyDescent="0.35">
      <c r="A1151" s="13" t="s">
        <v>4643</v>
      </c>
      <c r="B1151" s="13" t="s">
        <v>670</v>
      </c>
      <c r="C1151" s="13" t="s">
        <v>671</v>
      </c>
      <c r="D1151" s="13" t="s">
        <v>4644</v>
      </c>
      <c r="E1151" s="14">
        <v>46022</v>
      </c>
      <c r="F1151" s="14">
        <v>46055</v>
      </c>
      <c r="G1151" s="15">
        <v>783256.79</v>
      </c>
      <c r="H1151" s="13" t="s">
        <v>4645</v>
      </c>
      <c r="I1151" s="13" t="s">
        <v>4646</v>
      </c>
      <c r="J1151" s="13" t="s">
        <v>170</v>
      </c>
      <c r="K1151" s="13">
        <f t="shared" si="85"/>
        <v>7</v>
      </c>
      <c r="L1151" s="13">
        <f t="shared" si="86"/>
        <v>1</v>
      </c>
      <c r="M1151" s="13">
        <f>IF(AND(L1151=0,COUNTIFS($B$2:$B$1534,B1151,$G$2:$G$1534,G1151,$E$2:$E$1534,"&gt;="&amp;(E1151-Assumptions!$B$5),$E$2:$E$1534,"&lt;="&amp;(E1151+Assumptions!$B$5))&gt;1),1,0)</f>
        <v>0</v>
      </c>
      <c r="N1151" s="13">
        <f>IF(AND(G1151&gt;=Assumptions!$B$4*(1-Assumptions!$B$6),G1151&lt;Assumptions!$B$4),1,0)</f>
        <v>0</v>
      </c>
      <c r="O1151" s="13">
        <f>IF(AND(G1151&gt;=Assumptions!$B$7,MOD(G1151,Assumptions!$B$7)=0),1,0)</f>
        <v>0</v>
      </c>
      <c r="P1151" s="13">
        <f t="shared" si="87"/>
        <v>0</v>
      </c>
      <c r="Q1151" s="13">
        <f t="shared" si="88"/>
        <v>0</v>
      </c>
      <c r="R1151" s="13">
        <f>L1151*Assumptions!$B$11+M1151*Assumptions!$B$12+N1151*Assumptions!$B$13+O1151*Assumptions!$B$14+P1151*Assumptions!$B$15+Q1151*Assumptions!$B$16</f>
        <v>5</v>
      </c>
      <c r="S1151" s="13" t="str">
        <f>IF(R1151&gt;=Assumptions!$B$20,"High",IF(R1151&gt;=Assumptions!$B$21,"Medium",IF(R1151&gt;=1,"Low","Clear")))</f>
        <v>High</v>
      </c>
      <c r="T1151" s="13" t="str">
        <f t="shared" si="89"/>
        <v xml:space="preserve">Duplicate invoice; </v>
      </c>
    </row>
    <row r="1152" spans="1:20" x14ac:dyDescent="0.35">
      <c r="A1152" s="13" t="s">
        <v>4647</v>
      </c>
      <c r="B1152" s="13" t="s">
        <v>498</v>
      </c>
      <c r="C1152" s="13" t="s">
        <v>499</v>
      </c>
      <c r="D1152" s="13" t="s">
        <v>4648</v>
      </c>
      <c r="E1152" s="14">
        <v>46034</v>
      </c>
      <c r="F1152" s="14">
        <v>46055</v>
      </c>
      <c r="G1152" s="15">
        <v>55139.23</v>
      </c>
      <c r="H1152" s="13" t="s">
        <v>4649</v>
      </c>
      <c r="I1152" s="13" t="s">
        <v>4650</v>
      </c>
      <c r="J1152" s="13" t="s">
        <v>91</v>
      </c>
      <c r="K1152" s="13">
        <f t="shared" si="85"/>
        <v>5</v>
      </c>
      <c r="L1152" s="13">
        <f t="shared" si="86"/>
        <v>0</v>
      </c>
      <c r="M1152" s="13">
        <f>IF(AND(L1152=0,COUNTIFS($B$2:$B$1534,B1152,$G$2:$G$1534,G1152,$E$2:$E$1534,"&gt;="&amp;(E1152-Assumptions!$B$5),$E$2:$E$1534,"&lt;="&amp;(E1152+Assumptions!$B$5))&gt;1),1,0)</f>
        <v>0</v>
      </c>
      <c r="N1152" s="13">
        <f>IF(AND(G1152&gt;=Assumptions!$B$4*(1-Assumptions!$B$6),G1152&lt;Assumptions!$B$4),1,0)</f>
        <v>0</v>
      </c>
      <c r="O1152" s="13">
        <f>IF(AND(G1152&gt;=Assumptions!$B$7,MOD(G1152,Assumptions!$B$7)=0),1,0)</f>
        <v>0</v>
      </c>
      <c r="P1152" s="13">
        <f t="shared" si="87"/>
        <v>0</v>
      </c>
      <c r="Q1152" s="13">
        <f t="shared" si="88"/>
        <v>0</v>
      </c>
      <c r="R1152" s="13">
        <f>L1152*Assumptions!$B$11+M1152*Assumptions!$B$12+N1152*Assumptions!$B$13+O1152*Assumptions!$B$14+P1152*Assumptions!$B$15+Q1152*Assumptions!$B$16</f>
        <v>0</v>
      </c>
      <c r="S1152" s="13" t="str">
        <f>IF(R1152&gt;=Assumptions!$B$20,"High",IF(R1152&gt;=Assumptions!$B$21,"Medium",IF(R1152&gt;=1,"Low","Clear")))</f>
        <v>Clear</v>
      </c>
      <c r="T1152" s="13" t="str">
        <f t="shared" si="89"/>
        <v/>
      </c>
    </row>
    <row r="1153" spans="1:20" x14ac:dyDescent="0.35">
      <c r="A1153" s="13" t="s">
        <v>4651</v>
      </c>
      <c r="B1153" s="13" t="s">
        <v>200</v>
      </c>
      <c r="C1153" s="13" t="s">
        <v>201</v>
      </c>
      <c r="D1153" s="13" t="s">
        <v>4652</v>
      </c>
      <c r="E1153" s="14">
        <v>46030</v>
      </c>
      <c r="F1153" s="14">
        <v>46055</v>
      </c>
      <c r="G1153" s="15">
        <v>9839.41</v>
      </c>
      <c r="H1153" s="13" t="s">
        <v>4653</v>
      </c>
      <c r="I1153" s="13" t="s">
        <v>4654</v>
      </c>
      <c r="J1153" s="13" t="s">
        <v>143</v>
      </c>
      <c r="K1153" s="13">
        <f t="shared" si="85"/>
        <v>9</v>
      </c>
      <c r="L1153" s="13">
        <f t="shared" si="86"/>
        <v>0</v>
      </c>
      <c r="M1153" s="13">
        <f>IF(AND(L1153=0,COUNTIFS($B$2:$B$1534,B1153,$G$2:$G$1534,G1153,$E$2:$E$1534,"&gt;="&amp;(E1153-Assumptions!$B$5),$E$2:$E$1534,"&lt;="&amp;(E1153+Assumptions!$B$5))&gt;1),1,0)</f>
        <v>0</v>
      </c>
      <c r="N1153" s="13">
        <f>IF(AND(G1153&gt;=Assumptions!$B$4*(1-Assumptions!$B$6),G1153&lt;Assumptions!$B$4),1,0)</f>
        <v>0</v>
      </c>
      <c r="O1153" s="13">
        <f>IF(AND(G1153&gt;=Assumptions!$B$7,MOD(G1153,Assumptions!$B$7)=0),1,0)</f>
        <v>0</v>
      </c>
      <c r="P1153" s="13">
        <f t="shared" si="87"/>
        <v>0</v>
      </c>
      <c r="Q1153" s="13">
        <f t="shared" si="88"/>
        <v>0</v>
      </c>
      <c r="R1153" s="13">
        <f>L1153*Assumptions!$B$11+M1153*Assumptions!$B$12+N1153*Assumptions!$B$13+O1153*Assumptions!$B$14+P1153*Assumptions!$B$15+Q1153*Assumptions!$B$16</f>
        <v>0</v>
      </c>
      <c r="S1153" s="13" t="str">
        <f>IF(R1153&gt;=Assumptions!$B$20,"High",IF(R1153&gt;=Assumptions!$B$21,"Medium",IF(R1153&gt;=1,"Low","Clear")))</f>
        <v>Clear</v>
      </c>
      <c r="T1153" s="13" t="str">
        <f t="shared" si="89"/>
        <v/>
      </c>
    </row>
    <row r="1154" spans="1:20" x14ac:dyDescent="0.35">
      <c r="A1154" s="13" t="s">
        <v>4655</v>
      </c>
      <c r="B1154" s="13" t="s">
        <v>680</v>
      </c>
      <c r="C1154" s="13" t="s">
        <v>681</v>
      </c>
      <c r="D1154" s="13" t="s">
        <v>4656</v>
      </c>
      <c r="E1154" s="14">
        <v>46014</v>
      </c>
      <c r="F1154" s="14">
        <v>46055</v>
      </c>
      <c r="G1154" s="15">
        <v>1169.69</v>
      </c>
      <c r="H1154" s="13" t="s">
        <v>4657</v>
      </c>
      <c r="I1154" s="13" t="s">
        <v>4658</v>
      </c>
      <c r="J1154" s="13" t="s">
        <v>91</v>
      </c>
      <c r="K1154" s="13">
        <f t="shared" ref="K1154:K1217" si="90">VALUE(LEFT(TEXT(G1154,"0"),1))</f>
        <v>1</v>
      </c>
      <c r="L1154" s="13">
        <f t="shared" ref="L1154:L1217" si="91">IF(COUNTIFS($B$2:$B$1534,B1154,$D$2:$D$1534,D1154)&gt;1,1,0)</f>
        <v>0</v>
      </c>
      <c r="M1154" s="13">
        <f>IF(AND(L1154=0,COUNTIFS($B$2:$B$1534,B1154,$G$2:$G$1534,G1154,$E$2:$E$1534,"&gt;="&amp;(E1154-Assumptions!$B$5),$E$2:$E$1534,"&lt;="&amp;(E1154+Assumptions!$B$5))&gt;1),1,0)</f>
        <v>0</v>
      </c>
      <c r="N1154" s="13">
        <f>IF(AND(G1154&gt;=Assumptions!$B$4*(1-Assumptions!$B$6),G1154&lt;Assumptions!$B$4),1,0)</f>
        <v>0</v>
      </c>
      <c r="O1154" s="13">
        <f>IF(AND(G1154&gt;=Assumptions!$B$7,MOD(G1154,Assumptions!$B$7)=0),1,0)</f>
        <v>0</v>
      </c>
      <c r="P1154" s="13">
        <f t="shared" ref="P1154:P1217" si="92">IF(OR(H1154="",I1154=""),1,0)</f>
        <v>0</v>
      </c>
      <c r="Q1154" s="13">
        <f t="shared" ref="Q1154:Q1217" si="93">IF(WEEKDAY(F1154,2)&gt;5,1,0)</f>
        <v>0</v>
      </c>
      <c r="R1154" s="13">
        <f>L1154*Assumptions!$B$11+M1154*Assumptions!$B$12+N1154*Assumptions!$B$13+O1154*Assumptions!$B$14+P1154*Assumptions!$B$15+Q1154*Assumptions!$B$16</f>
        <v>0</v>
      </c>
      <c r="S1154" s="13" t="str">
        <f>IF(R1154&gt;=Assumptions!$B$20,"High",IF(R1154&gt;=Assumptions!$B$21,"Medium",IF(R1154&gt;=1,"Low","Clear")))</f>
        <v>Clear</v>
      </c>
      <c r="T1154" s="13" t="str">
        <f t="shared" ref="T1154:T1217" si="94">IF(R1154=0,"",IF(L1154=1,"Duplicate invoice; ","")&amp;IF(M1154=1,"Near-duplicate; ","")&amp;IF(N1154=1,"Just below limit; ","")&amp;IF(O1154=1,"Round amount; ","")&amp;IF(P1154=1,"No PO/GRN; ","")&amp;IF(Q1154=1,"Weekend payment; ",""))</f>
        <v/>
      </c>
    </row>
    <row r="1155" spans="1:20" x14ac:dyDescent="0.35">
      <c r="A1155" s="13" t="s">
        <v>4659</v>
      </c>
      <c r="B1155" s="13" t="s">
        <v>466</v>
      </c>
      <c r="C1155" s="13" t="s">
        <v>467</v>
      </c>
      <c r="D1155" s="13" t="s">
        <v>4660</v>
      </c>
      <c r="E1155" s="14">
        <v>46033</v>
      </c>
      <c r="F1155" s="14">
        <v>46055</v>
      </c>
      <c r="G1155" s="15">
        <v>1765</v>
      </c>
      <c r="H1155" s="13" t="s">
        <v>4661</v>
      </c>
      <c r="I1155" s="13" t="s">
        <v>4662</v>
      </c>
      <c r="J1155" s="13" t="s">
        <v>98</v>
      </c>
      <c r="K1155" s="13">
        <f t="shared" si="90"/>
        <v>1</v>
      </c>
      <c r="L1155" s="13">
        <f t="shared" si="91"/>
        <v>0</v>
      </c>
      <c r="M1155" s="13">
        <f>IF(AND(L1155=0,COUNTIFS($B$2:$B$1534,B1155,$G$2:$G$1534,G1155,$E$2:$E$1534,"&gt;="&amp;(E1155-Assumptions!$B$5),$E$2:$E$1534,"&lt;="&amp;(E1155+Assumptions!$B$5))&gt;1),1,0)</f>
        <v>0</v>
      </c>
      <c r="N1155" s="13">
        <f>IF(AND(G1155&gt;=Assumptions!$B$4*(1-Assumptions!$B$6),G1155&lt;Assumptions!$B$4),1,0)</f>
        <v>0</v>
      </c>
      <c r="O1155" s="13">
        <f>IF(AND(G1155&gt;=Assumptions!$B$7,MOD(G1155,Assumptions!$B$7)=0),1,0)</f>
        <v>0</v>
      </c>
      <c r="P1155" s="13">
        <f t="shared" si="92"/>
        <v>0</v>
      </c>
      <c r="Q1155" s="13">
        <f t="shared" si="93"/>
        <v>0</v>
      </c>
      <c r="R1155" s="13">
        <f>L1155*Assumptions!$B$11+M1155*Assumptions!$B$12+N1155*Assumptions!$B$13+O1155*Assumptions!$B$14+P1155*Assumptions!$B$15+Q1155*Assumptions!$B$16</f>
        <v>0</v>
      </c>
      <c r="S1155" s="13" t="str">
        <f>IF(R1155&gt;=Assumptions!$B$20,"High",IF(R1155&gt;=Assumptions!$B$21,"Medium",IF(R1155&gt;=1,"Low","Clear")))</f>
        <v>Clear</v>
      </c>
      <c r="T1155" s="13" t="str">
        <f t="shared" si="94"/>
        <v/>
      </c>
    </row>
    <row r="1156" spans="1:20" x14ac:dyDescent="0.35">
      <c r="A1156" s="13" t="s">
        <v>4663</v>
      </c>
      <c r="B1156" s="13" t="s">
        <v>323</v>
      </c>
      <c r="C1156" s="13" t="s">
        <v>324</v>
      </c>
      <c r="D1156" s="13" t="s">
        <v>4664</v>
      </c>
      <c r="E1156" s="14">
        <v>46031</v>
      </c>
      <c r="F1156" s="14">
        <v>46055</v>
      </c>
      <c r="G1156" s="15">
        <v>968164.48</v>
      </c>
      <c r="H1156" s="13" t="s">
        <v>4665</v>
      </c>
      <c r="I1156" s="13" t="s">
        <v>4666</v>
      </c>
      <c r="J1156" s="13" t="s">
        <v>91</v>
      </c>
      <c r="K1156" s="13">
        <f t="shared" si="90"/>
        <v>9</v>
      </c>
      <c r="L1156" s="13">
        <f t="shared" si="91"/>
        <v>0</v>
      </c>
      <c r="M1156" s="13">
        <f>IF(AND(L1156=0,COUNTIFS($B$2:$B$1534,B1156,$G$2:$G$1534,G1156,$E$2:$E$1534,"&gt;="&amp;(E1156-Assumptions!$B$5),$E$2:$E$1534,"&lt;="&amp;(E1156+Assumptions!$B$5))&gt;1),1,0)</f>
        <v>0</v>
      </c>
      <c r="N1156" s="13">
        <f>IF(AND(G1156&gt;=Assumptions!$B$4*(1-Assumptions!$B$6),G1156&lt;Assumptions!$B$4),1,0)</f>
        <v>0</v>
      </c>
      <c r="O1156" s="13">
        <f>IF(AND(G1156&gt;=Assumptions!$B$7,MOD(G1156,Assumptions!$B$7)=0),1,0)</f>
        <v>0</v>
      </c>
      <c r="P1156" s="13">
        <f t="shared" si="92"/>
        <v>0</v>
      </c>
      <c r="Q1156" s="13">
        <f t="shared" si="93"/>
        <v>0</v>
      </c>
      <c r="R1156" s="13">
        <f>L1156*Assumptions!$B$11+M1156*Assumptions!$B$12+N1156*Assumptions!$B$13+O1156*Assumptions!$B$14+P1156*Assumptions!$B$15+Q1156*Assumptions!$B$16</f>
        <v>0</v>
      </c>
      <c r="S1156" s="13" t="str">
        <f>IF(R1156&gt;=Assumptions!$B$20,"High",IF(R1156&gt;=Assumptions!$B$21,"Medium",IF(R1156&gt;=1,"Low","Clear")))</f>
        <v>Clear</v>
      </c>
      <c r="T1156" s="13" t="str">
        <f t="shared" si="94"/>
        <v/>
      </c>
    </row>
    <row r="1157" spans="1:20" x14ac:dyDescent="0.35">
      <c r="A1157" s="13" t="s">
        <v>4667</v>
      </c>
      <c r="B1157" s="13" t="s">
        <v>161</v>
      </c>
      <c r="C1157" s="13" t="s">
        <v>162</v>
      </c>
      <c r="D1157" s="13" t="s">
        <v>4668</v>
      </c>
      <c r="E1157" s="14">
        <v>46030</v>
      </c>
      <c r="F1157" s="14">
        <v>46055</v>
      </c>
      <c r="G1157" s="15">
        <v>14150.05</v>
      </c>
      <c r="H1157" s="13" t="s">
        <v>4669</v>
      </c>
      <c r="I1157" s="13" t="s">
        <v>4670</v>
      </c>
      <c r="J1157" s="13" t="s">
        <v>136</v>
      </c>
      <c r="K1157" s="13">
        <f t="shared" si="90"/>
        <v>1</v>
      </c>
      <c r="L1157" s="13">
        <f t="shared" si="91"/>
        <v>0</v>
      </c>
      <c r="M1157" s="13">
        <f>IF(AND(L1157=0,COUNTIFS($B$2:$B$1534,B1157,$G$2:$G$1534,G1157,$E$2:$E$1534,"&gt;="&amp;(E1157-Assumptions!$B$5),$E$2:$E$1534,"&lt;="&amp;(E1157+Assumptions!$B$5))&gt;1),1,0)</f>
        <v>0</v>
      </c>
      <c r="N1157" s="13">
        <f>IF(AND(G1157&gt;=Assumptions!$B$4*(1-Assumptions!$B$6),G1157&lt;Assumptions!$B$4),1,0)</f>
        <v>0</v>
      </c>
      <c r="O1157" s="13">
        <f>IF(AND(G1157&gt;=Assumptions!$B$7,MOD(G1157,Assumptions!$B$7)=0),1,0)</f>
        <v>0</v>
      </c>
      <c r="P1157" s="13">
        <f t="shared" si="92"/>
        <v>0</v>
      </c>
      <c r="Q1157" s="13">
        <f t="shared" si="93"/>
        <v>0</v>
      </c>
      <c r="R1157" s="13">
        <f>L1157*Assumptions!$B$11+M1157*Assumptions!$B$12+N1157*Assumptions!$B$13+O1157*Assumptions!$B$14+P1157*Assumptions!$B$15+Q1157*Assumptions!$B$16</f>
        <v>0</v>
      </c>
      <c r="S1157" s="13" t="str">
        <f>IF(R1157&gt;=Assumptions!$B$20,"High",IF(R1157&gt;=Assumptions!$B$21,"Medium",IF(R1157&gt;=1,"Low","Clear")))</f>
        <v>Clear</v>
      </c>
      <c r="T1157" s="13" t="str">
        <f t="shared" si="94"/>
        <v/>
      </c>
    </row>
    <row r="1158" spans="1:20" x14ac:dyDescent="0.35">
      <c r="A1158" s="13" t="s">
        <v>4671</v>
      </c>
      <c r="B1158" s="13" t="s">
        <v>100</v>
      </c>
      <c r="C1158" s="13" t="s">
        <v>101</v>
      </c>
      <c r="D1158" s="13" t="s">
        <v>4672</v>
      </c>
      <c r="E1158" s="14">
        <v>46030</v>
      </c>
      <c r="F1158" s="14">
        <v>46055</v>
      </c>
      <c r="G1158" s="15">
        <v>69042.69</v>
      </c>
      <c r="H1158" s="13" t="s">
        <v>4673</v>
      </c>
      <c r="I1158" s="13" t="s">
        <v>4674</v>
      </c>
      <c r="J1158" s="13" t="s">
        <v>136</v>
      </c>
      <c r="K1158" s="13">
        <f t="shared" si="90"/>
        <v>6</v>
      </c>
      <c r="L1158" s="13">
        <f t="shared" si="91"/>
        <v>0</v>
      </c>
      <c r="M1158" s="13">
        <f>IF(AND(L1158=0,COUNTIFS($B$2:$B$1534,B1158,$G$2:$G$1534,G1158,$E$2:$E$1534,"&gt;="&amp;(E1158-Assumptions!$B$5),$E$2:$E$1534,"&lt;="&amp;(E1158+Assumptions!$B$5))&gt;1),1,0)</f>
        <v>0</v>
      </c>
      <c r="N1158" s="13">
        <f>IF(AND(G1158&gt;=Assumptions!$B$4*(1-Assumptions!$B$6),G1158&lt;Assumptions!$B$4),1,0)</f>
        <v>0</v>
      </c>
      <c r="O1158" s="13">
        <f>IF(AND(G1158&gt;=Assumptions!$B$7,MOD(G1158,Assumptions!$B$7)=0),1,0)</f>
        <v>0</v>
      </c>
      <c r="P1158" s="13">
        <f t="shared" si="92"/>
        <v>0</v>
      </c>
      <c r="Q1158" s="13">
        <f t="shared" si="93"/>
        <v>0</v>
      </c>
      <c r="R1158" s="13">
        <f>L1158*Assumptions!$B$11+M1158*Assumptions!$B$12+N1158*Assumptions!$B$13+O1158*Assumptions!$B$14+P1158*Assumptions!$B$15+Q1158*Assumptions!$B$16</f>
        <v>0</v>
      </c>
      <c r="S1158" s="13" t="str">
        <f>IF(R1158&gt;=Assumptions!$B$20,"High",IF(R1158&gt;=Assumptions!$B$21,"Medium",IF(R1158&gt;=1,"Low","Clear")))</f>
        <v>Clear</v>
      </c>
      <c r="T1158" s="13" t="str">
        <f t="shared" si="94"/>
        <v/>
      </c>
    </row>
    <row r="1159" spans="1:20" x14ac:dyDescent="0.35">
      <c r="A1159" s="13" t="s">
        <v>4675</v>
      </c>
      <c r="B1159" s="13" t="s">
        <v>438</v>
      </c>
      <c r="C1159" s="13" t="s">
        <v>439</v>
      </c>
      <c r="D1159" s="13" t="s">
        <v>4676</v>
      </c>
      <c r="E1159" s="14">
        <v>46022</v>
      </c>
      <c r="F1159" s="14">
        <v>46055</v>
      </c>
      <c r="G1159" s="15">
        <v>1887.28</v>
      </c>
      <c r="H1159" s="13" t="s">
        <v>4677</v>
      </c>
      <c r="I1159" s="13" t="s">
        <v>4678</v>
      </c>
      <c r="J1159" s="13" t="s">
        <v>136</v>
      </c>
      <c r="K1159" s="13">
        <f t="shared" si="90"/>
        <v>1</v>
      </c>
      <c r="L1159" s="13">
        <f t="shared" si="91"/>
        <v>0</v>
      </c>
      <c r="M1159" s="13">
        <f>IF(AND(L1159=0,COUNTIFS($B$2:$B$1534,B1159,$G$2:$G$1534,G1159,$E$2:$E$1534,"&gt;="&amp;(E1159-Assumptions!$B$5),$E$2:$E$1534,"&lt;="&amp;(E1159+Assumptions!$B$5))&gt;1),1,0)</f>
        <v>0</v>
      </c>
      <c r="N1159" s="13">
        <f>IF(AND(G1159&gt;=Assumptions!$B$4*(1-Assumptions!$B$6),G1159&lt;Assumptions!$B$4),1,0)</f>
        <v>0</v>
      </c>
      <c r="O1159" s="13">
        <f>IF(AND(G1159&gt;=Assumptions!$B$7,MOD(G1159,Assumptions!$B$7)=0),1,0)</f>
        <v>0</v>
      </c>
      <c r="P1159" s="13">
        <f t="shared" si="92"/>
        <v>0</v>
      </c>
      <c r="Q1159" s="13">
        <f t="shared" si="93"/>
        <v>0</v>
      </c>
      <c r="R1159" s="13">
        <f>L1159*Assumptions!$B$11+M1159*Assumptions!$B$12+N1159*Assumptions!$B$13+O1159*Assumptions!$B$14+P1159*Assumptions!$B$15+Q1159*Assumptions!$B$16</f>
        <v>0</v>
      </c>
      <c r="S1159" s="13" t="str">
        <f>IF(R1159&gt;=Assumptions!$B$20,"High",IF(R1159&gt;=Assumptions!$B$21,"Medium",IF(R1159&gt;=1,"Low","Clear")))</f>
        <v>Clear</v>
      </c>
      <c r="T1159" s="13" t="str">
        <f t="shared" si="94"/>
        <v/>
      </c>
    </row>
    <row r="1160" spans="1:20" x14ac:dyDescent="0.35">
      <c r="A1160" s="13" t="s">
        <v>4679</v>
      </c>
      <c r="B1160" s="13" t="s">
        <v>145</v>
      </c>
      <c r="C1160" s="13" t="s">
        <v>146</v>
      </c>
      <c r="D1160" s="13" t="s">
        <v>4680</v>
      </c>
      <c r="E1160" s="14">
        <v>46027</v>
      </c>
      <c r="F1160" s="14">
        <v>46055</v>
      </c>
      <c r="G1160" s="15">
        <v>13341.03</v>
      </c>
      <c r="H1160" s="13" t="s">
        <v>4681</v>
      </c>
      <c r="I1160" s="13" t="s">
        <v>4682</v>
      </c>
      <c r="J1160" s="13" t="s">
        <v>170</v>
      </c>
      <c r="K1160" s="13">
        <f t="shared" si="90"/>
        <v>1</v>
      </c>
      <c r="L1160" s="13">
        <f t="shared" si="91"/>
        <v>0</v>
      </c>
      <c r="M1160" s="13">
        <f>IF(AND(L1160=0,COUNTIFS($B$2:$B$1534,B1160,$G$2:$G$1534,G1160,$E$2:$E$1534,"&gt;="&amp;(E1160-Assumptions!$B$5),$E$2:$E$1534,"&lt;="&amp;(E1160+Assumptions!$B$5))&gt;1),1,0)</f>
        <v>1</v>
      </c>
      <c r="N1160" s="13">
        <f>IF(AND(G1160&gt;=Assumptions!$B$4*(1-Assumptions!$B$6),G1160&lt;Assumptions!$B$4),1,0)</f>
        <v>0</v>
      </c>
      <c r="O1160" s="13">
        <f>IF(AND(G1160&gt;=Assumptions!$B$7,MOD(G1160,Assumptions!$B$7)=0),1,0)</f>
        <v>0</v>
      </c>
      <c r="P1160" s="13">
        <f t="shared" si="92"/>
        <v>0</v>
      </c>
      <c r="Q1160" s="13">
        <f t="shared" si="93"/>
        <v>0</v>
      </c>
      <c r="R1160" s="13">
        <f>L1160*Assumptions!$B$11+M1160*Assumptions!$B$12+N1160*Assumptions!$B$13+O1160*Assumptions!$B$14+P1160*Assumptions!$B$15+Q1160*Assumptions!$B$16</f>
        <v>3</v>
      </c>
      <c r="S1160" s="13" t="str">
        <f>IF(R1160&gt;=Assumptions!$B$20,"High",IF(R1160&gt;=Assumptions!$B$21,"Medium",IF(R1160&gt;=1,"Low","Clear")))</f>
        <v>Medium</v>
      </c>
      <c r="T1160" s="13" t="str">
        <f t="shared" si="94"/>
        <v xml:space="preserve">Near-duplicate; </v>
      </c>
    </row>
    <row r="1161" spans="1:20" x14ac:dyDescent="0.35">
      <c r="A1161" s="13" t="s">
        <v>4683</v>
      </c>
      <c r="B1161" s="13" t="s">
        <v>145</v>
      </c>
      <c r="C1161" s="13" t="s">
        <v>146</v>
      </c>
      <c r="D1161" s="13" t="s">
        <v>4684</v>
      </c>
      <c r="E1161" s="14">
        <v>46022</v>
      </c>
      <c r="F1161" s="14">
        <v>46055</v>
      </c>
      <c r="G1161" s="15">
        <v>10007.35</v>
      </c>
      <c r="H1161" s="13" t="s">
        <v>4685</v>
      </c>
      <c r="I1161" s="13" t="s">
        <v>4686</v>
      </c>
      <c r="J1161" s="13" t="s">
        <v>111</v>
      </c>
      <c r="K1161" s="13">
        <f t="shared" si="90"/>
        <v>1</v>
      </c>
      <c r="L1161" s="13">
        <f t="shared" si="91"/>
        <v>0</v>
      </c>
      <c r="M1161" s="13">
        <f>IF(AND(L1161=0,COUNTIFS($B$2:$B$1534,B1161,$G$2:$G$1534,G1161,$E$2:$E$1534,"&gt;="&amp;(E1161-Assumptions!$B$5),$E$2:$E$1534,"&lt;="&amp;(E1161+Assumptions!$B$5))&gt;1),1,0)</f>
        <v>0</v>
      </c>
      <c r="N1161" s="13">
        <f>IF(AND(G1161&gt;=Assumptions!$B$4*(1-Assumptions!$B$6),G1161&lt;Assumptions!$B$4),1,0)</f>
        <v>0</v>
      </c>
      <c r="O1161" s="13">
        <f>IF(AND(G1161&gt;=Assumptions!$B$7,MOD(G1161,Assumptions!$B$7)=0),1,0)</f>
        <v>0</v>
      </c>
      <c r="P1161" s="13">
        <f t="shared" si="92"/>
        <v>0</v>
      </c>
      <c r="Q1161" s="13">
        <f t="shared" si="93"/>
        <v>0</v>
      </c>
      <c r="R1161" s="13">
        <f>L1161*Assumptions!$B$11+M1161*Assumptions!$B$12+N1161*Assumptions!$B$13+O1161*Assumptions!$B$14+P1161*Assumptions!$B$15+Q1161*Assumptions!$B$16</f>
        <v>0</v>
      </c>
      <c r="S1161" s="13" t="str">
        <f>IF(R1161&gt;=Assumptions!$B$20,"High",IF(R1161&gt;=Assumptions!$B$21,"Medium",IF(R1161&gt;=1,"Low","Clear")))</f>
        <v>Clear</v>
      </c>
      <c r="T1161" s="13" t="str">
        <f t="shared" si="94"/>
        <v/>
      </c>
    </row>
    <row r="1162" spans="1:20" x14ac:dyDescent="0.35">
      <c r="A1162" s="13" t="s">
        <v>4687</v>
      </c>
      <c r="B1162" s="13" t="s">
        <v>556</v>
      </c>
      <c r="C1162" s="13" t="s">
        <v>557</v>
      </c>
      <c r="D1162" s="13" t="s">
        <v>4688</v>
      </c>
      <c r="E1162" s="14">
        <v>46016</v>
      </c>
      <c r="F1162" s="14">
        <v>46055</v>
      </c>
      <c r="G1162" s="15">
        <v>7063.11</v>
      </c>
      <c r="H1162" s="13" t="s">
        <v>4689</v>
      </c>
      <c r="I1162" s="13" t="s">
        <v>4690</v>
      </c>
      <c r="J1162" s="13" t="s">
        <v>170</v>
      </c>
      <c r="K1162" s="13">
        <f t="shared" si="90"/>
        <v>7</v>
      </c>
      <c r="L1162" s="13">
        <f t="shared" si="91"/>
        <v>0</v>
      </c>
      <c r="M1162" s="13">
        <f>IF(AND(L1162=0,COUNTIFS($B$2:$B$1534,B1162,$G$2:$G$1534,G1162,$E$2:$E$1534,"&gt;="&amp;(E1162-Assumptions!$B$5),$E$2:$E$1534,"&lt;="&amp;(E1162+Assumptions!$B$5))&gt;1),1,0)</f>
        <v>0</v>
      </c>
      <c r="N1162" s="13">
        <f>IF(AND(G1162&gt;=Assumptions!$B$4*(1-Assumptions!$B$6),G1162&lt;Assumptions!$B$4),1,0)</f>
        <v>0</v>
      </c>
      <c r="O1162" s="13">
        <f>IF(AND(G1162&gt;=Assumptions!$B$7,MOD(G1162,Assumptions!$B$7)=0),1,0)</f>
        <v>0</v>
      </c>
      <c r="P1162" s="13">
        <f t="shared" si="92"/>
        <v>0</v>
      </c>
      <c r="Q1162" s="13">
        <f t="shared" si="93"/>
        <v>0</v>
      </c>
      <c r="R1162" s="13">
        <f>L1162*Assumptions!$B$11+M1162*Assumptions!$B$12+N1162*Assumptions!$B$13+O1162*Assumptions!$B$14+P1162*Assumptions!$B$15+Q1162*Assumptions!$B$16</f>
        <v>0</v>
      </c>
      <c r="S1162" s="13" t="str">
        <f>IF(R1162&gt;=Assumptions!$B$20,"High",IF(R1162&gt;=Assumptions!$B$21,"Medium",IF(R1162&gt;=1,"Low","Clear")))</f>
        <v>Clear</v>
      </c>
      <c r="T1162" s="13" t="str">
        <f t="shared" si="94"/>
        <v/>
      </c>
    </row>
    <row r="1163" spans="1:20" x14ac:dyDescent="0.35">
      <c r="A1163" s="13" t="s">
        <v>4691</v>
      </c>
      <c r="B1163" s="13" t="s">
        <v>86</v>
      </c>
      <c r="C1163" s="13" t="s">
        <v>87</v>
      </c>
      <c r="D1163" s="13" t="s">
        <v>4692</v>
      </c>
      <c r="E1163" s="14">
        <v>46017</v>
      </c>
      <c r="F1163" s="14">
        <v>46056</v>
      </c>
      <c r="G1163" s="15">
        <v>441561.69</v>
      </c>
      <c r="H1163" s="13" t="s">
        <v>4693</v>
      </c>
      <c r="I1163" s="13" t="s">
        <v>4694</v>
      </c>
      <c r="J1163" s="13" t="s">
        <v>111</v>
      </c>
      <c r="K1163" s="13">
        <f t="shared" si="90"/>
        <v>4</v>
      </c>
      <c r="L1163" s="13">
        <f t="shared" si="91"/>
        <v>0</v>
      </c>
      <c r="M1163" s="13">
        <f>IF(AND(L1163=0,COUNTIFS($B$2:$B$1534,B1163,$G$2:$G$1534,G1163,$E$2:$E$1534,"&gt;="&amp;(E1163-Assumptions!$B$5),$E$2:$E$1534,"&lt;="&amp;(E1163+Assumptions!$B$5))&gt;1),1,0)</f>
        <v>0</v>
      </c>
      <c r="N1163" s="13">
        <f>IF(AND(G1163&gt;=Assumptions!$B$4*(1-Assumptions!$B$6),G1163&lt;Assumptions!$B$4),1,0)</f>
        <v>0</v>
      </c>
      <c r="O1163" s="13">
        <f>IF(AND(G1163&gt;=Assumptions!$B$7,MOD(G1163,Assumptions!$B$7)=0),1,0)</f>
        <v>0</v>
      </c>
      <c r="P1163" s="13">
        <f t="shared" si="92"/>
        <v>0</v>
      </c>
      <c r="Q1163" s="13">
        <f t="shared" si="93"/>
        <v>0</v>
      </c>
      <c r="R1163" s="13">
        <f>L1163*Assumptions!$B$11+M1163*Assumptions!$B$12+N1163*Assumptions!$B$13+O1163*Assumptions!$B$14+P1163*Assumptions!$B$15+Q1163*Assumptions!$B$16</f>
        <v>0</v>
      </c>
      <c r="S1163" s="13" t="str">
        <f>IF(R1163&gt;=Assumptions!$B$20,"High",IF(R1163&gt;=Assumptions!$B$21,"Medium",IF(R1163&gt;=1,"Low","Clear")))</f>
        <v>Clear</v>
      </c>
      <c r="T1163" s="13" t="str">
        <f t="shared" si="94"/>
        <v/>
      </c>
    </row>
    <row r="1164" spans="1:20" x14ac:dyDescent="0.35">
      <c r="A1164" s="13" t="s">
        <v>4695</v>
      </c>
      <c r="B1164" s="13" t="s">
        <v>438</v>
      </c>
      <c r="C1164" s="13" t="s">
        <v>439</v>
      </c>
      <c r="D1164" s="13" t="s">
        <v>4696</v>
      </c>
      <c r="E1164" s="14">
        <v>46016</v>
      </c>
      <c r="F1164" s="14">
        <v>46056</v>
      </c>
      <c r="G1164" s="15">
        <v>423983.46</v>
      </c>
      <c r="H1164" s="13" t="s">
        <v>4697</v>
      </c>
      <c r="I1164" s="13" t="s">
        <v>4698</v>
      </c>
      <c r="J1164" s="13" t="s">
        <v>111</v>
      </c>
      <c r="K1164" s="13">
        <f t="shared" si="90"/>
        <v>4</v>
      </c>
      <c r="L1164" s="13">
        <f t="shared" si="91"/>
        <v>0</v>
      </c>
      <c r="M1164" s="13">
        <f>IF(AND(L1164=0,COUNTIFS($B$2:$B$1534,B1164,$G$2:$G$1534,G1164,$E$2:$E$1534,"&gt;="&amp;(E1164-Assumptions!$B$5),$E$2:$E$1534,"&lt;="&amp;(E1164+Assumptions!$B$5))&gt;1),1,0)</f>
        <v>0</v>
      </c>
      <c r="N1164" s="13">
        <f>IF(AND(G1164&gt;=Assumptions!$B$4*(1-Assumptions!$B$6),G1164&lt;Assumptions!$B$4),1,0)</f>
        <v>0</v>
      </c>
      <c r="O1164" s="13">
        <f>IF(AND(G1164&gt;=Assumptions!$B$7,MOD(G1164,Assumptions!$B$7)=0),1,0)</f>
        <v>0</v>
      </c>
      <c r="P1164" s="13">
        <f t="shared" si="92"/>
        <v>0</v>
      </c>
      <c r="Q1164" s="13">
        <f t="shared" si="93"/>
        <v>0</v>
      </c>
      <c r="R1164" s="13">
        <f>L1164*Assumptions!$B$11+M1164*Assumptions!$B$12+N1164*Assumptions!$B$13+O1164*Assumptions!$B$14+P1164*Assumptions!$B$15+Q1164*Assumptions!$B$16</f>
        <v>0</v>
      </c>
      <c r="S1164" s="13" t="str">
        <f>IF(R1164&gt;=Assumptions!$B$20,"High",IF(R1164&gt;=Assumptions!$B$21,"Medium",IF(R1164&gt;=1,"Low","Clear")))</f>
        <v>Clear</v>
      </c>
      <c r="T1164" s="13" t="str">
        <f t="shared" si="94"/>
        <v/>
      </c>
    </row>
    <row r="1165" spans="1:20" x14ac:dyDescent="0.35">
      <c r="A1165" s="13" t="s">
        <v>4699</v>
      </c>
      <c r="B1165" s="13" t="s">
        <v>391</v>
      </c>
      <c r="C1165" s="13" t="s">
        <v>392</v>
      </c>
      <c r="D1165" s="13" t="s">
        <v>4700</v>
      </c>
      <c r="E1165" s="14">
        <v>46031</v>
      </c>
      <c r="F1165" s="14">
        <v>46057</v>
      </c>
      <c r="G1165" s="15">
        <v>57431.38</v>
      </c>
      <c r="H1165" s="13" t="s">
        <v>4701</v>
      </c>
      <c r="I1165" s="13" t="s">
        <v>4702</v>
      </c>
      <c r="J1165" s="13" t="s">
        <v>143</v>
      </c>
      <c r="K1165" s="13">
        <f t="shared" si="90"/>
        <v>5</v>
      </c>
      <c r="L1165" s="13">
        <f t="shared" si="91"/>
        <v>0</v>
      </c>
      <c r="M1165" s="13">
        <f>IF(AND(L1165=0,COUNTIFS($B$2:$B$1534,B1165,$G$2:$G$1534,G1165,$E$2:$E$1534,"&gt;="&amp;(E1165-Assumptions!$B$5),$E$2:$E$1534,"&lt;="&amp;(E1165+Assumptions!$B$5))&gt;1),1,0)</f>
        <v>0</v>
      </c>
      <c r="N1165" s="13">
        <f>IF(AND(G1165&gt;=Assumptions!$B$4*(1-Assumptions!$B$6),G1165&lt;Assumptions!$B$4),1,0)</f>
        <v>0</v>
      </c>
      <c r="O1165" s="13">
        <f>IF(AND(G1165&gt;=Assumptions!$B$7,MOD(G1165,Assumptions!$B$7)=0),1,0)</f>
        <v>0</v>
      </c>
      <c r="P1165" s="13">
        <f t="shared" si="92"/>
        <v>0</v>
      </c>
      <c r="Q1165" s="13">
        <f t="shared" si="93"/>
        <v>0</v>
      </c>
      <c r="R1165" s="13">
        <f>L1165*Assumptions!$B$11+M1165*Assumptions!$B$12+N1165*Assumptions!$B$13+O1165*Assumptions!$B$14+P1165*Assumptions!$B$15+Q1165*Assumptions!$B$16</f>
        <v>0</v>
      </c>
      <c r="S1165" s="13" t="str">
        <f>IF(R1165&gt;=Assumptions!$B$20,"High",IF(R1165&gt;=Assumptions!$B$21,"Medium",IF(R1165&gt;=1,"Low","Clear")))</f>
        <v>Clear</v>
      </c>
      <c r="T1165" s="13" t="str">
        <f t="shared" si="94"/>
        <v/>
      </c>
    </row>
    <row r="1166" spans="1:20" x14ac:dyDescent="0.35">
      <c r="A1166" s="13" t="s">
        <v>4703</v>
      </c>
      <c r="B1166" s="13" t="s">
        <v>409</v>
      </c>
      <c r="C1166" s="13" t="s">
        <v>410</v>
      </c>
      <c r="D1166" s="13" t="s">
        <v>4704</v>
      </c>
      <c r="E1166" s="14">
        <v>46023</v>
      </c>
      <c r="F1166" s="14">
        <v>46057</v>
      </c>
      <c r="G1166" s="15">
        <v>107445.98</v>
      </c>
      <c r="H1166" s="13" t="s">
        <v>4705</v>
      </c>
      <c r="I1166" s="13" t="s">
        <v>4706</v>
      </c>
      <c r="J1166" s="13" t="s">
        <v>98</v>
      </c>
      <c r="K1166" s="13">
        <f t="shared" si="90"/>
        <v>1</v>
      </c>
      <c r="L1166" s="13">
        <f t="shared" si="91"/>
        <v>0</v>
      </c>
      <c r="M1166" s="13">
        <f>IF(AND(L1166=0,COUNTIFS($B$2:$B$1534,B1166,$G$2:$G$1534,G1166,$E$2:$E$1534,"&gt;="&amp;(E1166-Assumptions!$B$5),$E$2:$E$1534,"&lt;="&amp;(E1166+Assumptions!$B$5))&gt;1),1,0)</f>
        <v>0</v>
      </c>
      <c r="N1166" s="13">
        <f>IF(AND(G1166&gt;=Assumptions!$B$4*(1-Assumptions!$B$6),G1166&lt;Assumptions!$B$4),1,0)</f>
        <v>0</v>
      </c>
      <c r="O1166" s="13">
        <f>IF(AND(G1166&gt;=Assumptions!$B$7,MOD(G1166,Assumptions!$B$7)=0),1,0)</f>
        <v>0</v>
      </c>
      <c r="P1166" s="13">
        <f t="shared" si="92"/>
        <v>0</v>
      </c>
      <c r="Q1166" s="13">
        <f t="shared" si="93"/>
        <v>0</v>
      </c>
      <c r="R1166" s="13">
        <f>L1166*Assumptions!$B$11+M1166*Assumptions!$B$12+N1166*Assumptions!$B$13+O1166*Assumptions!$B$14+P1166*Assumptions!$B$15+Q1166*Assumptions!$B$16</f>
        <v>0</v>
      </c>
      <c r="S1166" s="13" t="str">
        <f>IF(R1166&gt;=Assumptions!$B$20,"High",IF(R1166&gt;=Assumptions!$B$21,"Medium",IF(R1166&gt;=1,"Low","Clear")))</f>
        <v>Clear</v>
      </c>
      <c r="T1166" s="13" t="str">
        <f t="shared" si="94"/>
        <v/>
      </c>
    </row>
    <row r="1167" spans="1:20" x14ac:dyDescent="0.35">
      <c r="A1167" s="13" t="s">
        <v>4707</v>
      </c>
      <c r="B1167" s="13" t="s">
        <v>200</v>
      </c>
      <c r="C1167" s="13" t="s">
        <v>201</v>
      </c>
      <c r="D1167" s="13" t="s">
        <v>4708</v>
      </c>
      <c r="E1167" s="14">
        <v>46026</v>
      </c>
      <c r="F1167" s="14">
        <v>46057</v>
      </c>
      <c r="G1167" s="15">
        <v>9354.9699999999993</v>
      </c>
      <c r="H1167" s="13" t="s">
        <v>4709</v>
      </c>
      <c r="I1167" s="13" t="s">
        <v>4710</v>
      </c>
      <c r="J1167" s="13" t="s">
        <v>91</v>
      </c>
      <c r="K1167" s="13">
        <f t="shared" si="90"/>
        <v>9</v>
      </c>
      <c r="L1167" s="13">
        <f t="shared" si="91"/>
        <v>0</v>
      </c>
      <c r="M1167" s="13">
        <f>IF(AND(L1167=0,COUNTIFS($B$2:$B$1534,B1167,$G$2:$G$1534,G1167,$E$2:$E$1534,"&gt;="&amp;(E1167-Assumptions!$B$5),$E$2:$E$1534,"&lt;="&amp;(E1167+Assumptions!$B$5))&gt;1),1,0)</f>
        <v>0</v>
      </c>
      <c r="N1167" s="13">
        <f>IF(AND(G1167&gt;=Assumptions!$B$4*(1-Assumptions!$B$6),G1167&lt;Assumptions!$B$4),1,0)</f>
        <v>0</v>
      </c>
      <c r="O1167" s="13">
        <f>IF(AND(G1167&gt;=Assumptions!$B$7,MOD(G1167,Assumptions!$B$7)=0),1,0)</f>
        <v>0</v>
      </c>
      <c r="P1167" s="13">
        <f t="shared" si="92"/>
        <v>0</v>
      </c>
      <c r="Q1167" s="13">
        <f t="shared" si="93"/>
        <v>0</v>
      </c>
      <c r="R1167" s="13">
        <f>L1167*Assumptions!$B$11+M1167*Assumptions!$B$12+N1167*Assumptions!$B$13+O1167*Assumptions!$B$14+P1167*Assumptions!$B$15+Q1167*Assumptions!$B$16</f>
        <v>0</v>
      </c>
      <c r="S1167" s="13" t="str">
        <f>IF(R1167&gt;=Assumptions!$B$20,"High",IF(R1167&gt;=Assumptions!$B$21,"Medium",IF(R1167&gt;=1,"Low","Clear")))</f>
        <v>Clear</v>
      </c>
      <c r="T1167" s="13" t="str">
        <f t="shared" si="94"/>
        <v/>
      </c>
    </row>
    <row r="1168" spans="1:20" x14ac:dyDescent="0.35">
      <c r="A1168" s="13" t="s">
        <v>4711</v>
      </c>
      <c r="B1168" s="13" t="s">
        <v>155</v>
      </c>
      <c r="C1168" s="13" t="s">
        <v>156</v>
      </c>
      <c r="D1168" s="13" t="s">
        <v>4712</v>
      </c>
      <c r="E1168" s="14">
        <v>46029</v>
      </c>
      <c r="F1168" s="14">
        <v>46057</v>
      </c>
      <c r="G1168" s="15">
        <v>299180.96000000002</v>
      </c>
      <c r="H1168" s="13" t="s">
        <v>2640</v>
      </c>
      <c r="I1168" s="13" t="s">
        <v>2641</v>
      </c>
      <c r="J1168" s="13" t="s">
        <v>91</v>
      </c>
      <c r="K1168" s="13">
        <f t="shared" si="90"/>
        <v>2</v>
      </c>
      <c r="L1168" s="13">
        <f t="shared" si="91"/>
        <v>0</v>
      </c>
      <c r="M1168" s="13">
        <f>IF(AND(L1168=0,COUNTIFS($B$2:$B$1534,B1168,$G$2:$G$1534,G1168,$E$2:$E$1534,"&gt;="&amp;(E1168-Assumptions!$B$5),$E$2:$E$1534,"&lt;="&amp;(E1168+Assumptions!$B$5))&gt;1),1,0)</f>
        <v>0</v>
      </c>
      <c r="N1168" s="13">
        <f>IF(AND(G1168&gt;=Assumptions!$B$4*(1-Assumptions!$B$6),G1168&lt;Assumptions!$B$4),1,0)</f>
        <v>0</v>
      </c>
      <c r="O1168" s="13">
        <f>IF(AND(G1168&gt;=Assumptions!$B$7,MOD(G1168,Assumptions!$B$7)=0),1,0)</f>
        <v>0</v>
      </c>
      <c r="P1168" s="13">
        <f t="shared" si="92"/>
        <v>0</v>
      </c>
      <c r="Q1168" s="13">
        <f t="shared" si="93"/>
        <v>0</v>
      </c>
      <c r="R1168" s="13">
        <f>L1168*Assumptions!$B$11+M1168*Assumptions!$B$12+N1168*Assumptions!$B$13+O1168*Assumptions!$B$14+P1168*Assumptions!$B$15+Q1168*Assumptions!$B$16</f>
        <v>0</v>
      </c>
      <c r="S1168" s="13" t="str">
        <f>IF(R1168&gt;=Assumptions!$B$20,"High",IF(R1168&gt;=Assumptions!$B$21,"Medium",IF(R1168&gt;=1,"Low","Clear")))</f>
        <v>Clear</v>
      </c>
      <c r="T1168" s="13" t="str">
        <f t="shared" si="94"/>
        <v/>
      </c>
    </row>
    <row r="1169" spans="1:20" x14ac:dyDescent="0.35">
      <c r="A1169" s="13" t="s">
        <v>4713</v>
      </c>
      <c r="B1169" s="13" t="s">
        <v>438</v>
      </c>
      <c r="C1169" s="13" t="s">
        <v>439</v>
      </c>
      <c r="D1169" s="13" t="s">
        <v>4714</v>
      </c>
      <c r="E1169" s="14">
        <v>46036</v>
      </c>
      <c r="F1169" s="14">
        <v>46057</v>
      </c>
      <c r="G1169" s="15">
        <v>3451.94</v>
      </c>
      <c r="H1169" s="13" t="s">
        <v>4715</v>
      </c>
      <c r="I1169" s="13" t="s">
        <v>4716</v>
      </c>
      <c r="J1169" s="13" t="s">
        <v>143</v>
      </c>
      <c r="K1169" s="13">
        <f t="shared" si="90"/>
        <v>3</v>
      </c>
      <c r="L1169" s="13">
        <f t="shared" si="91"/>
        <v>0</v>
      </c>
      <c r="M1169" s="13">
        <f>IF(AND(L1169=0,COUNTIFS($B$2:$B$1534,B1169,$G$2:$G$1534,G1169,$E$2:$E$1534,"&gt;="&amp;(E1169-Assumptions!$B$5),$E$2:$E$1534,"&lt;="&amp;(E1169+Assumptions!$B$5))&gt;1),1,0)</f>
        <v>0</v>
      </c>
      <c r="N1169" s="13">
        <f>IF(AND(G1169&gt;=Assumptions!$B$4*(1-Assumptions!$B$6),G1169&lt;Assumptions!$B$4),1,0)</f>
        <v>0</v>
      </c>
      <c r="O1169" s="13">
        <f>IF(AND(G1169&gt;=Assumptions!$B$7,MOD(G1169,Assumptions!$B$7)=0),1,0)</f>
        <v>0</v>
      </c>
      <c r="P1169" s="13">
        <f t="shared" si="92"/>
        <v>0</v>
      </c>
      <c r="Q1169" s="13">
        <f t="shared" si="93"/>
        <v>0</v>
      </c>
      <c r="R1169" s="13">
        <f>L1169*Assumptions!$B$11+M1169*Assumptions!$B$12+N1169*Assumptions!$B$13+O1169*Assumptions!$B$14+P1169*Assumptions!$B$15+Q1169*Assumptions!$B$16</f>
        <v>0</v>
      </c>
      <c r="S1169" s="13" t="str">
        <f>IF(R1169&gt;=Assumptions!$B$20,"High",IF(R1169&gt;=Assumptions!$B$21,"Medium",IF(R1169&gt;=1,"Low","Clear")))</f>
        <v>Clear</v>
      </c>
      <c r="T1169" s="13" t="str">
        <f t="shared" si="94"/>
        <v/>
      </c>
    </row>
    <row r="1170" spans="1:20" x14ac:dyDescent="0.35">
      <c r="A1170" s="13" t="s">
        <v>4717</v>
      </c>
      <c r="B1170" s="13" t="s">
        <v>176</v>
      </c>
      <c r="C1170" s="13" t="s">
        <v>177</v>
      </c>
      <c r="D1170" s="13" t="s">
        <v>4718</v>
      </c>
      <c r="E1170" s="14">
        <v>46037</v>
      </c>
      <c r="F1170" s="14">
        <v>46058</v>
      </c>
      <c r="G1170" s="15">
        <v>539325.38</v>
      </c>
      <c r="H1170" s="13" t="s">
        <v>4719</v>
      </c>
      <c r="I1170" s="13" t="s">
        <v>4720</v>
      </c>
      <c r="J1170" s="13" t="s">
        <v>170</v>
      </c>
      <c r="K1170" s="13">
        <f t="shared" si="90"/>
        <v>5</v>
      </c>
      <c r="L1170" s="13">
        <f t="shared" si="91"/>
        <v>1</v>
      </c>
      <c r="M1170" s="13">
        <f>IF(AND(L1170=0,COUNTIFS($B$2:$B$1534,B1170,$G$2:$G$1534,G1170,$E$2:$E$1534,"&gt;="&amp;(E1170-Assumptions!$B$5),$E$2:$E$1534,"&lt;="&amp;(E1170+Assumptions!$B$5))&gt;1),1,0)</f>
        <v>0</v>
      </c>
      <c r="N1170" s="13">
        <f>IF(AND(G1170&gt;=Assumptions!$B$4*(1-Assumptions!$B$6),G1170&lt;Assumptions!$B$4),1,0)</f>
        <v>0</v>
      </c>
      <c r="O1170" s="13">
        <f>IF(AND(G1170&gt;=Assumptions!$B$7,MOD(G1170,Assumptions!$B$7)=0),1,0)</f>
        <v>0</v>
      </c>
      <c r="P1170" s="13">
        <f t="shared" si="92"/>
        <v>0</v>
      </c>
      <c r="Q1170" s="13">
        <f t="shared" si="93"/>
        <v>0</v>
      </c>
      <c r="R1170" s="13">
        <f>L1170*Assumptions!$B$11+M1170*Assumptions!$B$12+N1170*Assumptions!$B$13+O1170*Assumptions!$B$14+P1170*Assumptions!$B$15+Q1170*Assumptions!$B$16</f>
        <v>5</v>
      </c>
      <c r="S1170" s="13" t="str">
        <f>IF(R1170&gt;=Assumptions!$B$20,"High",IF(R1170&gt;=Assumptions!$B$21,"Medium",IF(R1170&gt;=1,"Low","Clear")))</f>
        <v>High</v>
      </c>
      <c r="T1170" s="13" t="str">
        <f t="shared" si="94"/>
        <v xml:space="preserve">Duplicate invoice; </v>
      </c>
    </row>
    <row r="1171" spans="1:20" x14ac:dyDescent="0.35">
      <c r="A1171" s="13" t="s">
        <v>4721</v>
      </c>
      <c r="B1171" s="13" t="s">
        <v>100</v>
      </c>
      <c r="C1171" s="13" t="s">
        <v>101</v>
      </c>
      <c r="D1171" s="13" t="s">
        <v>4722</v>
      </c>
      <c r="E1171" s="14">
        <v>46018</v>
      </c>
      <c r="F1171" s="14">
        <v>46058</v>
      </c>
      <c r="G1171" s="15">
        <v>8713.9</v>
      </c>
      <c r="H1171" s="13" t="s">
        <v>4723</v>
      </c>
      <c r="I1171" s="13" t="s">
        <v>4724</v>
      </c>
      <c r="J1171" s="13" t="s">
        <v>98</v>
      </c>
      <c r="K1171" s="13">
        <f t="shared" si="90"/>
        <v>8</v>
      </c>
      <c r="L1171" s="13">
        <f t="shared" si="91"/>
        <v>0</v>
      </c>
      <c r="M1171" s="13">
        <f>IF(AND(L1171=0,COUNTIFS($B$2:$B$1534,B1171,$G$2:$G$1534,G1171,$E$2:$E$1534,"&gt;="&amp;(E1171-Assumptions!$B$5),$E$2:$E$1534,"&lt;="&amp;(E1171+Assumptions!$B$5))&gt;1),1,0)</f>
        <v>0</v>
      </c>
      <c r="N1171" s="13">
        <f>IF(AND(G1171&gt;=Assumptions!$B$4*(1-Assumptions!$B$6),G1171&lt;Assumptions!$B$4),1,0)</f>
        <v>0</v>
      </c>
      <c r="O1171" s="13">
        <f>IF(AND(G1171&gt;=Assumptions!$B$7,MOD(G1171,Assumptions!$B$7)=0),1,0)</f>
        <v>0</v>
      </c>
      <c r="P1171" s="13">
        <f t="shared" si="92"/>
        <v>0</v>
      </c>
      <c r="Q1171" s="13">
        <f t="shared" si="93"/>
        <v>0</v>
      </c>
      <c r="R1171" s="13">
        <f>L1171*Assumptions!$B$11+M1171*Assumptions!$B$12+N1171*Assumptions!$B$13+O1171*Assumptions!$B$14+P1171*Assumptions!$B$15+Q1171*Assumptions!$B$16</f>
        <v>0</v>
      </c>
      <c r="S1171" s="13" t="str">
        <f>IF(R1171&gt;=Assumptions!$B$20,"High",IF(R1171&gt;=Assumptions!$B$21,"Medium",IF(R1171&gt;=1,"Low","Clear")))</f>
        <v>Clear</v>
      </c>
      <c r="T1171" s="13" t="str">
        <f t="shared" si="94"/>
        <v/>
      </c>
    </row>
    <row r="1172" spans="1:20" x14ac:dyDescent="0.35">
      <c r="A1172" s="13" t="s">
        <v>4725</v>
      </c>
      <c r="B1172" s="13" t="s">
        <v>556</v>
      </c>
      <c r="C1172" s="13" t="s">
        <v>557</v>
      </c>
      <c r="D1172" s="13" t="s">
        <v>4726</v>
      </c>
      <c r="E1172" s="14">
        <v>46028</v>
      </c>
      <c r="F1172" s="14">
        <v>46058</v>
      </c>
      <c r="G1172" s="15">
        <v>13890.35</v>
      </c>
      <c r="H1172" s="13" t="s">
        <v>4727</v>
      </c>
      <c r="I1172" s="13" t="s">
        <v>4728</v>
      </c>
      <c r="J1172" s="13" t="s">
        <v>170</v>
      </c>
      <c r="K1172" s="13">
        <f t="shared" si="90"/>
        <v>1</v>
      </c>
      <c r="L1172" s="13">
        <f t="shared" si="91"/>
        <v>0</v>
      </c>
      <c r="M1172" s="13">
        <f>IF(AND(L1172=0,COUNTIFS($B$2:$B$1534,B1172,$G$2:$G$1534,G1172,$E$2:$E$1534,"&gt;="&amp;(E1172-Assumptions!$B$5),$E$2:$E$1534,"&lt;="&amp;(E1172+Assumptions!$B$5))&gt;1),1,0)</f>
        <v>0</v>
      </c>
      <c r="N1172" s="13">
        <f>IF(AND(G1172&gt;=Assumptions!$B$4*(1-Assumptions!$B$6),G1172&lt;Assumptions!$B$4),1,0)</f>
        <v>0</v>
      </c>
      <c r="O1172" s="13">
        <f>IF(AND(G1172&gt;=Assumptions!$B$7,MOD(G1172,Assumptions!$B$7)=0),1,0)</f>
        <v>0</v>
      </c>
      <c r="P1172" s="13">
        <f t="shared" si="92"/>
        <v>0</v>
      </c>
      <c r="Q1172" s="13">
        <f t="shared" si="93"/>
        <v>0</v>
      </c>
      <c r="R1172" s="13">
        <f>L1172*Assumptions!$B$11+M1172*Assumptions!$B$12+N1172*Assumptions!$B$13+O1172*Assumptions!$B$14+P1172*Assumptions!$B$15+Q1172*Assumptions!$B$16</f>
        <v>0</v>
      </c>
      <c r="S1172" s="13" t="str">
        <f>IF(R1172&gt;=Assumptions!$B$20,"High",IF(R1172&gt;=Assumptions!$B$21,"Medium",IF(R1172&gt;=1,"Low","Clear")))</f>
        <v>Clear</v>
      </c>
      <c r="T1172" s="13" t="str">
        <f t="shared" si="94"/>
        <v/>
      </c>
    </row>
    <row r="1173" spans="1:20" x14ac:dyDescent="0.35">
      <c r="A1173" s="13" t="s">
        <v>4729</v>
      </c>
      <c r="B1173" s="13" t="s">
        <v>307</v>
      </c>
      <c r="C1173" s="13" t="s">
        <v>308</v>
      </c>
      <c r="D1173" s="13" t="s">
        <v>4730</v>
      </c>
      <c r="E1173" s="14">
        <v>46025</v>
      </c>
      <c r="F1173" s="14">
        <v>46059</v>
      </c>
      <c r="G1173" s="15">
        <v>17673.509999999998</v>
      </c>
      <c r="H1173" s="13" t="s">
        <v>4731</v>
      </c>
      <c r="I1173" s="13" t="s">
        <v>4732</v>
      </c>
      <c r="J1173" s="13" t="s">
        <v>98</v>
      </c>
      <c r="K1173" s="13">
        <f t="shared" si="90"/>
        <v>1</v>
      </c>
      <c r="L1173" s="13">
        <f t="shared" si="91"/>
        <v>0</v>
      </c>
      <c r="M1173" s="13">
        <f>IF(AND(L1173=0,COUNTIFS($B$2:$B$1534,B1173,$G$2:$G$1534,G1173,$E$2:$E$1534,"&gt;="&amp;(E1173-Assumptions!$B$5),$E$2:$E$1534,"&lt;="&amp;(E1173+Assumptions!$B$5))&gt;1),1,0)</f>
        <v>0</v>
      </c>
      <c r="N1173" s="13">
        <f>IF(AND(G1173&gt;=Assumptions!$B$4*(1-Assumptions!$B$6),G1173&lt;Assumptions!$B$4),1,0)</f>
        <v>0</v>
      </c>
      <c r="O1173" s="13">
        <f>IF(AND(G1173&gt;=Assumptions!$B$7,MOD(G1173,Assumptions!$B$7)=0),1,0)</f>
        <v>0</v>
      </c>
      <c r="P1173" s="13">
        <f t="shared" si="92"/>
        <v>0</v>
      </c>
      <c r="Q1173" s="13">
        <f t="shared" si="93"/>
        <v>0</v>
      </c>
      <c r="R1173" s="13">
        <f>L1173*Assumptions!$B$11+M1173*Assumptions!$B$12+N1173*Assumptions!$B$13+O1173*Assumptions!$B$14+P1173*Assumptions!$B$15+Q1173*Assumptions!$B$16</f>
        <v>0</v>
      </c>
      <c r="S1173" s="13" t="str">
        <f>IF(R1173&gt;=Assumptions!$B$20,"High",IF(R1173&gt;=Assumptions!$B$21,"Medium",IF(R1173&gt;=1,"Low","Clear")))</f>
        <v>Clear</v>
      </c>
      <c r="T1173" s="13" t="str">
        <f t="shared" si="94"/>
        <v/>
      </c>
    </row>
    <row r="1174" spans="1:20" x14ac:dyDescent="0.35">
      <c r="A1174" s="13" t="s">
        <v>4733</v>
      </c>
      <c r="B1174" s="13" t="s">
        <v>329</v>
      </c>
      <c r="C1174" s="13" t="s">
        <v>330</v>
      </c>
      <c r="D1174" s="13" t="s">
        <v>4734</v>
      </c>
      <c r="E1174" s="14">
        <v>46029</v>
      </c>
      <c r="F1174" s="14">
        <v>46059</v>
      </c>
      <c r="G1174" s="15">
        <v>11361.39</v>
      </c>
      <c r="H1174" s="13" t="s">
        <v>4735</v>
      </c>
      <c r="I1174" s="13" t="s">
        <v>4736</v>
      </c>
      <c r="J1174" s="13" t="s">
        <v>170</v>
      </c>
      <c r="K1174" s="13">
        <f t="shared" si="90"/>
        <v>1</v>
      </c>
      <c r="L1174" s="13">
        <f t="shared" si="91"/>
        <v>0</v>
      </c>
      <c r="M1174" s="13">
        <f>IF(AND(L1174=0,COUNTIFS($B$2:$B$1534,B1174,$G$2:$G$1534,G1174,$E$2:$E$1534,"&gt;="&amp;(E1174-Assumptions!$B$5),$E$2:$E$1534,"&lt;="&amp;(E1174+Assumptions!$B$5))&gt;1),1,0)</f>
        <v>0</v>
      </c>
      <c r="N1174" s="13">
        <f>IF(AND(G1174&gt;=Assumptions!$B$4*(1-Assumptions!$B$6),G1174&lt;Assumptions!$B$4),1,0)</f>
        <v>0</v>
      </c>
      <c r="O1174" s="13">
        <f>IF(AND(G1174&gt;=Assumptions!$B$7,MOD(G1174,Assumptions!$B$7)=0),1,0)</f>
        <v>0</v>
      </c>
      <c r="P1174" s="13">
        <f t="shared" si="92"/>
        <v>0</v>
      </c>
      <c r="Q1174" s="13">
        <f t="shared" si="93"/>
        <v>0</v>
      </c>
      <c r="R1174" s="13">
        <f>L1174*Assumptions!$B$11+M1174*Assumptions!$B$12+N1174*Assumptions!$B$13+O1174*Assumptions!$B$14+P1174*Assumptions!$B$15+Q1174*Assumptions!$B$16</f>
        <v>0</v>
      </c>
      <c r="S1174" s="13" t="str">
        <f>IF(R1174&gt;=Assumptions!$B$20,"High",IF(R1174&gt;=Assumptions!$B$21,"Medium",IF(R1174&gt;=1,"Low","Clear")))</f>
        <v>Clear</v>
      </c>
      <c r="T1174" s="13" t="str">
        <f t="shared" si="94"/>
        <v/>
      </c>
    </row>
    <row r="1175" spans="1:20" x14ac:dyDescent="0.35">
      <c r="A1175" s="13" t="s">
        <v>4737</v>
      </c>
      <c r="B1175" s="13" t="s">
        <v>125</v>
      </c>
      <c r="C1175" s="13" t="s">
        <v>126</v>
      </c>
      <c r="D1175" s="13" t="s">
        <v>4738</v>
      </c>
      <c r="E1175" s="14">
        <v>46026</v>
      </c>
      <c r="F1175" s="14">
        <v>46059</v>
      </c>
      <c r="G1175" s="15">
        <v>5934.92</v>
      </c>
      <c r="H1175" s="13" t="s">
        <v>4739</v>
      </c>
      <c r="I1175" s="13" t="s">
        <v>4740</v>
      </c>
      <c r="J1175" s="13" t="s">
        <v>91</v>
      </c>
      <c r="K1175" s="13">
        <f t="shared" si="90"/>
        <v>5</v>
      </c>
      <c r="L1175" s="13">
        <f t="shared" si="91"/>
        <v>1</v>
      </c>
      <c r="M1175" s="13">
        <f>IF(AND(L1175=0,COUNTIFS($B$2:$B$1534,B1175,$G$2:$G$1534,G1175,$E$2:$E$1534,"&gt;="&amp;(E1175-Assumptions!$B$5),$E$2:$E$1534,"&lt;="&amp;(E1175+Assumptions!$B$5))&gt;1),1,0)</f>
        <v>0</v>
      </c>
      <c r="N1175" s="13">
        <f>IF(AND(G1175&gt;=Assumptions!$B$4*(1-Assumptions!$B$6),G1175&lt;Assumptions!$B$4),1,0)</f>
        <v>0</v>
      </c>
      <c r="O1175" s="13">
        <f>IF(AND(G1175&gt;=Assumptions!$B$7,MOD(G1175,Assumptions!$B$7)=0),1,0)</f>
        <v>0</v>
      </c>
      <c r="P1175" s="13">
        <f t="shared" si="92"/>
        <v>0</v>
      </c>
      <c r="Q1175" s="13">
        <f t="shared" si="93"/>
        <v>0</v>
      </c>
      <c r="R1175" s="13">
        <f>L1175*Assumptions!$B$11+M1175*Assumptions!$B$12+N1175*Assumptions!$B$13+O1175*Assumptions!$B$14+P1175*Assumptions!$B$15+Q1175*Assumptions!$B$16</f>
        <v>5</v>
      </c>
      <c r="S1175" s="13" t="str">
        <f>IF(R1175&gt;=Assumptions!$B$20,"High",IF(R1175&gt;=Assumptions!$B$21,"Medium",IF(R1175&gt;=1,"Low","Clear")))</f>
        <v>High</v>
      </c>
      <c r="T1175" s="13" t="str">
        <f t="shared" si="94"/>
        <v xml:space="preserve">Duplicate invoice; </v>
      </c>
    </row>
    <row r="1176" spans="1:20" x14ac:dyDescent="0.35">
      <c r="A1176" s="13" t="s">
        <v>4741</v>
      </c>
      <c r="B1176" s="13" t="s">
        <v>317</v>
      </c>
      <c r="C1176" s="13" t="s">
        <v>318</v>
      </c>
      <c r="D1176" s="13" t="s">
        <v>4742</v>
      </c>
      <c r="E1176" s="14">
        <v>46021</v>
      </c>
      <c r="F1176" s="14">
        <v>46060</v>
      </c>
      <c r="G1176" s="15">
        <v>589504.68999999994</v>
      </c>
      <c r="H1176" s="13" t="s">
        <v>4743</v>
      </c>
      <c r="I1176" s="13" t="s">
        <v>4744</v>
      </c>
      <c r="J1176" s="13" t="s">
        <v>91</v>
      </c>
      <c r="K1176" s="13">
        <f t="shared" si="90"/>
        <v>5</v>
      </c>
      <c r="L1176" s="13">
        <f t="shared" si="91"/>
        <v>0</v>
      </c>
      <c r="M1176" s="13">
        <f>IF(AND(L1176=0,COUNTIFS($B$2:$B$1534,B1176,$G$2:$G$1534,G1176,$E$2:$E$1534,"&gt;="&amp;(E1176-Assumptions!$B$5),$E$2:$E$1534,"&lt;="&amp;(E1176+Assumptions!$B$5))&gt;1),1,0)</f>
        <v>0</v>
      </c>
      <c r="N1176" s="13">
        <f>IF(AND(G1176&gt;=Assumptions!$B$4*(1-Assumptions!$B$6),G1176&lt;Assumptions!$B$4),1,0)</f>
        <v>0</v>
      </c>
      <c r="O1176" s="13">
        <f>IF(AND(G1176&gt;=Assumptions!$B$7,MOD(G1176,Assumptions!$B$7)=0),1,0)</f>
        <v>0</v>
      </c>
      <c r="P1176" s="13">
        <f t="shared" si="92"/>
        <v>0</v>
      </c>
      <c r="Q1176" s="13">
        <f t="shared" si="93"/>
        <v>1</v>
      </c>
      <c r="R1176" s="13">
        <f>L1176*Assumptions!$B$11+M1176*Assumptions!$B$12+N1176*Assumptions!$B$13+O1176*Assumptions!$B$14+P1176*Assumptions!$B$15+Q1176*Assumptions!$B$16</f>
        <v>1</v>
      </c>
      <c r="S1176" s="13" t="str">
        <f>IF(R1176&gt;=Assumptions!$B$20,"High",IF(R1176&gt;=Assumptions!$B$21,"Medium",IF(R1176&gt;=1,"Low","Clear")))</f>
        <v>Low</v>
      </c>
      <c r="T1176" s="13" t="str">
        <f t="shared" si="94"/>
        <v xml:space="preserve">Weekend payment; </v>
      </c>
    </row>
    <row r="1177" spans="1:20" x14ac:dyDescent="0.35">
      <c r="A1177" s="13" t="s">
        <v>4745</v>
      </c>
      <c r="B1177" s="13" t="s">
        <v>323</v>
      </c>
      <c r="C1177" s="13" t="s">
        <v>324</v>
      </c>
      <c r="D1177" s="13" t="s">
        <v>4746</v>
      </c>
      <c r="E1177" s="14">
        <v>46020</v>
      </c>
      <c r="F1177" s="14">
        <v>46060</v>
      </c>
      <c r="G1177" s="15">
        <v>8886.4</v>
      </c>
      <c r="H1177" s="13" t="s">
        <v>4747</v>
      </c>
      <c r="I1177" s="13" t="s">
        <v>4748</v>
      </c>
      <c r="J1177" s="13" t="s">
        <v>170</v>
      </c>
      <c r="K1177" s="13">
        <f t="shared" si="90"/>
        <v>8</v>
      </c>
      <c r="L1177" s="13">
        <f t="shared" si="91"/>
        <v>0</v>
      </c>
      <c r="M1177" s="13">
        <f>IF(AND(L1177=0,COUNTIFS($B$2:$B$1534,B1177,$G$2:$G$1534,G1177,$E$2:$E$1534,"&gt;="&amp;(E1177-Assumptions!$B$5),$E$2:$E$1534,"&lt;="&amp;(E1177+Assumptions!$B$5))&gt;1),1,0)</f>
        <v>0</v>
      </c>
      <c r="N1177" s="13">
        <f>IF(AND(G1177&gt;=Assumptions!$B$4*(1-Assumptions!$B$6),G1177&lt;Assumptions!$B$4),1,0)</f>
        <v>0</v>
      </c>
      <c r="O1177" s="13">
        <f>IF(AND(G1177&gt;=Assumptions!$B$7,MOD(G1177,Assumptions!$B$7)=0),1,0)</f>
        <v>0</v>
      </c>
      <c r="P1177" s="13">
        <f t="shared" si="92"/>
        <v>0</v>
      </c>
      <c r="Q1177" s="13">
        <f t="shared" si="93"/>
        <v>1</v>
      </c>
      <c r="R1177" s="13">
        <f>L1177*Assumptions!$B$11+M1177*Assumptions!$B$12+N1177*Assumptions!$B$13+O1177*Assumptions!$B$14+P1177*Assumptions!$B$15+Q1177*Assumptions!$B$16</f>
        <v>1</v>
      </c>
      <c r="S1177" s="13" t="str">
        <f>IF(R1177&gt;=Assumptions!$B$20,"High",IF(R1177&gt;=Assumptions!$B$21,"Medium",IF(R1177&gt;=1,"Low","Clear")))</f>
        <v>Low</v>
      </c>
      <c r="T1177" s="13" t="str">
        <f t="shared" si="94"/>
        <v xml:space="preserve">Weekend payment; </v>
      </c>
    </row>
    <row r="1178" spans="1:20" x14ac:dyDescent="0.35">
      <c r="A1178" s="13" t="s">
        <v>4749</v>
      </c>
      <c r="B1178" s="13" t="s">
        <v>176</v>
      </c>
      <c r="C1178" s="13" t="s">
        <v>177</v>
      </c>
      <c r="D1178" s="13" t="s">
        <v>4718</v>
      </c>
      <c r="E1178" s="14">
        <v>46037</v>
      </c>
      <c r="F1178" s="14">
        <v>46062</v>
      </c>
      <c r="G1178" s="15">
        <v>539325.38</v>
      </c>
      <c r="H1178" s="13" t="s">
        <v>4719</v>
      </c>
      <c r="I1178" s="13" t="s">
        <v>4720</v>
      </c>
      <c r="J1178" s="13" t="s">
        <v>170</v>
      </c>
      <c r="K1178" s="13">
        <f t="shared" si="90"/>
        <v>5</v>
      </c>
      <c r="L1178" s="13">
        <f t="shared" si="91"/>
        <v>1</v>
      </c>
      <c r="M1178" s="13">
        <f>IF(AND(L1178=0,COUNTIFS($B$2:$B$1534,B1178,$G$2:$G$1534,G1178,$E$2:$E$1534,"&gt;="&amp;(E1178-Assumptions!$B$5),$E$2:$E$1534,"&lt;="&amp;(E1178+Assumptions!$B$5))&gt;1),1,0)</f>
        <v>0</v>
      </c>
      <c r="N1178" s="13">
        <f>IF(AND(G1178&gt;=Assumptions!$B$4*(1-Assumptions!$B$6),G1178&lt;Assumptions!$B$4),1,0)</f>
        <v>0</v>
      </c>
      <c r="O1178" s="13">
        <f>IF(AND(G1178&gt;=Assumptions!$B$7,MOD(G1178,Assumptions!$B$7)=0),1,0)</f>
        <v>0</v>
      </c>
      <c r="P1178" s="13">
        <f t="shared" si="92"/>
        <v>0</v>
      </c>
      <c r="Q1178" s="13">
        <f t="shared" si="93"/>
        <v>0</v>
      </c>
      <c r="R1178" s="13">
        <f>L1178*Assumptions!$B$11+M1178*Assumptions!$B$12+N1178*Assumptions!$B$13+O1178*Assumptions!$B$14+P1178*Assumptions!$B$15+Q1178*Assumptions!$B$16</f>
        <v>5</v>
      </c>
      <c r="S1178" s="13" t="str">
        <f>IF(R1178&gt;=Assumptions!$B$20,"High",IF(R1178&gt;=Assumptions!$B$21,"Medium",IF(R1178&gt;=1,"Low","Clear")))</f>
        <v>High</v>
      </c>
      <c r="T1178" s="13" t="str">
        <f t="shared" si="94"/>
        <v xml:space="preserve">Duplicate invoice; </v>
      </c>
    </row>
    <row r="1179" spans="1:20" x14ac:dyDescent="0.35">
      <c r="A1179" s="13" t="s">
        <v>4750</v>
      </c>
      <c r="B1179" s="13" t="s">
        <v>188</v>
      </c>
      <c r="C1179" s="13" t="s">
        <v>189</v>
      </c>
      <c r="D1179" s="13" t="s">
        <v>4751</v>
      </c>
      <c r="E1179" s="14">
        <v>46033</v>
      </c>
      <c r="F1179" s="14">
        <v>46062</v>
      </c>
      <c r="G1179" s="15">
        <v>565470.62</v>
      </c>
      <c r="H1179" s="13" t="s">
        <v>4752</v>
      </c>
      <c r="I1179" s="13" t="s">
        <v>4753</v>
      </c>
      <c r="J1179" s="13" t="s">
        <v>143</v>
      </c>
      <c r="K1179" s="13">
        <f t="shared" si="90"/>
        <v>5</v>
      </c>
      <c r="L1179" s="13">
        <f t="shared" si="91"/>
        <v>0</v>
      </c>
      <c r="M1179" s="13">
        <f>IF(AND(L1179=0,COUNTIFS($B$2:$B$1534,B1179,$G$2:$G$1534,G1179,$E$2:$E$1534,"&gt;="&amp;(E1179-Assumptions!$B$5),$E$2:$E$1534,"&lt;="&amp;(E1179+Assumptions!$B$5))&gt;1),1,0)</f>
        <v>0</v>
      </c>
      <c r="N1179" s="13">
        <f>IF(AND(G1179&gt;=Assumptions!$B$4*(1-Assumptions!$B$6),G1179&lt;Assumptions!$B$4),1,0)</f>
        <v>0</v>
      </c>
      <c r="O1179" s="13">
        <f>IF(AND(G1179&gt;=Assumptions!$B$7,MOD(G1179,Assumptions!$B$7)=0),1,0)</f>
        <v>0</v>
      </c>
      <c r="P1179" s="13">
        <f t="shared" si="92"/>
        <v>0</v>
      </c>
      <c r="Q1179" s="13">
        <f t="shared" si="93"/>
        <v>0</v>
      </c>
      <c r="R1179" s="13">
        <f>L1179*Assumptions!$B$11+M1179*Assumptions!$B$12+N1179*Assumptions!$B$13+O1179*Assumptions!$B$14+P1179*Assumptions!$B$15+Q1179*Assumptions!$B$16</f>
        <v>0</v>
      </c>
      <c r="S1179" s="13" t="str">
        <f>IF(R1179&gt;=Assumptions!$B$20,"High",IF(R1179&gt;=Assumptions!$B$21,"Medium",IF(R1179&gt;=1,"Low","Clear")))</f>
        <v>Clear</v>
      </c>
      <c r="T1179" s="13" t="str">
        <f t="shared" si="94"/>
        <v/>
      </c>
    </row>
    <row r="1180" spans="1:20" x14ac:dyDescent="0.35">
      <c r="A1180" s="13" t="s">
        <v>4754</v>
      </c>
      <c r="B1180" s="13" t="s">
        <v>409</v>
      </c>
      <c r="C1180" s="13" t="s">
        <v>410</v>
      </c>
      <c r="D1180" s="13" t="s">
        <v>4755</v>
      </c>
      <c r="E1180" s="14">
        <v>46040</v>
      </c>
      <c r="F1180" s="14">
        <v>46062</v>
      </c>
      <c r="G1180" s="15">
        <v>934961.94</v>
      </c>
      <c r="H1180" s="13" t="s">
        <v>4756</v>
      </c>
      <c r="I1180" s="13" t="s">
        <v>4757</v>
      </c>
      <c r="J1180" s="13" t="s">
        <v>111</v>
      </c>
      <c r="K1180" s="13">
        <f t="shared" si="90"/>
        <v>9</v>
      </c>
      <c r="L1180" s="13">
        <f t="shared" si="91"/>
        <v>0</v>
      </c>
      <c r="M1180" s="13">
        <f>IF(AND(L1180=0,COUNTIFS($B$2:$B$1534,B1180,$G$2:$G$1534,G1180,$E$2:$E$1534,"&gt;="&amp;(E1180-Assumptions!$B$5),$E$2:$E$1534,"&lt;="&amp;(E1180+Assumptions!$B$5))&gt;1),1,0)</f>
        <v>0</v>
      </c>
      <c r="N1180" s="13">
        <f>IF(AND(G1180&gt;=Assumptions!$B$4*(1-Assumptions!$B$6),G1180&lt;Assumptions!$B$4),1,0)</f>
        <v>0</v>
      </c>
      <c r="O1180" s="13">
        <f>IF(AND(G1180&gt;=Assumptions!$B$7,MOD(G1180,Assumptions!$B$7)=0),1,0)</f>
        <v>0</v>
      </c>
      <c r="P1180" s="13">
        <f t="shared" si="92"/>
        <v>0</v>
      </c>
      <c r="Q1180" s="13">
        <f t="shared" si="93"/>
        <v>0</v>
      </c>
      <c r="R1180" s="13">
        <f>L1180*Assumptions!$B$11+M1180*Assumptions!$B$12+N1180*Assumptions!$B$13+O1180*Assumptions!$B$14+P1180*Assumptions!$B$15+Q1180*Assumptions!$B$16</f>
        <v>0</v>
      </c>
      <c r="S1180" s="13" t="str">
        <f>IF(R1180&gt;=Assumptions!$B$20,"High",IF(R1180&gt;=Assumptions!$B$21,"Medium",IF(R1180&gt;=1,"Low","Clear")))</f>
        <v>Clear</v>
      </c>
      <c r="T1180" s="13" t="str">
        <f t="shared" si="94"/>
        <v/>
      </c>
    </row>
    <row r="1181" spans="1:20" x14ac:dyDescent="0.35">
      <c r="A1181" s="13" t="s">
        <v>4758</v>
      </c>
      <c r="B1181" s="13" t="s">
        <v>498</v>
      </c>
      <c r="C1181" s="13" t="s">
        <v>499</v>
      </c>
      <c r="D1181" s="13" t="s">
        <v>4759</v>
      </c>
      <c r="E1181" s="14">
        <v>46027</v>
      </c>
      <c r="F1181" s="14">
        <v>46062</v>
      </c>
      <c r="G1181" s="15">
        <v>3565.69</v>
      </c>
      <c r="H1181" s="13" t="s">
        <v>4760</v>
      </c>
      <c r="I1181" s="13" t="s">
        <v>4761</v>
      </c>
      <c r="J1181" s="13" t="s">
        <v>111</v>
      </c>
      <c r="K1181" s="13">
        <f t="shared" si="90"/>
        <v>3</v>
      </c>
      <c r="L1181" s="13">
        <f t="shared" si="91"/>
        <v>0</v>
      </c>
      <c r="M1181" s="13">
        <f>IF(AND(L1181=0,COUNTIFS($B$2:$B$1534,B1181,$G$2:$G$1534,G1181,$E$2:$E$1534,"&gt;="&amp;(E1181-Assumptions!$B$5),$E$2:$E$1534,"&lt;="&amp;(E1181+Assumptions!$B$5))&gt;1),1,0)</f>
        <v>0</v>
      </c>
      <c r="N1181" s="13">
        <f>IF(AND(G1181&gt;=Assumptions!$B$4*(1-Assumptions!$B$6),G1181&lt;Assumptions!$B$4),1,0)</f>
        <v>0</v>
      </c>
      <c r="O1181" s="13">
        <f>IF(AND(G1181&gt;=Assumptions!$B$7,MOD(G1181,Assumptions!$B$7)=0),1,0)</f>
        <v>0</v>
      </c>
      <c r="P1181" s="13">
        <f t="shared" si="92"/>
        <v>0</v>
      </c>
      <c r="Q1181" s="13">
        <f t="shared" si="93"/>
        <v>0</v>
      </c>
      <c r="R1181" s="13">
        <f>L1181*Assumptions!$B$11+M1181*Assumptions!$B$12+N1181*Assumptions!$B$13+O1181*Assumptions!$B$14+P1181*Assumptions!$B$15+Q1181*Assumptions!$B$16</f>
        <v>0</v>
      </c>
      <c r="S1181" s="13" t="str">
        <f>IF(R1181&gt;=Assumptions!$B$20,"High",IF(R1181&gt;=Assumptions!$B$21,"Medium",IF(R1181&gt;=1,"Low","Clear")))</f>
        <v>Clear</v>
      </c>
      <c r="T1181" s="13" t="str">
        <f t="shared" si="94"/>
        <v/>
      </c>
    </row>
    <row r="1182" spans="1:20" x14ac:dyDescent="0.35">
      <c r="A1182" s="13" t="s">
        <v>4762</v>
      </c>
      <c r="B1182" s="13" t="s">
        <v>200</v>
      </c>
      <c r="C1182" s="13" t="s">
        <v>201</v>
      </c>
      <c r="D1182" s="13" t="s">
        <v>4763</v>
      </c>
      <c r="E1182" s="14">
        <v>46029</v>
      </c>
      <c r="F1182" s="14">
        <v>46062</v>
      </c>
      <c r="G1182" s="15">
        <v>32664.68</v>
      </c>
      <c r="H1182" s="13" t="s">
        <v>4764</v>
      </c>
      <c r="I1182" s="13" t="s">
        <v>4765</v>
      </c>
      <c r="J1182" s="13" t="s">
        <v>91</v>
      </c>
      <c r="K1182" s="13">
        <f t="shared" si="90"/>
        <v>3</v>
      </c>
      <c r="L1182" s="13">
        <f t="shared" si="91"/>
        <v>0</v>
      </c>
      <c r="M1182" s="13">
        <f>IF(AND(L1182=0,COUNTIFS($B$2:$B$1534,B1182,$G$2:$G$1534,G1182,$E$2:$E$1534,"&gt;="&amp;(E1182-Assumptions!$B$5),$E$2:$E$1534,"&lt;="&amp;(E1182+Assumptions!$B$5))&gt;1),1,0)</f>
        <v>0</v>
      </c>
      <c r="N1182" s="13">
        <f>IF(AND(G1182&gt;=Assumptions!$B$4*(1-Assumptions!$B$6),G1182&lt;Assumptions!$B$4),1,0)</f>
        <v>0</v>
      </c>
      <c r="O1182" s="13">
        <f>IF(AND(G1182&gt;=Assumptions!$B$7,MOD(G1182,Assumptions!$B$7)=0),1,0)</f>
        <v>0</v>
      </c>
      <c r="P1182" s="13">
        <f t="shared" si="92"/>
        <v>0</v>
      </c>
      <c r="Q1182" s="13">
        <f t="shared" si="93"/>
        <v>0</v>
      </c>
      <c r="R1182" s="13">
        <f>L1182*Assumptions!$B$11+M1182*Assumptions!$B$12+N1182*Assumptions!$B$13+O1182*Assumptions!$B$14+P1182*Assumptions!$B$15+Q1182*Assumptions!$B$16</f>
        <v>0</v>
      </c>
      <c r="S1182" s="13" t="str">
        <f>IF(R1182&gt;=Assumptions!$B$20,"High",IF(R1182&gt;=Assumptions!$B$21,"Medium",IF(R1182&gt;=1,"Low","Clear")))</f>
        <v>Clear</v>
      </c>
      <c r="T1182" s="13" t="str">
        <f t="shared" si="94"/>
        <v/>
      </c>
    </row>
    <row r="1183" spans="1:20" x14ac:dyDescent="0.35">
      <c r="A1183" s="13" t="s">
        <v>4766</v>
      </c>
      <c r="B1183" s="13" t="s">
        <v>218</v>
      </c>
      <c r="C1183" s="13" t="s">
        <v>219</v>
      </c>
      <c r="D1183" s="13" t="s">
        <v>4767</v>
      </c>
      <c r="E1183" s="14">
        <v>46029</v>
      </c>
      <c r="F1183" s="14">
        <v>46062</v>
      </c>
      <c r="G1183" s="15">
        <v>1354.31</v>
      </c>
      <c r="H1183" s="13" t="s">
        <v>4768</v>
      </c>
      <c r="I1183" s="13" t="s">
        <v>4769</v>
      </c>
      <c r="J1183" s="13" t="s">
        <v>91</v>
      </c>
      <c r="K1183" s="13">
        <f t="shared" si="90"/>
        <v>1</v>
      </c>
      <c r="L1183" s="13">
        <f t="shared" si="91"/>
        <v>0</v>
      </c>
      <c r="M1183" s="13">
        <f>IF(AND(L1183=0,COUNTIFS($B$2:$B$1534,B1183,$G$2:$G$1534,G1183,$E$2:$E$1534,"&gt;="&amp;(E1183-Assumptions!$B$5),$E$2:$E$1534,"&lt;="&amp;(E1183+Assumptions!$B$5))&gt;1),1,0)</f>
        <v>0</v>
      </c>
      <c r="N1183" s="13">
        <f>IF(AND(G1183&gt;=Assumptions!$B$4*(1-Assumptions!$B$6),G1183&lt;Assumptions!$B$4),1,0)</f>
        <v>0</v>
      </c>
      <c r="O1183" s="13">
        <f>IF(AND(G1183&gt;=Assumptions!$B$7,MOD(G1183,Assumptions!$B$7)=0),1,0)</f>
        <v>0</v>
      </c>
      <c r="P1183" s="13">
        <f t="shared" si="92"/>
        <v>0</v>
      </c>
      <c r="Q1183" s="13">
        <f t="shared" si="93"/>
        <v>0</v>
      </c>
      <c r="R1183" s="13">
        <f>L1183*Assumptions!$B$11+M1183*Assumptions!$B$12+N1183*Assumptions!$B$13+O1183*Assumptions!$B$14+P1183*Assumptions!$B$15+Q1183*Assumptions!$B$16</f>
        <v>0</v>
      </c>
      <c r="S1183" s="13" t="str">
        <f>IF(R1183&gt;=Assumptions!$B$20,"High",IF(R1183&gt;=Assumptions!$B$21,"Medium",IF(R1183&gt;=1,"Low","Clear")))</f>
        <v>Clear</v>
      </c>
      <c r="T1183" s="13" t="str">
        <f t="shared" si="94"/>
        <v/>
      </c>
    </row>
    <row r="1184" spans="1:20" x14ac:dyDescent="0.35">
      <c r="A1184" s="13" t="s">
        <v>4770</v>
      </c>
      <c r="B1184" s="13" t="s">
        <v>323</v>
      </c>
      <c r="C1184" s="13" t="s">
        <v>324</v>
      </c>
      <c r="D1184" s="13" t="s">
        <v>4771</v>
      </c>
      <c r="E1184" s="14">
        <v>46037</v>
      </c>
      <c r="F1184" s="14">
        <v>46062</v>
      </c>
      <c r="G1184" s="15">
        <v>3235.57</v>
      </c>
      <c r="H1184" s="13" t="s">
        <v>4772</v>
      </c>
      <c r="I1184" s="13" t="s">
        <v>4773</v>
      </c>
      <c r="J1184" s="13" t="s">
        <v>98</v>
      </c>
      <c r="K1184" s="13">
        <f t="shared" si="90"/>
        <v>3</v>
      </c>
      <c r="L1184" s="13">
        <f t="shared" si="91"/>
        <v>0</v>
      </c>
      <c r="M1184" s="13">
        <f>IF(AND(L1184=0,COUNTIFS($B$2:$B$1534,B1184,$G$2:$G$1534,G1184,$E$2:$E$1534,"&gt;="&amp;(E1184-Assumptions!$B$5),$E$2:$E$1534,"&lt;="&amp;(E1184+Assumptions!$B$5))&gt;1),1,0)</f>
        <v>0</v>
      </c>
      <c r="N1184" s="13">
        <f>IF(AND(G1184&gt;=Assumptions!$B$4*(1-Assumptions!$B$6),G1184&lt;Assumptions!$B$4),1,0)</f>
        <v>0</v>
      </c>
      <c r="O1184" s="13">
        <f>IF(AND(G1184&gt;=Assumptions!$B$7,MOD(G1184,Assumptions!$B$7)=0),1,0)</f>
        <v>0</v>
      </c>
      <c r="P1184" s="13">
        <f t="shared" si="92"/>
        <v>0</v>
      </c>
      <c r="Q1184" s="13">
        <f t="shared" si="93"/>
        <v>0</v>
      </c>
      <c r="R1184" s="13">
        <f>L1184*Assumptions!$B$11+M1184*Assumptions!$B$12+N1184*Assumptions!$B$13+O1184*Assumptions!$B$14+P1184*Assumptions!$B$15+Q1184*Assumptions!$B$16</f>
        <v>0</v>
      </c>
      <c r="S1184" s="13" t="str">
        <f>IF(R1184&gt;=Assumptions!$B$20,"High",IF(R1184&gt;=Assumptions!$B$21,"Medium",IF(R1184&gt;=1,"Low","Clear")))</f>
        <v>Clear</v>
      </c>
      <c r="T1184" s="13" t="str">
        <f t="shared" si="94"/>
        <v/>
      </c>
    </row>
    <row r="1185" spans="1:20" x14ac:dyDescent="0.35">
      <c r="A1185" s="13" t="s">
        <v>4774</v>
      </c>
      <c r="B1185" s="13" t="s">
        <v>476</v>
      </c>
      <c r="C1185" s="13" t="s">
        <v>477</v>
      </c>
      <c r="D1185" s="13" t="s">
        <v>4775</v>
      </c>
      <c r="E1185" s="14">
        <v>46034</v>
      </c>
      <c r="F1185" s="14">
        <v>46062</v>
      </c>
      <c r="G1185" s="15">
        <v>29079.26</v>
      </c>
      <c r="H1185" s="13" t="s">
        <v>4776</v>
      </c>
      <c r="I1185" s="13" t="s">
        <v>4777</v>
      </c>
      <c r="J1185" s="13" t="s">
        <v>143</v>
      </c>
      <c r="K1185" s="13">
        <f t="shared" si="90"/>
        <v>2</v>
      </c>
      <c r="L1185" s="13">
        <f t="shared" si="91"/>
        <v>0</v>
      </c>
      <c r="M1185" s="13">
        <f>IF(AND(L1185=0,COUNTIFS($B$2:$B$1534,B1185,$G$2:$G$1534,G1185,$E$2:$E$1534,"&gt;="&amp;(E1185-Assumptions!$B$5),$E$2:$E$1534,"&lt;="&amp;(E1185+Assumptions!$B$5))&gt;1),1,0)</f>
        <v>0</v>
      </c>
      <c r="N1185" s="13">
        <f>IF(AND(G1185&gt;=Assumptions!$B$4*(1-Assumptions!$B$6),G1185&lt;Assumptions!$B$4),1,0)</f>
        <v>0</v>
      </c>
      <c r="O1185" s="13">
        <f>IF(AND(G1185&gt;=Assumptions!$B$7,MOD(G1185,Assumptions!$B$7)=0),1,0)</f>
        <v>0</v>
      </c>
      <c r="P1185" s="13">
        <f t="shared" si="92"/>
        <v>0</v>
      </c>
      <c r="Q1185" s="13">
        <f t="shared" si="93"/>
        <v>0</v>
      </c>
      <c r="R1185" s="13">
        <f>L1185*Assumptions!$B$11+M1185*Assumptions!$B$12+N1185*Assumptions!$B$13+O1185*Assumptions!$B$14+P1185*Assumptions!$B$15+Q1185*Assumptions!$B$16</f>
        <v>0</v>
      </c>
      <c r="S1185" s="13" t="str">
        <f>IF(R1185&gt;=Assumptions!$B$20,"High",IF(R1185&gt;=Assumptions!$B$21,"Medium",IF(R1185&gt;=1,"Low","Clear")))</f>
        <v>Clear</v>
      </c>
      <c r="T1185" s="13" t="str">
        <f t="shared" si="94"/>
        <v/>
      </c>
    </row>
    <row r="1186" spans="1:20" x14ac:dyDescent="0.35">
      <c r="A1186" s="13" t="s">
        <v>4778</v>
      </c>
      <c r="B1186" s="13" t="s">
        <v>138</v>
      </c>
      <c r="C1186" s="13" t="s">
        <v>139</v>
      </c>
      <c r="D1186" s="13" t="s">
        <v>4779</v>
      </c>
      <c r="E1186" s="14">
        <v>46039</v>
      </c>
      <c r="F1186" s="14">
        <v>46062</v>
      </c>
      <c r="G1186" s="15">
        <v>1982.97</v>
      </c>
      <c r="H1186" s="13" t="s">
        <v>4780</v>
      </c>
      <c r="I1186" s="13" t="s">
        <v>4781</v>
      </c>
      <c r="J1186" s="13" t="s">
        <v>91</v>
      </c>
      <c r="K1186" s="13">
        <f t="shared" si="90"/>
        <v>1</v>
      </c>
      <c r="L1186" s="13">
        <f t="shared" si="91"/>
        <v>0</v>
      </c>
      <c r="M1186" s="13">
        <f>IF(AND(L1186=0,COUNTIFS($B$2:$B$1534,B1186,$G$2:$G$1534,G1186,$E$2:$E$1534,"&gt;="&amp;(E1186-Assumptions!$B$5),$E$2:$E$1534,"&lt;="&amp;(E1186+Assumptions!$B$5))&gt;1),1,0)</f>
        <v>0</v>
      </c>
      <c r="N1186" s="13">
        <f>IF(AND(G1186&gt;=Assumptions!$B$4*(1-Assumptions!$B$6),G1186&lt;Assumptions!$B$4),1,0)</f>
        <v>0</v>
      </c>
      <c r="O1186" s="13">
        <f>IF(AND(G1186&gt;=Assumptions!$B$7,MOD(G1186,Assumptions!$B$7)=0),1,0)</f>
        <v>0</v>
      </c>
      <c r="P1186" s="13">
        <f t="shared" si="92"/>
        <v>0</v>
      </c>
      <c r="Q1186" s="13">
        <f t="shared" si="93"/>
        <v>0</v>
      </c>
      <c r="R1186" s="13">
        <f>L1186*Assumptions!$B$11+M1186*Assumptions!$B$12+N1186*Assumptions!$B$13+O1186*Assumptions!$B$14+P1186*Assumptions!$B$15+Q1186*Assumptions!$B$16</f>
        <v>0</v>
      </c>
      <c r="S1186" s="13" t="str">
        <f>IF(R1186&gt;=Assumptions!$B$20,"High",IF(R1186&gt;=Assumptions!$B$21,"Medium",IF(R1186&gt;=1,"Low","Clear")))</f>
        <v>Clear</v>
      </c>
      <c r="T1186" s="13" t="str">
        <f t="shared" si="94"/>
        <v/>
      </c>
    </row>
    <row r="1187" spans="1:20" x14ac:dyDescent="0.35">
      <c r="A1187" s="13" t="s">
        <v>4782</v>
      </c>
      <c r="B1187" s="13" t="s">
        <v>438</v>
      </c>
      <c r="C1187" s="13" t="s">
        <v>439</v>
      </c>
      <c r="D1187" s="13" t="s">
        <v>4783</v>
      </c>
      <c r="E1187" s="14">
        <v>46023</v>
      </c>
      <c r="F1187" s="14">
        <v>46062</v>
      </c>
      <c r="G1187" s="15">
        <v>2871.05</v>
      </c>
      <c r="H1187" s="13" t="s">
        <v>4784</v>
      </c>
      <c r="I1187" s="13" t="s">
        <v>4785</v>
      </c>
      <c r="J1187" s="13" t="s">
        <v>111</v>
      </c>
      <c r="K1187" s="13">
        <f t="shared" si="90"/>
        <v>2</v>
      </c>
      <c r="L1187" s="13">
        <f t="shared" si="91"/>
        <v>0</v>
      </c>
      <c r="M1187" s="13">
        <f>IF(AND(L1187=0,COUNTIFS($B$2:$B$1534,B1187,$G$2:$G$1534,G1187,$E$2:$E$1534,"&gt;="&amp;(E1187-Assumptions!$B$5),$E$2:$E$1534,"&lt;="&amp;(E1187+Assumptions!$B$5))&gt;1),1,0)</f>
        <v>0</v>
      </c>
      <c r="N1187" s="13">
        <f>IF(AND(G1187&gt;=Assumptions!$B$4*(1-Assumptions!$B$6),G1187&lt;Assumptions!$B$4),1,0)</f>
        <v>0</v>
      </c>
      <c r="O1187" s="13">
        <f>IF(AND(G1187&gt;=Assumptions!$B$7,MOD(G1187,Assumptions!$B$7)=0),1,0)</f>
        <v>0</v>
      </c>
      <c r="P1187" s="13">
        <f t="shared" si="92"/>
        <v>0</v>
      </c>
      <c r="Q1187" s="13">
        <f t="shared" si="93"/>
        <v>0</v>
      </c>
      <c r="R1187" s="13">
        <f>L1187*Assumptions!$B$11+M1187*Assumptions!$B$12+N1187*Assumptions!$B$13+O1187*Assumptions!$B$14+P1187*Assumptions!$B$15+Q1187*Assumptions!$B$16</f>
        <v>0</v>
      </c>
      <c r="S1187" s="13" t="str">
        <f>IF(R1187&gt;=Assumptions!$B$20,"High",IF(R1187&gt;=Assumptions!$B$21,"Medium",IF(R1187&gt;=1,"Low","Clear")))</f>
        <v>Clear</v>
      </c>
      <c r="T1187" s="13" t="str">
        <f t="shared" si="94"/>
        <v/>
      </c>
    </row>
    <row r="1188" spans="1:20" x14ac:dyDescent="0.35">
      <c r="A1188" s="13" t="s">
        <v>4786</v>
      </c>
      <c r="B1188" s="13" t="s">
        <v>145</v>
      </c>
      <c r="C1188" s="13" t="s">
        <v>146</v>
      </c>
      <c r="D1188" s="13" t="s">
        <v>4787</v>
      </c>
      <c r="E1188" s="14">
        <v>46028</v>
      </c>
      <c r="F1188" s="14">
        <v>46062</v>
      </c>
      <c r="G1188" s="15">
        <v>13341.03</v>
      </c>
      <c r="H1188" s="13" t="s">
        <v>4681</v>
      </c>
      <c r="I1188" s="13" t="s">
        <v>4682</v>
      </c>
      <c r="J1188" s="13" t="s">
        <v>170</v>
      </c>
      <c r="K1188" s="13">
        <f t="shared" si="90"/>
        <v>1</v>
      </c>
      <c r="L1188" s="13">
        <f t="shared" si="91"/>
        <v>0</v>
      </c>
      <c r="M1188" s="13">
        <f>IF(AND(L1188=0,COUNTIFS($B$2:$B$1534,B1188,$G$2:$G$1534,G1188,$E$2:$E$1534,"&gt;="&amp;(E1188-Assumptions!$B$5),$E$2:$E$1534,"&lt;="&amp;(E1188+Assumptions!$B$5))&gt;1),1,0)</f>
        <v>1</v>
      </c>
      <c r="N1188" s="13">
        <f>IF(AND(G1188&gt;=Assumptions!$B$4*(1-Assumptions!$B$6),G1188&lt;Assumptions!$B$4),1,0)</f>
        <v>0</v>
      </c>
      <c r="O1188" s="13">
        <f>IF(AND(G1188&gt;=Assumptions!$B$7,MOD(G1188,Assumptions!$B$7)=0),1,0)</f>
        <v>0</v>
      </c>
      <c r="P1188" s="13">
        <f t="shared" si="92"/>
        <v>0</v>
      </c>
      <c r="Q1188" s="13">
        <f t="shared" si="93"/>
        <v>0</v>
      </c>
      <c r="R1188" s="13">
        <f>L1188*Assumptions!$B$11+M1188*Assumptions!$B$12+N1188*Assumptions!$B$13+O1188*Assumptions!$B$14+P1188*Assumptions!$B$15+Q1188*Assumptions!$B$16</f>
        <v>3</v>
      </c>
      <c r="S1188" s="13" t="str">
        <f>IF(R1188&gt;=Assumptions!$B$20,"High",IF(R1188&gt;=Assumptions!$B$21,"Medium",IF(R1188&gt;=1,"Low","Clear")))</f>
        <v>Medium</v>
      </c>
      <c r="T1188" s="13" t="str">
        <f t="shared" si="94"/>
        <v xml:space="preserve">Near-duplicate; </v>
      </c>
    </row>
    <row r="1189" spans="1:20" x14ac:dyDescent="0.35">
      <c r="A1189" s="13" t="s">
        <v>4788</v>
      </c>
      <c r="B1189" s="13" t="s">
        <v>125</v>
      </c>
      <c r="C1189" s="13" t="s">
        <v>126</v>
      </c>
      <c r="D1189" s="13" t="s">
        <v>4789</v>
      </c>
      <c r="E1189" s="14">
        <v>46037</v>
      </c>
      <c r="F1189" s="14">
        <v>46062</v>
      </c>
      <c r="G1189" s="15">
        <v>1570.66</v>
      </c>
      <c r="H1189" s="13" t="s">
        <v>3334</v>
      </c>
      <c r="I1189" s="13" t="s">
        <v>3335</v>
      </c>
      <c r="J1189" s="13" t="s">
        <v>143</v>
      </c>
      <c r="K1189" s="13">
        <f t="shared" si="90"/>
        <v>1</v>
      </c>
      <c r="L1189" s="13">
        <f t="shared" si="91"/>
        <v>0</v>
      </c>
      <c r="M1189" s="13">
        <f>IF(AND(L1189=0,COUNTIFS($B$2:$B$1534,B1189,$G$2:$G$1534,G1189,$E$2:$E$1534,"&gt;="&amp;(E1189-Assumptions!$B$5),$E$2:$E$1534,"&lt;="&amp;(E1189+Assumptions!$B$5))&gt;1),1,0)</f>
        <v>0</v>
      </c>
      <c r="N1189" s="13">
        <f>IF(AND(G1189&gt;=Assumptions!$B$4*(1-Assumptions!$B$6),G1189&lt;Assumptions!$B$4),1,0)</f>
        <v>0</v>
      </c>
      <c r="O1189" s="13">
        <f>IF(AND(G1189&gt;=Assumptions!$B$7,MOD(G1189,Assumptions!$B$7)=0),1,0)</f>
        <v>0</v>
      </c>
      <c r="P1189" s="13">
        <f t="shared" si="92"/>
        <v>0</v>
      </c>
      <c r="Q1189" s="13">
        <f t="shared" si="93"/>
        <v>0</v>
      </c>
      <c r="R1189" s="13">
        <f>L1189*Assumptions!$B$11+M1189*Assumptions!$B$12+N1189*Assumptions!$B$13+O1189*Assumptions!$B$14+P1189*Assumptions!$B$15+Q1189*Assumptions!$B$16</f>
        <v>0</v>
      </c>
      <c r="S1189" s="13" t="str">
        <f>IF(R1189&gt;=Assumptions!$B$20,"High",IF(R1189&gt;=Assumptions!$B$21,"Medium",IF(R1189&gt;=1,"Low","Clear")))</f>
        <v>Clear</v>
      </c>
      <c r="T1189" s="13" t="str">
        <f t="shared" si="94"/>
        <v/>
      </c>
    </row>
    <row r="1190" spans="1:20" x14ac:dyDescent="0.35">
      <c r="A1190" s="13" t="s">
        <v>4790</v>
      </c>
      <c r="B1190" s="13" t="s">
        <v>670</v>
      </c>
      <c r="C1190" s="13" t="s">
        <v>671</v>
      </c>
      <c r="D1190" s="13" t="s">
        <v>4644</v>
      </c>
      <c r="E1190" s="14">
        <v>46022</v>
      </c>
      <c r="F1190" s="14">
        <v>46063</v>
      </c>
      <c r="G1190" s="15">
        <v>783256.79</v>
      </c>
      <c r="H1190" s="13" t="s">
        <v>4645</v>
      </c>
      <c r="I1190" s="13" t="s">
        <v>4646</v>
      </c>
      <c r="J1190" s="13" t="s">
        <v>170</v>
      </c>
      <c r="K1190" s="13">
        <f t="shared" si="90"/>
        <v>7</v>
      </c>
      <c r="L1190" s="13">
        <f t="shared" si="91"/>
        <v>1</v>
      </c>
      <c r="M1190" s="13">
        <f>IF(AND(L1190=0,COUNTIFS($B$2:$B$1534,B1190,$G$2:$G$1534,G1190,$E$2:$E$1534,"&gt;="&amp;(E1190-Assumptions!$B$5),$E$2:$E$1534,"&lt;="&amp;(E1190+Assumptions!$B$5))&gt;1),1,0)</f>
        <v>0</v>
      </c>
      <c r="N1190" s="13">
        <f>IF(AND(G1190&gt;=Assumptions!$B$4*(1-Assumptions!$B$6),G1190&lt;Assumptions!$B$4),1,0)</f>
        <v>0</v>
      </c>
      <c r="O1190" s="13">
        <f>IF(AND(G1190&gt;=Assumptions!$B$7,MOD(G1190,Assumptions!$B$7)=0),1,0)</f>
        <v>0</v>
      </c>
      <c r="P1190" s="13">
        <f t="shared" si="92"/>
        <v>0</v>
      </c>
      <c r="Q1190" s="13">
        <f t="shared" si="93"/>
        <v>0</v>
      </c>
      <c r="R1190" s="13">
        <f>L1190*Assumptions!$B$11+M1190*Assumptions!$B$12+N1190*Assumptions!$B$13+O1190*Assumptions!$B$14+P1190*Assumptions!$B$15+Q1190*Assumptions!$B$16</f>
        <v>5</v>
      </c>
      <c r="S1190" s="13" t="str">
        <f>IF(R1190&gt;=Assumptions!$B$20,"High",IF(R1190&gt;=Assumptions!$B$21,"Medium",IF(R1190&gt;=1,"Low","Clear")))</f>
        <v>High</v>
      </c>
      <c r="T1190" s="13" t="str">
        <f t="shared" si="94"/>
        <v xml:space="preserve">Duplicate invoice; </v>
      </c>
    </row>
    <row r="1191" spans="1:20" x14ac:dyDescent="0.35">
      <c r="A1191" s="13" t="s">
        <v>4791</v>
      </c>
      <c r="B1191" s="13" t="s">
        <v>119</v>
      </c>
      <c r="C1191" s="13" t="s">
        <v>120</v>
      </c>
      <c r="D1191" s="13" t="s">
        <v>4792</v>
      </c>
      <c r="E1191" s="14">
        <v>46031</v>
      </c>
      <c r="F1191" s="14">
        <v>46063</v>
      </c>
      <c r="G1191" s="15">
        <v>19748.939999999999</v>
      </c>
      <c r="H1191" s="13" t="s">
        <v>4793</v>
      </c>
      <c r="I1191" s="13" t="s">
        <v>4794</v>
      </c>
      <c r="J1191" s="13" t="s">
        <v>136</v>
      </c>
      <c r="K1191" s="13">
        <f t="shared" si="90"/>
        <v>1</v>
      </c>
      <c r="L1191" s="13">
        <f t="shared" si="91"/>
        <v>0</v>
      </c>
      <c r="M1191" s="13">
        <f>IF(AND(L1191=0,COUNTIFS($B$2:$B$1534,B1191,$G$2:$G$1534,G1191,$E$2:$E$1534,"&gt;="&amp;(E1191-Assumptions!$B$5),$E$2:$E$1534,"&lt;="&amp;(E1191+Assumptions!$B$5))&gt;1),1,0)</f>
        <v>0</v>
      </c>
      <c r="N1191" s="13">
        <f>IF(AND(G1191&gt;=Assumptions!$B$4*(1-Assumptions!$B$6),G1191&lt;Assumptions!$B$4),1,0)</f>
        <v>0</v>
      </c>
      <c r="O1191" s="13">
        <f>IF(AND(G1191&gt;=Assumptions!$B$7,MOD(G1191,Assumptions!$B$7)=0),1,0)</f>
        <v>0</v>
      </c>
      <c r="P1191" s="13">
        <f t="shared" si="92"/>
        <v>0</v>
      </c>
      <c r="Q1191" s="13">
        <f t="shared" si="93"/>
        <v>0</v>
      </c>
      <c r="R1191" s="13">
        <f>L1191*Assumptions!$B$11+M1191*Assumptions!$B$12+N1191*Assumptions!$B$13+O1191*Assumptions!$B$14+P1191*Assumptions!$B$15+Q1191*Assumptions!$B$16</f>
        <v>0</v>
      </c>
      <c r="S1191" s="13" t="str">
        <f>IF(R1191&gt;=Assumptions!$B$20,"High",IF(R1191&gt;=Assumptions!$B$21,"Medium",IF(R1191&gt;=1,"Low","Clear")))</f>
        <v>Clear</v>
      </c>
      <c r="T1191" s="13" t="str">
        <f t="shared" si="94"/>
        <v/>
      </c>
    </row>
    <row r="1192" spans="1:20" x14ac:dyDescent="0.35">
      <c r="A1192" s="13" t="s">
        <v>4795</v>
      </c>
      <c r="B1192" s="13" t="s">
        <v>155</v>
      </c>
      <c r="C1192" s="13" t="s">
        <v>156</v>
      </c>
      <c r="D1192" s="13" t="s">
        <v>4796</v>
      </c>
      <c r="E1192" s="14">
        <v>46030</v>
      </c>
      <c r="F1192" s="14">
        <v>46063</v>
      </c>
      <c r="G1192" s="15">
        <v>2165.8200000000002</v>
      </c>
      <c r="H1192" s="13" t="s">
        <v>4797</v>
      </c>
      <c r="I1192" s="13" t="s">
        <v>4798</v>
      </c>
      <c r="J1192" s="13" t="s">
        <v>91</v>
      </c>
      <c r="K1192" s="13">
        <f t="shared" si="90"/>
        <v>2</v>
      </c>
      <c r="L1192" s="13">
        <f t="shared" si="91"/>
        <v>0</v>
      </c>
      <c r="M1192" s="13">
        <f>IF(AND(L1192=0,COUNTIFS($B$2:$B$1534,B1192,$G$2:$G$1534,G1192,$E$2:$E$1534,"&gt;="&amp;(E1192-Assumptions!$B$5),$E$2:$E$1534,"&lt;="&amp;(E1192+Assumptions!$B$5))&gt;1),1,0)</f>
        <v>0</v>
      </c>
      <c r="N1192" s="13">
        <f>IF(AND(G1192&gt;=Assumptions!$B$4*(1-Assumptions!$B$6),G1192&lt;Assumptions!$B$4),1,0)</f>
        <v>0</v>
      </c>
      <c r="O1192" s="13">
        <f>IF(AND(G1192&gt;=Assumptions!$B$7,MOD(G1192,Assumptions!$B$7)=0),1,0)</f>
        <v>0</v>
      </c>
      <c r="P1192" s="13">
        <f t="shared" si="92"/>
        <v>0</v>
      </c>
      <c r="Q1192" s="13">
        <f t="shared" si="93"/>
        <v>0</v>
      </c>
      <c r="R1192" s="13">
        <f>L1192*Assumptions!$B$11+M1192*Assumptions!$B$12+N1192*Assumptions!$B$13+O1192*Assumptions!$B$14+P1192*Assumptions!$B$15+Q1192*Assumptions!$B$16</f>
        <v>0</v>
      </c>
      <c r="S1192" s="13" t="str">
        <f>IF(R1192&gt;=Assumptions!$B$20,"High",IF(R1192&gt;=Assumptions!$B$21,"Medium",IF(R1192&gt;=1,"Low","Clear")))</f>
        <v>Clear</v>
      </c>
      <c r="T1192" s="13" t="str">
        <f t="shared" si="94"/>
        <v/>
      </c>
    </row>
    <row r="1193" spans="1:20" x14ac:dyDescent="0.35">
      <c r="A1193" s="13" t="s">
        <v>4799</v>
      </c>
      <c r="B1193" s="13" t="s">
        <v>161</v>
      </c>
      <c r="C1193" s="13" t="s">
        <v>162</v>
      </c>
      <c r="D1193" s="13" t="s">
        <v>4800</v>
      </c>
      <c r="E1193" s="14">
        <v>46042</v>
      </c>
      <c r="F1193" s="14">
        <v>46063</v>
      </c>
      <c r="G1193" s="15">
        <v>162881.64000000001</v>
      </c>
      <c r="H1193" s="13" t="s">
        <v>4801</v>
      </c>
      <c r="I1193" s="13" t="s">
        <v>4802</v>
      </c>
      <c r="J1193" s="13" t="s">
        <v>98</v>
      </c>
      <c r="K1193" s="13">
        <f t="shared" si="90"/>
        <v>1</v>
      </c>
      <c r="L1193" s="13">
        <f t="shared" si="91"/>
        <v>1</v>
      </c>
      <c r="M1193" s="13">
        <f>IF(AND(L1193=0,COUNTIFS($B$2:$B$1534,B1193,$G$2:$G$1534,G1193,$E$2:$E$1534,"&gt;="&amp;(E1193-Assumptions!$B$5),$E$2:$E$1534,"&lt;="&amp;(E1193+Assumptions!$B$5))&gt;1),1,0)</f>
        <v>0</v>
      </c>
      <c r="N1193" s="13">
        <f>IF(AND(G1193&gt;=Assumptions!$B$4*(1-Assumptions!$B$6),G1193&lt;Assumptions!$B$4),1,0)</f>
        <v>0</v>
      </c>
      <c r="O1193" s="13">
        <f>IF(AND(G1193&gt;=Assumptions!$B$7,MOD(G1193,Assumptions!$B$7)=0),1,0)</f>
        <v>0</v>
      </c>
      <c r="P1193" s="13">
        <f t="shared" si="92"/>
        <v>0</v>
      </c>
      <c r="Q1193" s="13">
        <f t="shared" si="93"/>
        <v>0</v>
      </c>
      <c r="R1193" s="13">
        <f>L1193*Assumptions!$B$11+M1193*Assumptions!$B$12+N1193*Assumptions!$B$13+O1193*Assumptions!$B$14+P1193*Assumptions!$B$15+Q1193*Assumptions!$B$16</f>
        <v>5</v>
      </c>
      <c r="S1193" s="13" t="str">
        <f>IF(R1193&gt;=Assumptions!$B$20,"High",IF(R1193&gt;=Assumptions!$B$21,"Medium",IF(R1193&gt;=1,"Low","Clear")))</f>
        <v>High</v>
      </c>
      <c r="T1193" s="13" t="str">
        <f t="shared" si="94"/>
        <v xml:space="preserve">Duplicate invoice; </v>
      </c>
    </row>
    <row r="1194" spans="1:20" x14ac:dyDescent="0.35">
      <c r="A1194" s="13" t="s">
        <v>4803</v>
      </c>
      <c r="B1194" s="13" t="s">
        <v>357</v>
      </c>
      <c r="C1194" s="13" t="s">
        <v>358</v>
      </c>
      <c r="D1194" s="13" t="s">
        <v>4804</v>
      </c>
      <c r="E1194" s="14">
        <v>46025</v>
      </c>
      <c r="F1194" s="14">
        <v>46063</v>
      </c>
      <c r="G1194" s="15">
        <v>241788.84</v>
      </c>
      <c r="H1194" s="13" t="s">
        <v>4805</v>
      </c>
      <c r="I1194" s="13" t="s">
        <v>4806</v>
      </c>
      <c r="J1194" s="13" t="s">
        <v>91</v>
      </c>
      <c r="K1194" s="13">
        <f t="shared" si="90"/>
        <v>2</v>
      </c>
      <c r="L1194" s="13">
        <f t="shared" si="91"/>
        <v>0</v>
      </c>
      <c r="M1194" s="13">
        <f>IF(AND(L1194=0,COUNTIFS($B$2:$B$1534,B1194,$G$2:$G$1534,G1194,$E$2:$E$1534,"&gt;="&amp;(E1194-Assumptions!$B$5),$E$2:$E$1534,"&lt;="&amp;(E1194+Assumptions!$B$5))&gt;1),1,0)</f>
        <v>0</v>
      </c>
      <c r="N1194" s="13">
        <f>IF(AND(G1194&gt;=Assumptions!$B$4*(1-Assumptions!$B$6),G1194&lt;Assumptions!$B$4),1,0)</f>
        <v>0</v>
      </c>
      <c r="O1194" s="13">
        <f>IF(AND(G1194&gt;=Assumptions!$B$7,MOD(G1194,Assumptions!$B$7)=0),1,0)</f>
        <v>0</v>
      </c>
      <c r="P1194" s="13">
        <f t="shared" si="92"/>
        <v>0</v>
      </c>
      <c r="Q1194" s="13">
        <f t="shared" si="93"/>
        <v>0</v>
      </c>
      <c r="R1194" s="13">
        <f>L1194*Assumptions!$B$11+M1194*Assumptions!$B$12+N1194*Assumptions!$B$13+O1194*Assumptions!$B$14+P1194*Assumptions!$B$15+Q1194*Assumptions!$B$16</f>
        <v>0</v>
      </c>
      <c r="S1194" s="13" t="str">
        <f>IF(R1194&gt;=Assumptions!$B$20,"High",IF(R1194&gt;=Assumptions!$B$21,"Medium",IF(R1194&gt;=1,"Low","Clear")))</f>
        <v>Clear</v>
      </c>
      <c r="T1194" s="13" t="str">
        <f t="shared" si="94"/>
        <v/>
      </c>
    </row>
    <row r="1195" spans="1:20" x14ac:dyDescent="0.35">
      <c r="A1195" s="13" t="s">
        <v>4807</v>
      </c>
      <c r="B1195" s="13" t="s">
        <v>357</v>
      </c>
      <c r="C1195" s="13" t="s">
        <v>358</v>
      </c>
      <c r="D1195" s="13" t="s">
        <v>4808</v>
      </c>
      <c r="E1195" s="14">
        <v>46025</v>
      </c>
      <c r="F1195" s="14">
        <v>46063</v>
      </c>
      <c r="G1195" s="15">
        <v>187432.76</v>
      </c>
      <c r="H1195" s="13" t="s">
        <v>4809</v>
      </c>
      <c r="I1195" s="13" t="s">
        <v>4810</v>
      </c>
      <c r="J1195" s="13" t="s">
        <v>143</v>
      </c>
      <c r="K1195" s="13">
        <f t="shared" si="90"/>
        <v>1</v>
      </c>
      <c r="L1195" s="13">
        <f t="shared" si="91"/>
        <v>0</v>
      </c>
      <c r="M1195" s="13">
        <f>IF(AND(L1195=0,COUNTIFS($B$2:$B$1534,B1195,$G$2:$G$1534,G1195,$E$2:$E$1534,"&gt;="&amp;(E1195-Assumptions!$B$5),$E$2:$E$1534,"&lt;="&amp;(E1195+Assumptions!$B$5))&gt;1),1,0)</f>
        <v>0</v>
      </c>
      <c r="N1195" s="13">
        <f>IF(AND(G1195&gt;=Assumptions!$B$4*(1-Assumptions!$B$6),G1195&lt;Assumptions!$B$4),1,0)</f>
        <v>0</v>
      </c>
      <c r="O1195" s="13">
        <f>IF(AND(G1195&gt;=Assumptions!$B$7,MOD(G1195,Assumptions!$B$7)=0),1,0)</f>
        <v>0</v>
      </c>
      <c r="P1195" s="13">
        <f t="shared" si="92"/>
        <v>0</v>
      </c>
      <c r="Q1195" s="13">
        <f t="shared" si="93"/>
        <v>0</v>
      </c>
      <c r="R1195" s="13">
        <f>L1195*Assumptions!$B$11+M1195*Assumptions!$B$12+N1195*Assumptions!$B$13+O1195*Assumptions!$B$14+P1195*Assumptions!$B$15+Q1195*Assumptions!$B$16</f>
        <v>0</v>
      </c>
      <c r="S1195" s="13" t="str">
        <f>IF(R1195&gt;=Assumptions!$B$20,"High",IF(R1195&gt;=Assumptions!$B$21,"Medium",IF(R1195&gt;=1,"Low","Clear")))</f>
        <v>Clear</v>
      </c>
      <c r="T1195" s="13" t="str">
        <f t="shared" si="94"/>
        <v/>
      </c>
    </row>
    <row r="1196" spans="1:20" x14ac:dyDescent="0.35">
      <c r="A1196" s="13" t="s">
        <v>4811</v>
      </c>
      <c r="B1196" s="13" t="s">
        <v>206</v>
      </c>
      <c r="C1196" s="13" t="s">
        <v>207</v>
      </c>
      <c r="D1196" s="13" t="s">
        <v>4812</v>
      </c>
      <c r="E1196" s="14">
        <v>46041</v>
      </c>
      <c r="F1196" s="14">
        <v>46064</v>
      </c>
      <c r="G1196" s="15">
        <v>266060.07</v>
      </c>
      <c r="H1196" s="13" t="s">
        <v>4813</v>
      </c>
      <c r="I1196" s="13" t="s">
        <v>4814</v>
      </c>
      <c r="J1196" s="13" t="s">
        <v>143</v>
      </c>
      <c r="K1196" s="13">
        <f t="shared" si="90"/>
        <v>2</v>
      </c>
      <c r="L1196" s="13">
        <f t="shared" si="91"/>
        <v>0</v>
      </c>
      <c r="M1196" s="13">
        <f>IF(AND(L1196=0,COUNTIFS($B$2:$B$1534,B1196,$G$2:$G$1534,G1196,$E$2:$E$1534,"&gt;="&amp;(E1196-Assumptions!$B$5),$E$2:$E$1534,"&lt;="&amp;(E1196+Assumptions!$B$5))&gt;1),1,0)</f>
        <v>0</v>
      </c>
      <c r="N1196" s="13">
        <f>IF(AND(G1196&gt;=Assumptions!$B$4*(1-Assumptions!$B$6),G1196&lt;Assumptions!$B$4),1,0)</f>
        <v>0</v>
      </c>
      <c r="O1196" s="13">
        <f>IF(AND(G1196&gt;=Assumptions!$B$7,MOD(G1196,Assumptions!$B$7)=0),1,0)</f>
        <v>0</v>
      </c>
      <c r="P1196" s="13">
        <f t="shared" si="92"/>
        <v>0</v>
      </c>
      <c r="Q1196" s="13">
        <f t="shared" si="93"/>
        <v>0</v>
      </c>
      <c r="R1196" s="13">
        <f>L1196*Assumptions!$B$11+M1196*Assumptions!$B$12+N1196*Assumptions!$B$13+O1196*Assumptions!$B$14+P1196*Assumptions!$B$15+Q1196*Assumptions!$B$16</f>
        <v>0</v>
      </c>
      <c r="S1196" s="13" t="str">
        <f>IF(R1196&gt;=Assumptions!$B$20,"High",IF(R1196&gt;=Assumptions!$B$21,"Medium",IF(R1196&gt;=1,"Low","Clear")))</f>
        <v>Clear</v>
      </c>
      <c r="T1196" s="13" t="str">
        <f t="shared" si="94"/>
        <v/>
      </c>
    </row>
    <row r="1197" spans="1:20" x14ac:dyDescent="0.35">
      <c r="A1197" s="13" t="s">
        <v>4815</v>
      </c>
      <c r="B1197" s="13" t="s">
        <v>218</v>
      </c>
      <c r="C1197" s="13" t="s">
        <v>219</v>
      </c>
      <c r="D1197" s="13" t="s">
        <v>4816</v>
      </c>
      <c r="E1197" s="14">
        <v>46032</v>
      </c>
      <c r="F1197" s="14">
        <v>46064</v>
      </c>
      <c r="G1197" s="15">
        <v>45306.720000000001</v>
      </c>
      <c r="H1197" s="13" t="s">
        <v>4817</v>
      </c>
      <c r="I1197" s="13" t="s">
        <v>4818</v>
      </c>
      <c r="J1197" s="13" t="s">
        <v>98</v>
      </c>
      <c r="K1197" s="13">
        <f t="shared" si="90"/>
        <v>4</v>
      </c>
      <c r="L1197" s="13">
        <f t="shared" si="91"/>
        <v>0</v>
      </c>
      <c r="M1197" s="13">
        <f>IF(AND(L1197=0,COUNTIFS($B$2:$B$1534,B1197,$G$2:$G$1534,G1197,$E$2:$E$1534,"&gt;="&amp;(E1197-Assumptions!$B$5),$E$2:$E$1534,"&lt;="&amp;(E1197+Assumptions!$B$5))&gt;1),1,0)</f>
        <v>0</v>
      </c>
      <c r="N1197" s="13">
        <f>IF(AND(G1197&gt;=Assumptions!$B$4*(1-Assumptions!$B$6),G1197&lt;Assumptions!$B$4),1,0)</f>
        <v>0</v>
      </c>
      <c r="O1197" s="13">
        <f>IF(AND(G1197&gt;=Assumptions!$B$7,MOD(G1197,Assumptions!$B$7)=0),1,0)</f>
        <v>0</v>
      </c>
      <c r="P1197" s="13">
        <f t="shared" si="92"/>
        <v>0</v>
      </c>
      <c r="Q1197" s="13">
        <f t="shared" si="93"/>
        <v>0</v>
      </c>
      <c r="R1197" s="13">
        <f>L1197*Assumptions!$B$11+M1197*Assumptions!$B$12+N1197*Assumptions!$B$13+O1197*Assumptions!$B$14+P1197*Assumptions!$B$15+Q1197*Assumptions!$B$16</f>
        <v>0</v>
      </c>
      <c r="S1197" s="13" t="str">
        <f>IF(R1197&gt;=Assumptions!$B$20,"High",IF(R1197&gt;=Assumptions!$B$21,"Medium",IF(R1197&gt;=1,"Low","Clear")))</f>
        <v>Clear</v>
      </c>
      <c r="T1197" s="13" t="str">
        <f t="shared" si="94"/>
        <v/>
      </c>
    </row>
    <row r="1198" spans="1:20" x14ac:dyDescent="0.35">
      <c r="A1198" s="13" t="s">
        <v>4819</v>
      </c>
      <c r="B1198" s="13" t="s">
        <v>317</v>
      </c>
      <c r="C1198" s="13" t="s">
        <v>318</v>
      </c>
      <c r="D1198" s="13" t="s">
        <v>4820</v>
      </c>
      <c r="E1198" s="14">
        <v>46033</v>
      </c>
      <c r="F1198" s="14">
        <v>46064</v>
      </c>
      <c r="G1198" s="15">
        <v>1865.99</v>
      </c>
      <c r="H1198" s="13"/>
      <c r="I1198" s="13"/>
      <c r="J1198" s="13" t="s">
        <v>170</v>
      </c>
      <c r="K1198" s="13">
        <f t="shared" si="90"/>
        <v>1</v>
      </c>
      <c r="L1198" s="13">
        <f t="shared" si="91"/>
        <v>0</v>
      </c>
      <c r="M1198" s="13">
        <f>IF(AND(L1198=0,COUNTIFS($B$2:$B$1534,B1198,$G$2:$G$1534,G1198,$E$2:$E$1534,"&gt;="&amp;(E1198-Assumptions!$B$5),$E$2:$E$1534,"&lt;="&amp;(E1198+Assumptions!$B$5))&gt;1),1,0)</f>
        <v>0</v>
      </c>
      <c r="N1198" s="13">
        <f>IF(AND(G1198&gt;=Assumptions!$B$4*(1-Assumptions!$B$6),G1198&lt;Assumptions!$B$4),1,0)</f>
        <v>0</v>
      </c>
      <c r="O1198" s="13">
        <f>IF(AND(G1198&gt;=Assumptions!$B$7,MOD(G1198,Assumptions!$B$7)=0),1,0)</f>
        <v>0</v>
      </c>
      <c r="P1198" s="13">
        <f t="shared" si="92"/>
        <v>1</v>
      </c>
      <c r="Q1198" s="13">
        <f t="shared" si="93"/>
        <v>0</v>
      </c>
      <c r="R1198" s="13">
        <f>L1198*Assumptions!$B$11+M1198*Assumptions!$B$12+N1198*Assumptions!$B$13+O1198*Assumptions!$B$14+P1198*Assumptions!$B$15+Q1198*Assumptions!$B$16</f>
        <v>4</v>
      </c>
      <c r="S1198" s="13" t="str">
        <f>IF(R1198&gt;=Assumptions!$B$20,"High",IF(R1198&gt;=Assumptions!$B$21,"Medium",IF(R1198&gt;=1,"Low","Clear")))</f>
        <v>Medium</v>
      </c>
      <c r="T1198" s="13" t="str">
        <f t="shared" si="94"/>
        <v xml:space="preserve">No PO/GRN; </v>
      </c>
    </row>
    <row r="1199" spans="1:20" x14ac:dyDescent="0.35">
      <c r="A1199" s="13" t="s">
        <v>4821</v>
      </c>
      <c r="B1199" s="13" t="s">
        <v>293</v>
      </c>
      <c r="C1199" s="13" t="s">
        <v>294</v>
      </c>
      <c r="D1199" s="13" t="s">
        <v>4822</v>
      </c>
      <c r="E1199" s="14">
        <v>46041</v>
      </c>
      <c r="F1199" s="14">
        <v>46065</v>
      </c>
      <c r="G1199" s="15">
        <v>1471.42</v>
      </c>
      <c r="H1199" s="13" t="s">
        <v>4823</v>
      </c>
      <c r="I1199" s="13" t="s">
        <v>4824</v>
      </c>
      <c r="J1199" s="13" t="s">
        <v>91</v>
      </c>
      <c r="K1199" s="13">
        <f t="shared" si="90"/>
        <v>1</v>
      </c>
      <c r="L1199" s="13">
        <f t="shared" si="91"/>
        <v>0</v>
      </c>
      <c r="M1199" s="13">
        <f>IF(AND(L1199=0,COUNTIFS($B$2:$B$1534,B1199,$G$2:$G$1534,G1199,$E$2:$E$1534,"&gt;="&amp;(E1199-Assumptions!$B$5),$E$2:$E$1534,"&lt;="&amp;(E1199+Assumptions!$B$5))&gt;1),1,0)</f>
        <v>0</v>
      </c>
      <c r="N1199" s="13">
        <f>IF(AND(G1199&gt;=Assumptions!$B$4*(1-Assumptions!$B$6),G1199&lt;Assumptions!$B$4),1,0)</f>
        <v>0</v>
      </c>
      <c r="O1199" s="13">
        <f>IF(AND(G1199&gt;=Assumptions!$B$7,MOD(G1199,Assumptions!$B$7)=0),1,0)</f>
        <v>0</v>
      </c>
      <c r="P1199" s="13">
        <f t="shared" si="92"/>
        <v>0</v>
      </c>
      <c r="Q1199" s="13">
        <f t="shared" si="93"/>
        <v>0</v>
      </c>
      <c r="R1199" s="13">
        <f>L1199*Assumptions!$B$11+M1199*Assumptions!$B$12+N1199*Assumptions!$B$13+O1199*Assumptions!$B$14+P1199*Assumptions!$B$15+Q1199*Assumptions!$B$16</f>
        <v>0</v>
      </c>
      <c r="S1199" s="13" t="str">
        <f>IF(R1199&gt;=Assumptions!$B$20,"High",IF(R1199&gt;=Assumptions!$B$21,"Medium",IF(R1199&gt;=1,"Low","Clear")))</f>
        <v>Clear</v>
      </c>
      <c r="T1199" s="13" t="str">
        <f t="shared" si="94"/>
        <v/>
      </c>
    </row>
    <row r="1200" spans="1:20" x14ac:dyDescent="0.35">
      <c r="A1200" s="13" t="s">
        <v>4825</v>
      </c>
      <c r="B1200" s="13" t="s">
        <v>252</v>
      </c>
      <c r="C1200" s="13" t="s">
        <v>253</v>
      </c>
      <c r="D1200" s="13" t="s">
        <v>4826</v>
      </c>
      <c r="E1200" s="14">
        <v>46036</v>
      </c>
      <c r="F1200" s="14">
        <v>46065</v>
      </c>
      <c r="G1200" s="15">
        <v>1801.12</v>
      </c>
      <c r="H1200" s="13" t="s">
        <v>4827</v>
      </c>
      <c r="I1200" s="13" t="s">
        <v>4828</v>
      </c>
      <c r="J1200" s="13" t="s">
        <v>91</v>
      </c>
      <c r="K1200" s="13">
        <f t="shared" si="90"/>
        <v>1</v>
      </c>
      <c r="L1200" s="13">
        <f t="shared" si="91"/>
        <v>0</v>
      </c>
      <c r="M1200" s="13">
        <f>IF(AND(L1200=0,COUNTIFS($B$2:$B$1534,B1200,$G$2:$G$1534,G1200,$E$2:$E$1534,"&gt;="&amp;(E1200-Assumptions!$B$5),$E$2:$E$1534,"&lt;="&amp;(E1200+Assumptions!$B$5))&gt;1),1,0)</f>
        <v>0</v>
      </c>
      <c r="N1200" s="13">
        <f>IF(AND(G1200&gt;=Assumptions!$B$4*(1-Assumptions!$B$6),G1200&lt;Assumptions!$B$4),1,0)</f>
        <v>0</v>
      </c>
      <c r="O1200" s="13">
        <f>IF(AND(G1200&gt;=Assumptions!$B$7,MOD(G1200,Assumptions!$B$7)=0),1,0)</f>
        <v>0</v>
      </c>
      <c r="P1200" s="13">
        <f t="shared" si="92"/>
        <v>0</v>
      </c>
      <c r="Q1200" s="13">
        <f t="shared" si="93"/>
        <v>0</v>
      </c>
      <c r="R1200" s="13">
        <f>L1200*Assumptions!$B$11+M1200*Assumptions!$B$12+N1200*Assumptions!$B$13+O1200*Assumptions!$B$14+P1200*Assumptions!$B$15+Q1200*Assumptions!$B$16</f>
        <v>0</v>
      </c>
      <c r="S1200" s="13" t="str">
        <f>IF(R1200&gt;=Assumptions!$B$20,"High",IF(R1200&gt;=Assumptions!$B$21,"Medium",IF(R1200&gt;=1,"Low","Clear")))</f>
        <v>Clear</v>
      </c>
      <c r="T1200" s="13" t="str">
        <f t="shared" si="94"/>
        <v/>
      </c>
    </row>
    <row r="1201" spans="1:20" x14ac:dyDescent="0.35">
      <c r="A1201" s="13" t="s">
        <v>4829</v>
      </c>
      <c r="B1201" s="13" t="s">
        <v>466</v>
      </c>
      <c r="C1201" s="13" t="s">
        <v>467</v>
      </c>
      <c r="D1201" s="13" t="s">
        <v>4830</v>
      </c>
      <c r="E1201" s="14">
        <v>46036</v>
      </c>
      <c r="F1201" s="14">
        <v>46065</v>
      </c>
      <c r="G1201" s="15">
        <v>165473.31</v>
      </c>
      <c r="H1201" s="13" t="s">
        <v>4831</v>
      </c>
      <c r="I1201" s="13" t="s">
        <v>4832</v>
      </c>
      <c r="J1201" s="13" t="s">
        <v>170</v>
      </c>
      <c r="K1201" s="13">
        <f t="shared" si="90"/>
        <v>1</v>
      </c>
      <c r="L1201" s="13">
        <f t="shared" si="91"/>
        <v>0</v>
      </c>
      <c r="M1201" s="13">
        <f>IF(AND(L1201=0,COUNTIFS($B$2:$B$1534,B1201,$G$2:$G$1534,G1201,$E$2:$E$1534,"&gt;="&amp;(E1201-Assumptions!$B$5),$E$2:$E$1534,"&lt;="&amp;(E1201+Assumptions!$B$5))&gt;1),1,0)</f>
        <v>0</v>
      </c>
      <c r="N1201" s="13">
        <f>IF(AND(G1201&gt;=Assumptions!$B$4*(1-Assumptions!$B$6),G1201&lt;Assumptions!$B$4),1,0)</f>
        <v>0</v>
      </c>
      <c r="O1201" s="13">
        <f>IF(AND(G1201&gt;=Assumptions!$B$7,MOD(G1201,Assumptions!$B$7)=0),1,0)</f>
        <v>0</v>
      </c>
      <c r="P1201" s="13">
        <f t="shared" si="92"/>
        <v>0</v>
      </c>
      <c r="Q1201" s="13">
        <f t="shared" si="93"/>
        <v>0</v>
      </c>
      <c r="R1201" s="13">
        <f>L1201*Assumptions!$B$11+M1201*Assumptions!$B$12+N1201*Assumptions!$B$13+O1201*Assumptions!$B$14+P1201*Assumptions!$B$15+Q1201*Assumptions!$B$16</f>
        <v>0</v>
      </c>
      <c r="S1201" s="13" t="str">
        <f>IF(R1201&gt;=Assumptions!$B$20,"High",IF(R1201&gt;=Assumptions!$B$21,"Medium",IF(R1201&gt;=1,"Low","Clear")))</f>
        <v>Clear</v>
      </c>
      <c r="T1201" s="13" t="str">
        <f t="shared" si="94"/>
        <v/>
      </c>
    </row>
    <row r="1202" spans="1:20" x14ac:dyDescent="0.35">
      <c r="A1202" s="13" t="s">
        <v>4833</v>
      </c>
      <c r="B1202" s="13" t="s">
        <v>100</v>
      </c>
      <c r="C1202" s="13" t="s">
        <v>101</v>
      </c>
      <c r="D1202" s="13" t="s">
        <v>4834</v>
      </c>
      <c r="E1202" s="14">
        <v>46029</v>
      </c>
      <c r="F1202" s="14">
        <v>46065</v>
      </c>
      <c r="G1202" s="15">
        <v>2185.91</v>
      </c>
      <c r="H1202" s="13" t="s">
        <v>4835</v>
      </c>
      <c r="I1202" s="13" t="s">
        <v>4836</v>
      </c>
      <c r="J1202" s="13" t="s">
        <v>91</v>
      </c>
      <c r="K1202" s="13">
        <f t="shared" si="90"/>
        <v>2</v>
      </c>
      <c r="L1202" s="13">
        <f t="shared" si="91"/>
        <v>0</v>
      </c>
      <c r="M1202" s="13">
        <f>IF(AND(L1202=0,COUNTIFS($B$2:$B$1534,B1202,$G$2:$G$1534,G1202,$E$2:$E$1534,"&gt;="&amp;(E1202-Assumptions!$B$5),$E$2:$E$1534,"&lt;="&amp;(E1202+Assumptions!$B$5))&gt;1),1,0)</f>
        <v>0</v>
      </c>
      <c r="N1202" s="13">
        <f>IF(AND(G1202&gt;=Assumptions!$B$4*(1-Assumptions!$B$6),G1202&lt;Assumptions!$B$4),1,0)</f>
        <v>0</v>
      </c>
      <c r="O1202" s="13">
        <f>IF(AND(G1202&gt;=Assumptions!$B$7,MOD(G1202,Assumptions!$B$7)=0),1,0)</f>
        <v>0</v>
      </c>
      <c r="P1202" s="13">
        <f t="shared" si="92"/>
        <v>0</v>
      </c>
      <c r="Q1202" s="13">
        <f t="shared" si="93"/>
        <v>0</v>
      </c>
      <c r="R1202" s="13">
        <f>L1202*Assumptions!$B$11+M1202*Assumptions!$B$12+N1202*Assumptions!$B$13+O1202*Assumptions!$B$14+P1202*Assumptions!$B$15+Q1202*Assumptions!$B$16</f>
        <v>0</v>
      </c>
      <c r="S1202" s="13" t="str">
        <f>IF(R1202&gt;=Assumptions!$B$20,"High",IF(R1202&gt;=Assumptions!$B$21,"Medium",IF(R1202&gt;=1,"Low","Clear")))</f>
        <v>Clear</v>
      </c>
      <c r="T1202" s="13" t="str">
        <f t="shared" si="94"/>
        <v/>
      </c>
    </row>
    <row r="1203" spans="1:20" x14ac:dyDescent="0.35">
      <c r="A1203" s="13" t="s">
        <v>4837</v>
      </c>
      <c r="B1203" s="13" t="s">
        <v>138</v>
      </c>
      <c r="C1203" s="13" t="s">
        <v>139</v>
      </c>
      <c r="D1203" s="13" t="s">
        <v>4838</v>
      </c>
      <c r="E1203" s="14">
        <v>46025</v>
      </c>
      <c r="F1203" s="14">
        <v>46065</v>
      </c>
      <c r="G1203" s="15">
        <v>9271.3799999999992</v>
      </c>
      <c r="H1203" s="13" t="s">
        <v>4839</v>
      </c>
      <c r="I1203" s="13" t="s">
        <v>4840</v>
      </c>
      <c r="J1203" s="13" t="s">
        <v>91</v>
      </c>
      <c r="K1203" s="13">
        <f t="shared" si="90"/>
        <v>9</v>
      </c>
      <c r="L1203" s="13">
        <f t="shared" si="91"/>
        <v>0</v>
      </c>
      <c r="M1203" s="13">
        <f>IF(AND(L1203=0,COUNTIFS($B$2:$B$1534,B1203,$G$2:$G$1534,G1203,$E$2:$E$1534,"&gt;="&amp;(E1203-Assumptions!$B$5),$E$2:$E$1534,"&lt;="&amp;(E1203+Assumptions!$B$5))&gt;1),1,0)</f>
        <v>0</v>
      </c>
      <c r="N1203" s="13">
        <f>IF(AND(G1203&gt;=Assumptions!$B$4*(1-Assumptions!$B$6),G1203&lt;Assumptions!$B$4),1,0)</f>
        <v>0</v>
      </c>
      <c r="O1203" s="13">
        <f>IF(AND(G1203&gt;=Assumptions!$B$7,MOD(G1203,Assumptions!$B$7)=0),1,0)</f>
        <v>0</v>
      </c>
      <c r="P1203" s="13">
        <f t="shared" si="92"/>
        <v>0</v>
      </c>
      <c r="Q1203" s="13">
        <f t="shared" si="93"/>
        <v>0</v>
      </c>
      <c r="R1203" s="13">
        <f>L1203*Assumptions!$B$11+M1203*Assumptions!$B$12+N1203*Assumptions!$B$13+O1203*Assumptions!$B$14+P1203*Assumptions!$B$15+Q1203*Assumptions!$B$16</f>
        <v>0</v>
      </c>
      <c r="S1203" s="13" t="str">
        <f>IF(R1203&gt;=Assumptions!$B$20,"High",IF(R1203&gt;=Assumptions!$B$21,"Medium",IF(R1203&gt;=1,"Low","Clear")))</f>
        <v>Clear</v>
      </c>
      <c r="T1203" s="13" t="str">
        <f t="shared" si="94"/>
        <v/>
      </c>
    </row>
    <row r="1204" spans="1:20" x14ac:dyDescent="0.35">
      <c r="A1204" s="13" t="s">
        <v>4841</v>
      </c>
      <c r="B1204" s="13" t="s">
        <v>200</v>
      </c>
      <c r="C1204" s="13" t="s">
        <v>201</v>
      </c>
      <c r="D1204" s="13" t="s">
        <v>4842</v>
      </c>
      <c r="E1204" s="14">
        <v>46032</v>
      </c>
      <c r="F1204" s="14">
        <v>46066</v>
      </c>
      <c r="G1204" s="15">
        <v>135126.65</v>
      </c>
      <c r="H1204" s="13" t="s">
        <v>4843</v>
      </c>
      <c r="I1204" s="13" t="s">
        <v>4844</v>
      </c>
      <c r="J1204" s="13" t="s">
        <v>143</v>
      </c>
      <c r="K1204" s="13">
        <f t="shared" si="90"/>
        <v>1</v>
      </c>
      <c r="L1204" s="13">
        <f t="shared" si="91"/>
        <v>0</v>
      </c>
      <c r="M1204" s="13">
        <f>IF(AND(L1204=0,COUNTIFS($B$2:$B$1534,B1204,$G$2:$G$1534,G1204,$E$2:$E$1534,"&gt;="&amp;(E1204-Assumptions!$B$5),$E$2:$E$1534,"&lt;="&amp;(E1204+Assumptions!$B$5))&gt;1),1,0)</f>
        <v>0</v>
      </c>
      <c r="N1204" s="13">
        <f>IF(AND(G1204&gt;=Assumptions!$B$4*(1-Assumptions!$B$6),G1204&lt;Assumptions!$B$4),1,0)</f>
        <v>0</v>
      </c>
      <c r="O1204" s="13">
        <f>IF(AND(G1204&gt;=Assumptions!$B$7,MOD(G1204,Assumptions!$B$7)=0),1,0)</f>
        <v>0</v>
      </c>
      <c r="P1204" s="13">
        <f t="shared" si="92"/>
        <v>0</v>
      </c>
      <c r="Q1204" s="13">
        <f t="shared" si="93"/>
        <v>0</v>
      </c>
      <c r="R1204" s="13">
        <f>L1204*Assumptions!$B$11+M1204*Assumptions!$B$12+N1204*Assumptions!$B$13+O1204*Assumptions!$B$14+P1204*Assumptions!$B$15+Q1204*Assumptions!$B$16</f>
        <v>0</v>
      </c>
      <c r="S1204" s="13" t="str">
        <f>IF(R1204&gt;=Assumptions!$B$20,"High",IF(R1204&gt;=Assumptions!$B$21,"Medium",IF(R1204&gt;=1,"Low","Clear")))</f>
        <v>Clear</v>
      </c>
      <c r="T1204" s="13" t="str">
        <f t="shared" si="94"/>
        <v/>
      </c>
    </row>
    <row r="1205" spans="1:20" x14ac:dyDescent="0.35">
      <c r="A1205" s="13" t="s">
        <v>4845</v>
      </c>
      <c r="B1205" s="13" t="s">
        <v>680</v>
      </c>
      <c r="C1205" s="13" t="s">
        <v>681</v>
      </c>
      <c r="D1205" s="13" t="s">
        <v>4846</v>
      </c>
      <c r="E1205" s="14">
        <v>46044</v>
      </c>
      <c r="F1205" s="14">
        <v>46066</v>
      </c>
      <c r="G1205" s="15">
        <v>1367.32</v>
      </c>
      <c r="H1205" s="13" t="s">
        <v>4847</v>
      </c>
      <c r="I1205" s="13" t="s">
        <v>4848</v>
      </c>
      <c r="J1205" s="13" t="s">
        <v>91</v>
      </c>
      <c r="K1205" s="13">
        <f t="shared" si="90"/>
        <v>1</v>
      </c>
      <c r="L1205" s="13">
        <f t="shared" si="91"/>
        <v>0</v>
      </c>
      <c r="M1205" s="13">
        <f>IF(AND(L1205=0,COUNTIFS($B$2:$B$1534,B1205,$G$2:$G$1534,G1205,$E$2:$E$1534,"&gt;="&amp;(E1205-Assumptions!$B$5),$E$2:$E$1534,"&lt;="&amp;(E1205+Assumptions!$B$5))&gt;1),1,0)</f>
        <v>0</v>
      </c>
      <c r="N1205" s="13">
        <f>IF(AND(G1205&gt;=Assumptions!$B$4*(1-Assumptions!$B$6),G1205&lt;Assumptions!$B$4),1,0)</f>
        <v>0</v>
      </c>
      <c r="O1205" s="13">
        <f>IF(AND(G1205&gt;=Assumptions!$B$7,MOD(G1205,Assumptions!$B$7)=0),1,0)</f>
        <v>0</v>
      </c>
      <c r="P1205" s="13">
        <f t="shared" si="92"/>
        <v>0</v>
      </c>
      <c r="Q1205" s="13">
        <f t="shared" si="93"/>
        <v>0</v>
      </c>
      <c r="R1205" s="13">
        <f>L1205*Assumptions!$B$11+M1205*Assumptions!$B$12+N1205*Assumptions!$B$13+O1205*Assumptions!$B$14+P1205*Assumptions!$B$15+Q1205*Assumptions!$B$16</f>
        <v>0</v>
      </c>
      <c r="S1205" s="13" t="str">
        <f>IF(R1205&gt;=Assumptions!$B$20,"High",IF(R1205&gt;=Assumptions!$B$21,"Medium",IF(R1205&gt;=1,"Low","Clear")))</f>
        <v>Clear</v>
      </c>
      <c r="T1205" s="13" t="str">
        <f t="shared" si="94"/>
        <v/>
      </c>
    </row>
    <row r="1206" spans="1:20" x14ac:dyDescent="0.35">
      <c r="A1206" s="13" t="s">
        <v>4849</v>
      </c>
      <c r="B1206" s="13" t="s">
        <v>234</v>
      </c>
      <c r="C1206" s="13" t="s">
        <v>235</v>
      </c>
      <c r="D1206" s="13" t="s">
        <v>4850</v>
      </c>
      <c r="E1206" s="14">
        <v>46039</v>
      </c>
      <c r="F1206" s="14">
        <v>46066</v>
      </c>
      <c r="G1206" s="15">
        <v>439551.01</v>
      </c>
      <c r="H1206" s="13" t="s">
        <v>4851</v>
      </c>
      <c r="I1206" s="13" t="s">
        <v>4852</v>
      </c>
      <c r="J1206" s="13" t="s">
        <v>143</v>
      </c>
      <c r="K1206" s="13">
        <f t="shared" si="90"/>
        <v>4</v>
      </c>
      <c r="L1206" s="13">
        <f t="shared" si="91"/>
        <v>0</v>
      </c>
      <c r="M1206" s="13">
        <f>IF(AND(L1206=0,COUNTIFS($B$2:$B$1534,B1206,$G$2:$G$1534,G1206,$E$2:$E$1534,"&gt;="&amp;(E1206-Assumptions!$B$5),$E$2:$E$1534,"&lt;="&amp;(E1206+Assumptions!$B$5))&gt;1),1,0)</f>
        <v>0</v>
      </c>
      <c r="N1206" s="13">
        <f>IF(AND(G1206&gt;=Assumptions!$B$4*(1-Assumptions!$B$6),G1206&lt;Assumptions!$B$4),1,0)</f>
        <v>0</v>
      </c>
      <c r="O1206" s="13">
        <f>IF(AND(G1206&gt;=Assumptions!$B$7,MOD(G1206,Assumptions!$B$7)=0),1,0)</f>
        <v>0</v>
      </c>
      <c r="P1206" s="13">
        <f t="shared" si="92"/>
        <v>0</v>
      </c>
      <c r="Q1206" s="13">
        <f t="shared" si="93"/>
        <v>0</v>
      </c>
      <c r="R1206" s="13">
        <f>L1206*Assumptions!$B$11+M1206*Assumptions!$B$12+N1206*Assumptions!$B$13+O1206*Assumptions!$B$14+P1206*Assumptions!$B$15+Q1206*Assumptions!$B$16</f>
        <v>0</v>
      </c>
      <c r="S1206" s="13" t="str">
        <f>IF(R1206&gt;=Assumptions!$B$20,"High",IF(R1206&gt;=Assumptions!$B$21,"Medium",IF(R1206&gt;=1,"Low","Clear")))</f>
        <v>Clear</v>
      </c>
      <c r="T1206" s="13" t="str">
        <f t="shared" si="94"/>
        <v/>
      </c>
    </row>
    <row r="1207" spans="1:20" x14ac:dyDescent="0.35">
      <c r="A1207" s="13" t="s">
        <v>4853</v>
      </c>
      <c r="B1207" s="13" t="s">
        <v>119</v>
      </c>
      <c r="C1207" s="13" t="s">
        <v>120</v>
      </c>
      <c r="D1207" s="13" t="s">
        <v>4854</v>
      </c>
      <c r="E1207" s="14">
        <v>46046</v>
      </c>
      <c r="F1207" s="14">
        <v>46066</v>
      </c>
      <c r="G1207" s="15">
        <v>197506.8</v>
      </c>
      <c r="H1207" s="13" t="s">
        <v>4855</v>
      </c>
      <c r="I1207" s="13" t="s">
        <v>4856</v>
      </c>
      <c r="J1207" s="13" t="s">
        <v>98</v>
      </c>
      <c r="K1207" s="13">
        <f t="shared" si="90"/>
        <v>1</v>
      </c>
      <c r="L1207" s="13">
        <f t="shared" si="91"/>
        <v>0</v>
      </c>
      <c r="M1207" s="13">
        <f>IF(AND(L1207=0,COUNTIFS($B$2:$B$1534,B1207,$G$2:$G$1534,G1207,$E$2:$E$1534,"&gt;="&amp;(E1207-Assumptions!$B$5),$E$2:$E$1534,"&lt;="&amp;(E1207+Assumptions!$B$5))&gt;1),1,0)</f>
        <v>0</v>
      </c>
      <c r="N1207" s="13">
        <f>IF(AND(G1207&gt;=Assumptions!$B$4*(1-Assumptions!$B$6),G1207&lt;Assumptions!$B$4),1,0)</f>
        <v>0</v>
      </c>
      <c r="O1207" s="13">
        <f>IF(AND(G1207&gt;=Assumptions!$B$7,MOD(G1207,Assumptions!$B$7)=0),1,0)</f>
        <v>0</v>
      </c>
      <c r="P1207" s="13">
        <f t="shared" si="92"/>
        <v>0</v>
      </c>
      <c r="Q1207" s="13">
        <f t="shared" si="93"/>
        <v>0</v>
      </c>
      <c r="R1207" s="13">
        <f>L1207*Assumptions!$B$11+M1207*Assumptions!$B$12+N1207*Assumptions!$B$13+O1207*Assumptions!$B$14+P1207*Assumptions!$B$15+Q1207*Assumptions!$B$16</f>
        <v>0</v>
      </c>
      <c r="S1207" s="13" t="str">
        <f>IF(R1207&gt;=Assumptions!$B$20,"High",IF(R1207&gt;=Assumptions!$B$21,"Medium",IF(R1207&gt;=1,"Low","Clear")))</f>
        <v>Clear</v>
      </c>
      <c r="T1207" s="13" t="str">
        <f t="shared" si="94"/>
        <v/>
      </c>
    </row>
    <row r="1208" spans="1:20" x14ac:dyDescent="0.35">
      <c r="A1208" s="13" t="s">
        <v>4857</v>
      </c>
      <c r="B1208" s="13" t="s">
        <v>212</v>
      </c>
      <c r="C1208" s="13" t="s">
        <v>213</v>
      </c>
      <c r="D1208" s="13" t="s">
        <v>4858</v>
      </c>
      <c r="E1208" s="14">
        <v>46026</v>
      </c>
      <c r="F1208" s="14">
        <v>46066</v>
      </c>
      <c r="G1208" s="15">
        <v>11913.01</v>
      </c>
      <c r="H1208" s="13" t="s">
        <v>4859</v>
      </c>
      <c r="I1208" s="13" t="s">
        <v>4860</v>
      </c>
      <c r="J1208" s="13" t="s">
        <v>143</v>
      </c>
      <c r="K1208" s="13">
        <f t="shared" si="90"/>
        <v>1</v>
      </c>
      <c r="L1208" s="13">
        <f t="shared" si="91"/>
        <v>0</v>
      </c>
      <c r="M1208" s="13">
        <f>IF(AND(L1208=0,COUNTIFS($B$2:$B$1534,B1208,$G$2:$G$1534,G1208,$E$2:$E$1534,"&gt;="&amp;(E1208-Assumptions!$B$5),$E$2:$E$1534,"&lt;="&amp;(E1208+Assumptions!$B$5))&gt;1),1,0)</f>
        <v>0</v>
      </c>
      <c r="N1208" s="13">
        <f>IF(AND(G1208&gt;=Assumptions!$B$4*(1-Assumptions!$B$6),G1208&lt;Assumptions!$B$4),1,0)</f>
        <v>0</v>
      </c>
      <c r="O1208" s="13">
        <f>IF(AND(G1208&gt;=Assumptions!$B$7,MOD(G1208,Assumptions!$B$7)=0),1,0)</f>
        <v>0</v>
      </c>
      <c r="P1208" s="13">
        <f t="shared" si="92"/>
        <v>0</v>
      </c>
      <c r="Q1208" s="13">
        <f t="shared" si="93"/>
        <v>0</v>
      </c>
      <c r="R1208" s="13">
        <f>L1208*Assumptions!$B$11+M1208*Assumptions!$B$12+N1208*Assumptions!$B$13+O1208*Assumptions!$B$14+P1208*Assumptions!$B$15+Q1208*Assumptions!$B$16</f>
        <v>0</v>
      </c>
      <c r="S1208" s="13" t="str">
        <f>IF(R1208&gt;=Assumptions!$B$20,"High",IF(R1208&gt;=Assumptions!$B$21,"Medium",IF(R1208&gt;=1,"Low","Clear")))</f>
        <v>Clear</v>
      </c>
      <c r="T1208" s="13" t="str">
        <f t="shared" si="94"/>
        <v/>
      </c>
    </row>
    <row r="1209" spans="1:20" x14ac:dyDescent="0.35">
      <c r="A1209" s="13" t="s">
        <v>4861</v>
      </c>
      <c r="B1209" s="13" t="s">
        <v>391</v>
      </c>
      <c r="C1209" s="13" t="s">
        <v>392</v>
      </c>
      <c r="D1209" s="13" t="s">
        <v>4862</v>
      </c>
      <c r="E1209" s="14">
        <v>46042</v>
      </c>
      <c r="F1209" s="14">
        <v>46069</v>
      </c>
      <c r="G1209" s="15">
        <v>540704.18000000005</v>
      </c>
      <c r="H1209" s="13" t="s">
        <v>4863</v>
      </c>
      <c r="I1209" s="13" t="s">
        <v>4864</v>
      </c>
      <c r="J1209" s="13" t="s">
        <v>98</v>
      </c>
      <c r="K1209" s="13">
        <f t="shared" si="90"/>
        <v>5</v>
      </c>
      <c r="L1209" s="13">
        <f t="shared" si="91"/>
        <v>0</v>
      </c>
      <c r="M1209" s="13">
        <f>IF(AND(L1209=0,COUNTIFS($B$2:$B$1534,B1209,$G$2:$G$1534,G1209,$E$2:$E$1534,"&gt;="&amp;(E1209-Assumptions!$B$5),$E$2:$E$1534,"&lt;="&amp;(E1209+Assumptions!$B$5))&gt;1),1,0)</f>
        <v>0</v>
      </c>
      <c r="N1209" s="13">
        <f>IF(AND(G1209&gt;=Assumptions!$B$4*(1-Assumptions!$B$6),G1209&lt;Assumptions!$B$4),1,0)</f>
        <v>0</v>
      </c>
      <c r="O1209" s="13">
        <f>IF(AND(G1209&gt;=Assumptions!$B$7,MOD(G1209,Assumptions!$B$7)=0),1,0)</f>
        <v>0</v>
      </c>
      <c r="P1209" s="13">
        <f t="shared" si="92"/>
        <v>0</v>
      </c>
      <c r="Q1209" s="13">
        <f t="shared" si="93"/>
        <v>0</v>
      </c>
      <c r="R1209" s="13">
        <f>L1209*Assumptions!$B$11+M1209*Assumptions!$B$12+N1209*Assumptions!$B$13+O1209*Assumptions!$B$14+P1209*Assumptions!$B$15+Q1209*Assumptions!$B$16</f>
        <v>0</v>
      </c>
      <c r="S1209" s="13" t="str">
        <f>IF(R1209&gt;=Assumptions!$B$20,"High",IF(R1209&gt;=Assumptions!$B$21,"Medium",IF(R1209&gt;=1,"Low","Clear")))</f>
        <v>Clear</v>
      </c>
      <c r="T1209" s="13" t="str">
        <f t="shared" si="94"/>
        <v/>
      </c>
    </row>
    <row r="1210" spans="1:20" x14ac:dyDescent="0.35">
      <c r="A1210" s="13" t="s">
        <v>4865</v>
      </c>
      <c r="B1210" s="13" t="s">
        <v>228</v>
      </c>
      <c r="C1210" s="13" t="s">
        <v>229</v>
      </c>
      <c r="D1210" s="13" t="s">
        <v>4866</v>
      </c>
      <c r="E1210" s="14">
        <v>46038</v>
      </c>
      <c r="F1210" s="14">
        <v>46069</v>
      </c>
      <c r="G1210" s="15">
        <v>47662.73</v>
      </c>
      <c r="H1210" s="13" t="s">
        <v>4867</v>
      </c>
      <c r="I1210" s="13" t="s">
        <v>4868</v>
      </c>
      <c r="J1210" s="13" t="s">
        <v>143</v>
      </c>
      <c r="K1210" s="13">
        <f t="shared" si="90"/>
        <v>4</v>
      </c>
      <c r="L1210" s="13">
        <f t="shared" si="91"/>
        <v>0</v>
      </c>
      <c r="M1210" s="13">
        <f>IF(AND(L1210=0,COUNTIFS($B$2:$B$1534,B1210,$G$2:$G$1534,G1210,$E$2:$E$1534,"&gt;="&amp;(E1210-Assumptions!$B$5),$E$2:$E$1534,"&lt;="&amp;(E1210+Assumptions!$B$5))&gt;1),1,0)</f>
        <v>0</v>
      </c>
      <c r="N1210" s="13">
        <f>IF(AND(G1210&gt;=Assumptions!$B$4*(1-Assumptions!$B$6),G1210&lt;Assumptions!$B$4),1,0)</f>
        <v>1</v>
      </c>
      <c r="O1210" s="13">
        <f>IF(AND(G1210&gt;=Assumptions!$B$7,MOD(G1210,Assumptions!$B$7)=0),1,0)</f>
        <v>0</v>
      </c>
      <c r="P1210" s="13">
        <f t="shared" si="92"/>
        <v>0</v>
      </c>
      <c r="Q1210" s="13">
        <f t="shared" si="93"/>
        <v>0</v>
      </c>
      <c r="R1210" s="13">
        <f>L1210*Assumptions!$B$11+M1210*Assumptions!$B$12+N1210*Assumptions!$B$13+O1210*Assumptions!$B$14+P1210*Assumptions!$B$15+Q1210*Assumptions!$B$16</f>
        <v>3</v>
      </c>
      <c r="S1210" s="13" t="str">
        <f>IF(R1210&gt;=Assumptions!$B$20,"High",IF(R1210&gt;=Assumptions!$B$21,"Medium",IF(R1210&gt;=1,"Low","Clear")))</f>
        <v>Medium</v>
      </c>
      <c r="T1210" s="13" t="str">
        <f t="shared" si="94"/>
        <v xml:space="preserve">Just below limit; </v>
      </c>
    </row>
    <row r="1211" spans="1:20" x14ac:dyDescent="0.35">
      <c r="A1211" s="13" t="s">
        <v>4869</v>
      </c>
      <c r="B1211" s="13" t="s">
        <v>498</v>
      </c>
      <c r="C1211" s="13" t="s">
        <v>499</v>
      </c>
      <c r="D1211" s="13" t="s">
        <v>4870</v>
      </c>
      <c r="E1211" s="14">
        <v>46043</v>
      </c>
      <c r="F1211" s="14">
        <v>46069</v>
      </c>
      <c r="G1211" s="15">
        <v>8254.98</v>
      </c>
      <c r="H1211" s="13" t="s">
        <v>4871</v>
      </c>
      <c r="I1211" s="13" t="s">
        <v>4872</v>
      </c>
      <c r="J1211" s="13" t="s">
        <v>98</v>
      </c>
      <c r="K1211" s="13">
        <f t="shared" si="90"/>
        <v>8</v>
      </c>
      <c r="L1211" s="13">
        <f t="shared" si="91"/>
        <v>0</v>
      </c>
      <c r="M1211" s="13">
        <f>IF(AND(L1211=0,COUNTIFS($B$2:$B$1534,B1211,$G$2:$G$1534,G1211,$E$2:$E$1534,"&gt;="&amp;(E1211-Assumptions!$B$5),$E$2:$E$1534,"&lt;="&amp;(E1211+Assumptions!$B$5))&gt;1),1,0)</f>
        <v>0</v>
      </c>
      <c r="N1211" s="13">
        <f>IF(AND(G1211&gt;=Assumptions!$B$4*(1-Assumptions!$B$6),G1211&lt;Assumptions!$B$4),1,0)</f>
        <v>0</v>
      </c>
      <c r="O1211" s="13">
        <f>IF(AND(G1211&gt;=Assumptions!$B$7,MOD(G1211,Assumptions!$B$7)=0),1,0)</f>
        <v>0</v>
      </c>
      <c r="P1211" s="13">
        <f t="shared" si="92"/>
        <v>0</v>
      </c>
      <c r="Q1211" s="13">
        <f t="shared" si="93"/>
        <v>0</v>
      </c>
      <c r="R1211" s="13">
        <f>L1211*Assumptions!$B$11+M1211*Assumptions!$B$12+N1211*Assumptions!$B$13+O1211*Assumptions!$B$14+P1211*Assumptions!$B$15+Q1211*Assumptions!$B$16</f>
        <v>0</v>
      </c>
      <c r="S1211" s="13" t="str">
        <f>IF(R1211&gt;=Assumptions!$B$20,"High",IF(R1211&gt;=Assumptions!$B$21,"Medium",IF(R1211&gt;=1,"Low","Clear")))</f>
        <v>Clear</v>
      </c>
      <c r="T1211" s="13" t="str">
        <f t="shared" si="94"/>
        <v/>
      </c>
    </row>
    <row r="1212" spans="1:20" x14ac:dyDescent="0.35">
      <c r="A1212" s="13" t="s">
        <v>4873</v>
      </c>
      <c r="B1212" s="13" t="s">
        <v>323</v>
      </c>
      <c r="C1212" s="13" t="s">
        <v>324</v>
      </c>
      <c r="D1212" s="13" t="s">
        <v>4874</v>
      </c>
      <c r="E1212" s="14">
        <v>46032</v>
      </c>
      <c r="F1212" s="14">
        <v>46069</v>
      </c>
      <c r="G1212" s="15">
        <v>193818.72</v>
      </c>
      <c r="H1212" s="13" t="s">
        <v>4875</v>
      </c>
      <c r="I1212" s="13" t="s">
        <v>4876</v>
      </c>
      <c r="J1212" s="13" t="s">
        <v>136</v>
      </c>
      <c r="K1212" s="13">
        <f t="shared" si="90"/>
        <v>1</v>
      </c>
      <c r="L1212" s="13">
        <f t="shared" si="91"/>
        <v>0</v>
      </c>
      <c r="M1212" s="13">
        <f>IF(AND(L1212=0,COUNTIFS($B$2:$B$1534,B1212,$G$2:$G$1534,G1212,$E$2:$E$1534,"&gt;="&amp;(E1212-Assumptions!$B$5),$E$2:$E$1534,"&lt;="&amp;(E1212+Assumptions!$B$5))&gt;1),1,0)</f>
        <v>0</v>
      </c>
      <c r="N1212" s="13">
        <f>IF(AND(G1212&gt;=Assumptions!$B$4*(1-Assumptions!$B$6),G1212&lt;Assumptions!$B$4),1,0)</f>
        <v>0</v>
      </c>
      <c r="O1212" s="13">
        <f>IF(AND(G1212&gt;=Assumptions!$B$7,MOD(G1212,Assumptions!$B$7)=0),1,0)</f>
        <v>0</v>
      </c>
      <c r="P1212" s="13">
        <f t="shared" si="92"/>
        <v>0</v>
      </c>
      <c r="Q1212" s="13">
        <f t="shared" si="93"/>
        <v>0</v>
      </c>
      <c r="R1212" s="13">
        <f>L1212*Assumptions!$B$11+M1212*Assumptions!$B$12+N1212*Assumptions!$B$13+O1212*Assumptions!$B$14+P1212*Assumptions!$B$15+Q1212*Assumptions!$B$16</f>
        <v>0</v>
      </c>
      <c r="S1212" s="13" t="str">
        <f>IF(R1212&gt;=Assumptions!$B$20,"High",IF(R1212&gt;=Assumptions!$B$21,"Medium",IF(R1212&gt;=1,"Low","Clear")))</f>
        <v>Clear</v>
      </c>
      <c r="T1212" s="13" t="str">
        <f t="shared" si="94"/>
        <v/>
      </c>
    </row>
    <row r="1213" spans="1:20" x14ac:dyDescent="0.35">
      <c r="A1213" s="13" t="s">
        <v>4877</v>
      </c>
      <c r="B1213" s="13" t="s">
        <v>329</v>
      </c>
      <c r="C1213" s="13" t="s">
        <v>330</v>
      </c>
      <c r="D1213" s="13" t="s">
        <v>4878</v>
      </c>
      <c r="E1213" s="14">
        <v>46038</v>
      </c>
      <c r="F1213" s="14">
        <v>46069</v>
      </c>
      <c r="G1213" s="15">
        <v>43011.11</v>
      </c>
      <c r="H1213" s="13" t="s">
        <v>4879</v>
      </c>
      <c r="I1213" s="13" t="s">
        <v>4880</v>
      </c>
      <c r="J1213" s="13" t="s">
        <v>136</v>
      </c>
      <c r="K1213" s="13">
        <f t="shared" si="90"/>
        <v>4</v>
      </c>
      <c r="L1213" s="13">
        <f t="shared" si="91"/>
        <v>0</v>
      </c>
      <c r="M1213" s="13">
        <f>IF(AND(L1213=0,COUNTIFS($B$2:$B$1534,B1213,$G$2:$G$1534,G1213,$E$2:$E$1534,"&gt;="&amp;(E1213-Assumptions!$B$5),$E$2:$E$1534,"&lt;="&amp;(E1213+Assumptions!$B$5))&gt;1),1,0)</f>
        <v>0</v>
      </c>
      <c r="N1213" s="13">
        <f>IF(AND(G1213&gt;=Assumptions!$B$4*(1-Assumptions!$B$6),G1213&lt;Assumptions!$B$4),1,0)</f>
        <v>0</v>
      </c>
      <c r="O1213" s="13">
        <f>IF(AND(G1213&gt;=Assumptions!$B$7,MOD(G1213,Assumptions!$B$7)=0),1,0)</f>
        <v>0</v>
      </c>
      <c r="P1213" s="13">
        <f t="shared" si="92"/>
        <v>0</v>
      </c>
      <c r="Q1213" s="13">
        <f t="shared" si="93"/>
        <v>0</v>
      </c>
      <c r="R1213" s="13">
        <f>L1213*Assumptions!$B$11+M1213*Assumptions!$B$12+N1213*Assumptions!$B$13+O1213*Assumptions!$B$14+P1213*Assumptions!$B$15+Q1213*Assumptions!$B$16</f>
        <v>0</v>
      </c>
      <c r="S1213" s="13" t="str">
        <f>IF(R1213&gt;=Assumptions!$B$20,"High",IF(R1213&gt;=Assumptions!$B$21,"Medium",IF(R1213&gt;=1,"Low","Clear")))</f>
        <v>Clear</v>
      </c>
      <c r="T1213" s="13" t="str">
        <f t="shared" si="94"/>
        <v/>
      </c>
    </row>
    <row r="1214" spans="1:20" x14ac:dyDescent="0.35">
      <c r="A1214" s="13" t="s">
        <v>4881</v>
      </c>
      <c r="B1214" s="13" t="s">
        <v>476</v>
      </c>
      <c r="C1214" s="13" t="s">
        <v>477</v>
      </c>
      <c r="D1214" s="13" t="s">
        <v>4882</v>
      </c>
      <c r="E1214" s="14">
        <v>46041</v>
      </c>
      <c r="F1214" s="14">
        <v>46069</v>
      </c>
      <c r="G1214" s="15">
        <v>26840.27</v>
      </c>
      <c r="H1214" s="13" t="s">
        <v>4883</v>
      </c>
      <c r="I1214" s="13" t="s">
        <v>4884</v>
      </c>
      <c r="J1214" s="13" t="s">
        <v>136</v>
      </c>
      <c r="K1214" s="13">
        <f t="shared" si="90"/>
        <v>2</v>
      </c>
      <c r="L1214" s="13">
        <f t="shared" si="91"/>
        <v>0</v>
      </c>
      <c r="M1214" s="13">
        <f>IF(AND(L1214=0,COUNTIFS($B$2:$B$1534,B1214,$G$2:$G$1534,G1214,$E$2:$E$1534,"&gt;="&amp;(E1214-Assumptions!$B$5),$E$2:$E$1534,"&lt;="&amp;(E1214+Assumptions!$B$5))&gt;1),1,0)</f>
        <v>0</v>
      </c>
      <c r="N1214" s="13">
        <f>IF(AND(G1214&gt;=Assumptions!$B$4*(1-Assumptions!$B$6),G1214&lt;Assumptions!$B$4),1,0)</f>
        <v>0</v>
      </c>
      <c r="O1214" s="13">
        <f>IF(AND(G1214&gt;=Assumptions!$B$7,MOD(G1214,Assumptions!$B$7)=0),1,0)</f>
        <v>0</v>
      </c>
      <c r="P1214" s="13">
        <f t="shared" si="92"/>
        <v>0</v>
      </c>
      <c r="Q1214" s="13">
        <f t="shared" si="93"/>
        <v>0</v>
      </c>
      <c r="R1214" s="13">
        <f>L1214*Assumptions!$B$11+M1214*Assumptions!$B$12+N1214*Assumptions!$B$13+O1214*Assumptions!$B$14+P1214*Assumptions!$B$15+Q1214*Assumptions!$B$16</f>
        <v>0</v>
      </c>
      <c r="S1214" s="13" t="str">
        <f>IF(R1214&gt;=Assumptions!$B$20,"High",IF(R1214&gt;=Assumptions!$B$21,"Medium",IF(R1214&gt;=1,"Low","Clear")))</f>
        <v>Clear</v>
      </c>
      <c r="T1214" s="13" t="str">
        <f t="shared" si="94"/>
        <v/>
      </c>
    </row>
    <row r="1215" spans="1:20" x14ac:dyDescent="0.35">
      <c r="A1215" s="13" t="s">
        <v>4885</v>
      </c>
      <c r="B1215" s="13" t="s">
        <v>476</v>
      </c>
      <c r="C1215" s="13" t="s">
        <v>477</v>
      </c>
      <c r="D1215" s="13" t="s">
        <v>4886</v>
      </c>
      <c r="E1215" s="14">
        <v>46049</v>
      </c>
      <c r="F1215" s="14">
        <v>46069</v>
      </c>
      <c r="G1215" s="15">
        <v>906346.67</v>
      </c>
      <c r="H1215" s="13" t="s">
        <v>4887</v>
      </c>
      <c r="I1215" s="13" t="s">
        <v>4888</v>
      </c>
      <c r="J1215" s="13" t="s">
        <v>98</v>
      </c>
      <c r="K1215" s="13">
        <f t="shared" si="90"/>
        <v>9</v>
      </c>
      <c r="L1215" s="13">
        <f t="shared" si="91"/>
        <v>0</v>
      </c>
      <c r="M1215" s="13">
        <f>IF(AND(L1215=0,COUNTIFS($B$2:$B$1534,B1215,$G$2:$G$1534,G1215,$E$2:$E$1534,"&gt;="&amp;(E1215-Assumptions!$B$5),$E$2:$E$1534,"&lt;="&amp;(E1215+Assumptions!$B$5))&gt;1),1,0)</f>
        <v>0</v>
      </c>
      <c r="N1215" s="13">
        <f>IF(AND(G1215&gt;=Assumptions!$B$4*(1-Assumptions!$B$6),G1215&lt;Assumptions!$B$4),1,0)</f>
        <v>0</v>
      </c>
      <c r="O1215" s="13">
        <f>IF(AND(G1215&gt;=Assumptions!$B$7,MOD(G1215,Assumptions!$B$7)=0),1,0)</f>
        <v>0</v>
      </c>
      <c r="P1215" s="13">
        <f t="shared" si="92"/>
        <v>0</v>
      </c>
      <c r="Q1215" s="13">
        <f t="shared" si="93"/>
        <v>0</v>
      </c>
      <c r="R1215" s="13">
        <f>L1215*Assumptions!$B$11+M1215*Assumptions!$B$12+N1215*Assumptions!$B$13+O1215*Assumptions!$B$14+P1215*Assumptions!$B$15+Q1215*Assumptions!$B$16</f>
        <v>0</v>
      </c>
      <c r="S1215" s="13" t="str">
        <f>IF(R1215&gt;=Assumptions!$B$20,"High",IF(R1215&gt;=Assumptions!$B$21,"Medium",IF(R1215&gt;=1,"Low","Clear")))</f>
        <v>Clear</v>
      </c>
      <c r="T1215" s="13" t="str">
        <f t="shared" si="94"/>
        <v/>
      </c>
    </row>
    <row r="1216" spans="1:20" x14ac:dyDescent="0.35">
      <c r="A1216" s="13" t="s">
        <v>4889</v>
      </c>
      <c r="B1216" s="13" t="s">
        <v>106</v>
      </c>
      <c r="C1216" s="13" t="s">
        <v>107</v>
      </c>
      <c r="D1216" s="13" t="s">
        <v>4890</v>
      </c>
      <c r="E1216" s="14">
        <v>46032</v>
      </c>
      <c r="F1216" s="14">
        <v>46069</v>
      </c>
      <c r="G1216" s="15">
        <v>16754.54</v>
      </c>
      <c r="H1216" s="13" t="s">
        <v>4891</v>
      </c>
      <c r="I1216" s="13" t="s">
        <v>4892</v>
      </c>
      <c r="J1216" s="13" t="s">
        <v>170</v>
      </c>
      <c r="K1216" s="13">
        <f t="shared" si="90"/>
        <v>1</v>
      </c>
      <c r="L1216" s="13">
        <f t="shared" si="91"/>
        <v>0</v>
      </c>
      <c r="M1216" s="13">
        <f>IF(AND(L1216=0,COUNTIFS($B$2:$B$1534,B1216,$G$2:$G$1534,G1216,$E$2:$E$1534,"&gt;="&amp;(E1216-Assumptions!$B$5),$E$2:$E$1534,"&lt;="&amp;(E1216+Assumptions!$B$5))&gt;1),1,0)</f>
        <v>0</v>
      </c>
      <c r="N1216" s="13">
        <f>IF(AND(G1216&gt;=Assumptions!$B$4*(1-Assumptions!$B$6),G1216&lt;Assumptions!$B$4),1,0)</f>
        <v>0</v>
      </c>
      <c r="O1216" s="13">
        <f>IF(AND(G1216&gt;=Assumptions!$B$7,MOD(G1216,Assumptions!$B$7)=0),1,0)</f>
        <v>0</v>
      </c>
      <c r="P1216" s="13">
        <f t="shared" si="92"/>
        <v>0</v>
      </c>
      <c r="Q1216" s="13">
        <f t="shared" si="93"/>
        <v>0</v>
      </c>
      <c r="R1216" s="13">
        <f>L1216*Assumptions!$B$11+M1216*Assumptions!$B$12+N1216*Assumptions!$B$13+O1216*Assumptions!$B$14+P1216*Assumptions!$B$15+Q1216*Assumptions!$B$16</f>
        <v>0</v>
      </c>
      <c r="S1216" s="13" t="str">
        <f>IF(R1216&gt;=Assumptions!$B$20,"High",IF(R1216&gt;=Assumptions!$B$21,"Medium",IF(R1216&gt;=1,"Low","Clear")))</f>
        <v>Clear</v>
      </c>
      <c r="T1216" s="13" t="str">
        <f t="shared" si="94"/>
        <v/>
      </c>
    </row>
    <row r="1217" spans="1:20" x14ac:dyDescent="0.35">
      <c r="A1217" s="13" t="s">
        <v>4893</v>
      </c>
      <c r="B1217" s="13" t="s">
        <v>125</v>
      </c>
      <c r="C1217" s="13" t="s">
        <v>126</v>
      </c>
      <c r="D1217" s="13" t="s">
        <v>4738</v>
      </c>
      <c r="E1217" s="14">
        <v>46026</v>
      </c>
      <c r="F1217" s="14">
        <v>46069</v>
      </c>
      <c r="G1217" s="15">
        <v>5934.92</v>
      </c>
      <c r="H1217" s="13" t="s">
        <v>4739</v>
      </c>
      <c r="I1217" s="13" t="s">
        <v>4740</v>
      </c>
      <c r="J1217" s="13" t="s">
        <v>91</v>
      </c>
      <c r="K1217" s="13">
        <f t="shared" si="90"/>
        <v>5</v>
      </c>
      <c r="L1217" s="13">
        <f t="shared" si="91"/>
        <v>1</v>
      </c>
      <c r="M1217" s="13">
        <f>IF(AND(L1217=0,COUNTIFS($B$2:$B$1534,B1217,$G$2:$G$1534,G1217,$E$2:$E$1534,"&gt;="&amp;(E1217-Assumptions!$B$5),$E$2:$E$1534,"&lt;="&amp;(E1217+Assumptions!$B$5))&gt;1),1,0)</f>
        <v>0</v>
      </c>
      <c r="N1217" s="13">
        <f>IF(AND(G1217&gt;=Assumptions!$B$4*(1-Assumptions!$B$6),G1217&lt;Assumptions!$B$4),1,0)</f>
        <v>0</v>
      </c>
      <c r="O1217" s="13">
        <f>IF(AND(G1217&gt;=Assumptions!$B$7,MOD(G1217,Assumptions!$B$7)=0),1,0)</f>
        <v>0</v>
      </c>
      <c r="P1217" s="13">
        <f t="shared" si="92"/>
        <v>0</v>
      </c>
      <c r="Q1217" s="13">
        <f t="shared" si="93"/>
        <v>0</v>
      </c>
      <c r="R1217" s="13">
        <f>L1217*Assumptions!$B$11+M1217*Assumptions!$B$12+N1217*Assumptions!$B$13+O1217*Assumptions!$B$14+P1217*Assumptions!$B$15+Q1217*Assumptions!$B$16</f>
        <v>5</v>
      </c>
      <c r="S1217" s="13" t="str">
        <f>IF(R1217&gt;=Assumptions!$B$20,"High",IF(R1217&gt;=Assumptions!$B$21,"Medium",IF(R1217&gt;=1,"Low","Clear")))</f>
        <v>High</v>
      </c>
      <c r="T1217" s="13" t="str">
        <f t="shared" si="94"/>
        <v xml:space="preserve">Duplicate invoice; </v>
      </c>
    </row>
    <row r="1218" spans="1:20" x14ac:dyDescent="0.35">
      <c r="A1218" s="13" t="s">
        <v>4894</v>
      </c>
      <c r="B1218" s="13" t="s">
        <v>200</v>
      </c>
      <c r="C1218" s="13" t="s">
        <v>201</v>
      </c>
      <c r="D1218" s="13" t="s">
        <v>4895</v>
      </c>
      <c r="E1218" s="14">
        <v>46033</v>
      </c>
      <c r="F1218" s="14">
        <v>46070</v>
      </c>
      <c r="G1218" s="15">
        <v>17601.669999999998</v>
      </c>
      <c r="H1218" s="13" t="s">
        <v>4896</v>
      </c>
      <c r="I1218" s="13" t="s">
        <v>4897</v>
      </c>
      <c r="J1218" s="13" t="s">
        <v>91</v>
      </c>
      <c r="K1218" s="13">
        <f t="shared" ref="K1218:K1281" si="95">VALUE(LEFT(TEXT(G1218,"0"),1))</f>
        <v>1</v>
      </c>
      <c r="L1218" s="13">
        <f t="shared" ref="L1218:L1281" si="96">IF(COUNTIFS($B$2:$B$1534,B1218,$D$2:$D$1534,D1218)&gt;1,1,0)</f>
        <v>0</v>
      </c>
      <c r="M1218" s="13">
        <f>IF(AND(L1218=0,COUNTIFS($B$2:$B$1534,B1218,$G$2:$G$1534,G1218,$E$2:$E$1534,"&gt;="&amp;(E1218-Assumptions!$B$5),$E$2:$E$1534,"&lt;="&amp;(E1218+Assumptions!$B$5))&gt;1),1,0)</f>
        <v>0</v>
      </c>
      <c r="N1218" s="13">
        <f>IF(AND(G1218&gt;=Assumptions!$B$4*(1-Assumptions!$B$6),G1218&lt;Assumptions!$B$4),1,0)</f>
        <v>0</v>
      </c>
      <c r="O1218" s="13">
        <f>IF(AND(G1218&gt;=Assumptions!$B$7,MOD(G1218,Assumptions!$B$7)=0),1,0)</f>
        <v>0</v>
      </c>
      <c r="P1218" s="13">
        <f t="shared" ref="P1218:P1281" si="97">IF(OR(H1218="",I1218=""),1,0)</f>
        <v>0</v>
      </c>
      <c r="Q1218" s="13">
        <f t="shared" ref="Q1218:Q1281" si="98">IF(WEEKDAY(F1218,2)&gt;5,1,0)</f>
        <v>0</v>
      </c>
      <c r="R1218" s="13">
        <f>L1218*Assumptions!$B$11+M1218*Assumptions!$B$12+N1218*Assumptions!$B$13+O1218*Assumptions!$B$14+P1218*Assumptions!$B$15+Q1218*Assumptions!$B$16</f>
        <v>0</v>
      </c>
      <c r="S1218" s="13" t="str">
        <f>IF(R1218&gt;=Assumptions!$B$20,"High",IF(R1218&gt;=Assumptions!$B$21,"Medium",IF(R1218&gt;=1,"Low","Clear")))</f>
        <v>Clear</v>
      </c>
      <c r="T1218" s="13" t="str">
        <f t="shared" ref="T1218:T1281" si="99">IF(R1218=0,"",IF(L1218=1,"Duplicate invoice; ","")&amp;IF(M1218=1,"Near-duplicate; ","")&amp;IF(N1218=1,"Just below limit; ","")&amp;IF(O1218=1,"Round amount; ","")&amp;IF(P1218=1,"No PO/GRN; ","")&amp;IF(Q1218=1,"Weekend payment; ",""))</f>
        <v/>
      </c>
    </row>
    <row r="1219" spans="1:20" x14ac:dyDescent="0.35">
      <c r="A1219" s="13" t="s">
        <v>4898</v>
      </c>
      <c r="B1219" s="13" t="s">
        <v>476</v>
      </c>
      <c r="C1219" s="13" t="s">
        <v>477</v>
      </c>
      <c r="D1219" s="13" t="s">
        <v>4899</v>
      </c>
      <c r="E1219" s="14">
        <v>46041</v>
      </c>
      <c r="F1219" s="14">
        <v>46070</v>
      </c>
      <c r="G1219" s="15">
        <v>502182.83</v>
      </c>
      <c r="H1219" s="13" t="s">
        <v>4900</v>
      </c>
      <c r="I1219" s="13" t="s">
        <v>4901</v>
      </c>
      <c r="J1219" s="13" t="s">
        <v>136</v>
      </c>
      <c r="K1219" s="13">
        <f t="shared" si="95"/>
        <v>5</v>
      </c>
      <c r="L1219" s="13">
        <f t="shared" si="96"/>
        <v>0</v>
      </c>
      <c r="M1219" s="13">
        <f>IF(AND(L1219=0,COUNTIFS($B$2:$B$1534,B1219,$G$2:$G$1534,G1219,$E$2:$E$1534,"&gt;="&amp;(E1219-Assumptions!$B$5),$E$2:$E$1534,"&lt;="&amp;(E1219+Assumptions!$B$5))&gt;1),1,0)</f>
        <v>0</v>
      </c>
      <c r="N1219" s="13">
        <f>IF(AND(G1219&gt;=Assumptions!$B$4*(1-Assumptions!$B$6),G1219&lt;Assumptions!$B$4),1,0)</f>
        <v>0</v>
      </c>
      <c r="O1219" s="13">
        <f>IF(AND(G1219&gt;=Assumptions!$B$7,MOD(G1219,Assumptions!$B$7)=0),1,0)</f>
        <v>0</v>
      </c>
      <c r="P1219" s="13">
        <f t="shared" si="97"/>
        <v>0</v>
      </c>
      <c r="Q1219" s="13">
        <f t="shared" si="98"/>
        <v>0</v>
      </c>
      <c r="R1219" s="13">
        <f>L1219*Assumptions!$B$11+M1219*Assumptions!$B$12+N1219*Assumptions!$B$13+O1219*Assumptions!$B$14+P1219*Assumptions!$B$15+Q1219*Assumptions!$B$16</f>
        <v>0</v>
      </c>
      <c r="S1219" s="13" t="str">
        <f>IF(R1219&gt;=Assumptions!$B$20,"High",IF(R1219&gt;=Assumptions!$B$21,"Medium",IF(R1219&gt;=1,"Low","Clear")))</f>
        <v>Clear</v>
      </c>
      <c r="T1219" s="13" t="str">
        <f t="shared" si="99"/>
        <v/>
      </c>
    </row>
    <row r="1220" spans="1:20" x14ac:dyDescent="0.35">
      <c r="A1220" s="13" t="s">
        <v>4902</v>
      </c>
      <c r="B1220" s="13" t="s">
        <v>138</v>
      </c>
      <c r="C1220" s="13" t="s">
        <v>139</v>
      </c>
      <c r="D1220" s="13" t="s">
        <v>4903</v>
      </c>
      <c r="E1220" s="14">
        <v>46032</v>
      </c>
      <c r="F1220" s="14">
        <v>46070</v>
      </c>
      <c r="G1220" s="15">
        <v>599469.86</v>
      </c>
      <c r="H1220" s="13" t="s">
        <v>4904</v>
      </c>
      <c r="I1220" s="13" t="s">
        <v>4905</v>
      </c>
      <c r="J1220" s="13" t="s">
        <v>111</v>
      </c>
      <c r="K1220" s="13">
        <f t="shared" si="95"/>
        <v>5</v>
      </c>
      <c r="L1220" s="13">
        <f t="shared" si="96"/>
        <v>0</v>
      </c>
      <c r="M1220" s="13">
        <f>IF(AND(L1220=0,COUNTIFS($B$2:$B$1534,B1220,$G$2:$G$1534,G1220,$E$2:$E$1534,"&gt;="&amp;(E1220-Assumptions!$B$5),$E$2:$E$1534,"&lt;="&amp;(E1220+Assumptions!$B$5))&gt;1),1,0)</f>
        <v>0</v>
      </c>
      <c r="N1220" s="13">
        <f>IF(AND(G1220&gt;=Assumptions!$B$4*(1-Assumptions!$B$6),G1220&lt;Assumptions!$B$4),1,0)</f>
        <v>0</v>
      </c>
      <c r="O1220" s="13">
        <f>IF(AND(G1220&gt;=Assumptions!$B$7,MOD(G1220,Assumptions!$B$7)=0),1,0)</f>
        <v>0</v>
      </c>
      <c r="P1220" s="13">
        <f t="shared" si="97"/>
        <v>0</v>
      </c>
      <c r="Q1220" s="13">
        <f t="shared" si="98"/>
        <v>0</v>
      </c>
      <c r="R1220" s="13">
        <f>L1220*Assumptions!$B$11+M1220*Assumptions!$B$12+N1220*Assumptions!$B$13+O1220*Assumptions!$B$14+P1220*Assumptions!$B$15+Q1220*Assumptions!$B$16</f>
        <v>0</v>
      </c>
      <c r="S1220" s="13" t="str">
        <f>IF(R1220&gt;=Assumptions!$B$20,"High",IF(R1220&gt;=Assumptions!$B$21,"Medium",IF(R1220&gt;=1,"Low","Clear")))</f>
        <v>Clear</v>
      </c>
      <c r="T1220" s="13" t="str">
        <f t="shared" si="99"/>
        <v/>
      </c>
    </row>
    <row r="1221" spans="1:20" x14ac:dyDescent="0.35">
      <c r="A1221" s="13" t="s">
        <v>4906</v>
      </c>
      <c r="B1221" s="13" t="s">
        <v>438</v>
      </c>
      <c r="C1221" s="13" t="s">
        <v>439</v>
      </c>
      <c r="D1221" s="13" t="s">
        <v>4907</v>
      </c>
      <c r="E1221" s="14">
        <v>46042</v>
      </c>
      <c r="F1221" s="14">
        <v>46070</v>
      </c>
      <c r="G1221" s="15">
        <v>120941.57</v>
      </c>
      <c r="H1221" s="13" t="s">
        <v>4908</v>
      </c>
      <c r="I1221" s="13" t="s">
        <v>4909</v>
      </c>
      <c r="J1221" s="13" t="s">
        <v>98</v>
      </c>
      <c r="K1221" s="13">
        <f t="shared" si="95"/>
        <v>1</v>
      </c>
      <c r="L1221" s="13">
        <f t="shared" si="96"/>
        <v>0</v>
      </c>
      <c r="M1221" s="13">
        <f>IF(AND(L1221=0,COUNTIFS($B$2:$B$1534,B1221,$G$2:$G$1534,G1221,$E$2:$E$1534,"&gt;="&amp;(E1221-Assumptions!$B$5),$E$2:$E$1534,"&lt;="&amp;(E1221+Assumptions!$B$5))&gt;1),1,0)</f>
        <v>0</v>
      </c>
      <c r="N1221" s="13">
        <f>IF(AND(G1221&gt;=Assumptions!$B$4*(1-Assumptions!$B$6),G1221&lt;Assumptions!$B$4),1,0)</f>
        <v>0</v>
      </c>
      <c r="O1221" s="13">
        <f>IF(AND(G1221&gt;=Assumptions!$B$7,MOD(G1221,Assumptions!$B$7)=0),1,0)</f>
        <v>0</v>
      </c>
      <c r="P1221" s="13">
        <f t="shared" si="97"/>
        <v>0</v>
      </c>
      <c r="Q1221" s="13">
        <f t="shared" si="98"/>
        <v>0</v>
      </c>
      <c r="R1221" s="13">
        <f>L1221*Assumptions!$B$11+M1221*Assumptions!$B$12+N1221*Assumptions!$B$13+O1221*Assumptions!$B$14+P1221*Assumptions!$B$15+Q1221*Assumptions!$B$16</f>
        <v>0</v>
      </c>
      <c r="S1221" s="13" t="str">
        <f>IF(R1221&gt;=Assumptions!$B$20,"High",IF(R1221&gt;=Assumptions!$B$21,"Medium",IF(R1221&gt;=1,"Low","Clear")))</f>
        <v>Clear</v>
      </c>
      <c r="T1221" s="13" t="str">
        <f t="shared" si="99"/>
        <v/>
      </c>
    </row>
    <row r="1222" spans="1:20" x14ac:dyDescent="0.35">
      <c r="A1222" s="13" t="s">
        <v>4910</v>
      </c>
      <c r="B1222" s="13" t="s">
        <v>391</v>
      </c>
      <c r="C1222" s="13" t="s">
        <v>392</v>
      </c>
      <c r="D1222" s="13" t="s">
        <v>4911</v>
      </c>
      <c r="E1222" s="14">
        <v>46040</v>
      </c>
      <c r="F1222" s="14">
        <v>46071</v>
      </c>
      <c r="G1222" s="15">
        <v>2281.41</v>
      </c>
      <c r="H1222" s="13" t="s">
        <v>4912</v>
      </c>
      <c r="I1222" s="13" t="s">
        <v>4913</v>
      </c>
      <c r="J1222" s="13" t="s">
        <v>143</v>
      </c>
      <c r="K1222" s="13">
        <f t="shared" si="95"/>
        <v>2</v>
      </c>
      <c r="L1222" s="13">
        <f t="shared" si="96"/>
        <v>0</v>
      </c>
      <c r="M1222" s="13">
        <f>IF(AND(L1222=0,COUNTIFS($B$2:$B$1534,B1222,$G$2:$G$1534,G1222,$E$2:$E$1534,"&gt;="&amp;(E1222-Assumptions!$B$5),$E$2:$E$1534,"&lt;="&amp;(E1222+Assumptions!$B$5))&gt;1),1,0)</f>
        <v>0</v>
      </c>
      <c r="N1222" s="13">
        <f>IF(AND(G1222&gt;=Assumptions!$B$4*(1-Assumptions!$B$6),G1222&lt;Assumptions!$B$4),1,0)</f>
        <v>0</v>
      </c>
      <c r="O1222" s="13">
        <f>IF(AND(G1222&gt;=Assumptions!$B$7,MOD(G1222,Assumptions!$B$7)=0),1,0)</f>
        <v>0</v>
      </c>
      <c r="P1222" s="13">
        <f t="shared" si="97"/>
        <v>0</v>
      </c>
      <c r="Q1222" s="13">
        <f t="shared" si="98"/>
        <v>0</v>
      </c>
      <c r="R1222" s="13">
        <f>L1222*Assumptions!$B$11+M1222*Assumptions!$B$12+N1222*Assumptions!$B$13+O1222*Assumptions!$B$14+P1222*Assumptions!$B$15+Q1222*Assumptions!$B$16</f>
        <v>0</v>
      </c>
      <c r="S1222" s="13" t="str">
        <f>IF(R1222&gt;=Assumptions!$B$20,"High",IF(R1222&gt;=Assumptions!$B$21,"Medium",IF(R1222&gt;=1,"Low","Clear")))</f>
        <v>Clear</v>
      </c>
      <c r="T1222" s="13" t="str">
        <f t="shared" si="99"/>
        <v/>
      </c>
    </row>
    <row r="1223" spans="1:20" x14ac:dyDescent="0.35">
      <c r="A1223" s="13" t="s">
        <v>4914</v>
      </c>
      <c r="B1223" s="13" t="s">
        <v>252</v>
      </c>
      <c r="C1223" s="13" t="s">
        <v>253</v>
      </c>
      <c r="D1223" s="13" t="s">
        <v>4915</v>
      </c>
      <c r="E1223" s="14">
        <v>46037</v>
      </c>
      <c r="F1223" s="14">
        <v>46071</v>
      </c>
      <c r="G1223" s="15">
        <v>10376.56</v>
      </c>
      <c r="H1223" s="13" t="s">
        <v>4916</v>
      </c>
      <c r="I1223" s="13" t="s">
        <v>4917</v>
      </c>
      <c r="J1223" s="13" t="s">
        <v>111</v>
      </c>
      <c r="K1223" s="13">
        <f t="shared" si="95"/>
        <v>1</v>
      </c>
      <c r="L1223" s="13">
        <f t="shared" si="96"/>
        <v>0</v>
      </c>
      <c r="M1223" s="13">
        <f>IF(AND(L1223=0,COUNTIFS($B$2:$B$1534,B1223,$G$2:$G$1534,G1223,$E$2:$E$1534,"&gt;="&amp;(E1223-Assumptions!$B$5),$E$2:$E$1534,"&lt;="&amp;(E1223+Assumptions!$B$5))&gt;1),1,0)</f>
        <v>0</v>
      </c>
      <c r="N1223" s="13">
        <f>IF(AND(G1223&gt;=Assumptions!$B$4*(1-Assumptions!$B$6),G1223&lt;Assumptions!$B$4),1,0)</f>
        <v>0</v>
      </c>
      <c r="O1223" s="13">
        <f>IF(AND(G1223&gt;=Assumptions!$B$7,MOD(G1223,Assumptions!$B$7)=0),1,0)</f>
        <v>0</v>
      </c>
      <c r="P1223" s="13">
        <f t="shared" si="97"/>
        <v>0</v>
      </c>
      <c r="Q1223" s="13">
        <f t="shared" si="98"/>
        <v>0</v>
      </c>
      <c r="R1223" s="13">
        <f>L1223*Assumptions!$B$11+M1223*Assumptions!$B$12+N1223*Assumptions!$B$13+O1223*Assumptions!$B$14+P1223*Assumptions!$B$15+Q1223*Assumptions!$B$16</f>
        <v>0</v>
      </c>
      <c r="S1223" s="13" t="str">
        <f>IF(R1223&gt;=Assumptions!$B$20,"High",IF(R1223&gt;=Assumptions!$B$21,"Medium",IF(R1223&gt;=1,"Low","Clear")))</f>
        <v>Clear</v>
      </c>
      <c r="T1223" s="13" t="str">
        <f t="shared" si="99"/>
        <v/>
      </c>
    </row>
    <row r="1224" spans="1:20" x14ac:dyDescent="0.35">
      <c r="A1224" s="13" t="s">
        <v>4918</v>
      </c>
      <c r="B1224" s="13" t="s">
        <v>131</v>
      </c>
      <c r="C1224" s="13" t="s">
        <v>132</v>
      </c>
      <c r="D1224" s="13" t="s">
        <v>4919</v>
      </c>
      <c r="E1224" s="14">
        <v>46050</v>
      </c>
      <c r="F1224" s="14">
        <v>46071</v>
      </c>
      <c r="G1224" s="15">
        <v>11371.73</v>
      </c>
      <c r="H1224" s="13" t="s">
        <v>4920</v>
      </c>
      <c r="I1224" s="13" t="s">
        <v>4921</v>
      </c>
      <c r="J1224" s="13" t="s">
        <v>98</v>
      </c>
      <c r="K1224" s="13">
        <f t="shared" si="95"/>
        <v>1</v>
      </c>
      <c r="L1224" s="13">
        <f t="shared" si="96"/>
        <v>0</v>
      </c>
      <c r="M1224" s="13">
        <f>IF(AND(L1224=0,COUNTIFS($B$2:$B$1534,B1224,$G$2:$G$1534,G1224,$E$2:$E$1534,"&gt;="&amp;(E1224-Assumptions!$B$5),$E$2:$E$1534,"&lt;="&amp;(E1224+Assumptions!$B$5))&gt;1),1,0)</f>
        <v>0</v>
      </c>
      <c r="N1224" s="13">
        <f>IF(AND(G1224&gt;=Assumptions!$B$4*(1-Assumptions!$B$6),G1224&lt;Assumptions!$B$4),1,0)</f>
        <v>0</v>
      </c>
      <c r="O1224" s="13">
        <f>IF(AND(G1224&gt;=Assumptions!$B$7,MOD(G1224,Assumptions!$B$7)=0),1,0)</f>
        <v>0</v>
      </c>
      <c r="P1224" s="13">
        <f t="shared" si="97"/>
        <v>0</v>
      </c>
      <c r="Q1224" s="13">
        <f t="shared" si="98"/>
        <v>0</v>
      </c>
      <c r="R1224" s="13">
        <f>L1224*Assumptions!$B$11+M1224*Assumptions!$B$12+N1224*Assumptions!$B$13+O1224*Assumptions!$B$14+P1224*Assumptions!$B$15+Q1224*Assumptions!$B$16</f>
        <v>0</v>
      </c>
      <c r="S1224" s="13" t="str">
        <f>IF(R1224&gt;=Assumptions!$B$20,"High",IF(R1224&gt;=Assumptions!$B$21,"Medium",IF(R1224&gt;=1,"Low","Clear")))</f>
        <v>Clear</v>
      </c>
      <c r="T1224" s="13" t="str">
        <f t="shared" si="99"/>
        <v/>
      </c>
    </row>
    <row r="1225" spans="1:20" x14ac:dyDescent="0.35">
      <c r="A1225" s="13" t="s">
        <v>4922</v>
      </c>
      <c r="B1225" s="13" t="s">
        <v>113</v>
      </c>
      <c r="C1225" s="13" t="s">
        <v>114</v>
      </c>
      <c r="D1225" s="13" t="s">
        <v>4923</v>
      </c>
      <c r="E1225" s="14">
        <v>46038</v>
      </c>
      <c r="F1225" s="14">
        <v>46071</v>
      </c>
      <c r="G1225" s="15">
        <v>21774.43</v>
      </c>
      <c r="H1225" s="13" t="s">
        <v>4924</v>
      </c>
      <c r="I1225" s="13" t="s">
        <v>4925</v>
      </c>
      <c r="J1225" s="13" t="s">
        <v>143</v>
      </c>
      <c r="K1225" s="13">
        <f t="shared" si="95"/>
        <v>2</v>
      </c>
      <c r="L1225" s="13">
        <f t="shared" si="96"/>
        <v>0</v>
      </c>
      <c r="M1225" s="13">
        <f>IF(AND(L1225=0,COUNTIFS($B$2:$B$1534,B1225,$G$2:$G$1534,G1225,$E$2:$E$1534,"&gt;="&amp;(E1225-Assumptions!$B$5),$E$2:$E$1534,"&lt;="&amp;(E1225+Assumptions!$B$5))&gt;1),1,0)</f>
        <v>0</v>
      </c>
      <c r="N1225" s="13">
        <f>IF(AND(G1225&gt;=Assumptions!$B$4*(1-Assumptions!$B$6),G1225&lt;Assumptions!$B$4),1,0)</f>
        <v>0</v>
      </c>
      <c r="O1225" s="13">
        <f>IF(AND(G1225&gt;=Assumptions!$B$7,MOD(G1225,Assumptions!$B$7)=0),1,0)</f>
        <v>0</v>
      </c>
      <c r="P1225" s="13">
        <f t="shared" si="97"/>
        <v>0</v>
      </c>
      <c r="Q1225" s="13">
        <f t="shared" si="98"/>
        <v>0</v>
      </c>
      <c r="R1225" s="13">
        <f>L1225*Assumptions!$B$11+M1225*Assumptions!$B$12+N1225*Assumptions!$B$13+O1225*Assumptions!$B$14+P1225*Assumptions!$B$15+Q1225*Assumptions!$B$16</f>
        <v>0</v>
      </c>
      <c r="S1225" s="13" t="str">
        <f>IF(R1225&gt;=Assumptions!$B$20,"High",IF(R1225&gt;=Assumptions!$B$21,"Medium",IF(R1225&gt;=1,"Low","Clear")))</f>
        <v>Clear</v>
      </c>
      <c r="T1225" s="13" t="str">
        <f t="shared" si="99"/>
        <v/>
      </c>
    </row>
    <row r="1226" spans="1:20" x14ac:dyDescent="0.35">
      <c r="A1226" s="13" t="s">
        <v>4926</v>
      </c>
      <c r="B1226" s="13" t="s">
        <v>212</v>
      </c>
      <c r="C1226" s="13" t="s">
        <v>213</v>
      </c>
      <c r="D1226" s="13" t="s">
        <v>4927</v>
      </c>
      <c r="E1226" s="14">
        <v>46034</v>
      </c>
      <c r="F1226" s="14">
        <v>46071</v>
      </c>
      <c r="G1226" s="15">
        <v>28267.05</v>
      </c>
      <c r="H1226" s="13" t="s">
        <v>4928</v>
      </c>
      <c r="I1226" s="13" t="s">
        <v>4929</v>
      </c>
      <c r="J1226" s="13" t="s">
        <v>170</v>
      </c>
      <c r="K1226" s="13">
        <f t="shared" si="95"/>
        <v>2</v>
      </c>
      <c r="L1226" s="13">
        <f t="shared" si="96"/>
        <v>0</v>
      </c>
      <c r="M1226" s="13">
        <f>IF(AND(L1226=0,COUNTIFS($B$2:$B$1534,B1226,$G$2:$G$1534,G1226,$E$2:$E$1534,"&gt;="&amp;(E1226-Assumptions!$B$5),$E$2:$E$1534,"&lt;="&amp;(E1226+Assumptions!$B$5))&gt;1),1,0)</f>
        <v>0</v>
      </c>
      <c r="N1226" s="13">
        <f>IF(AND(G1226&gt;=Assumptions!$B$4*(1-Assumptions!$B$6),G1226&lt;Assumptions!$B$4),1,0)</f>
        <v>0</v>
      </c>
      <c r="O1226" s="13">
        <f>IF(AND(G1226&gt;=Assumptions!$B$7,MOD(G1226,Assumptions!$B$7)=0),1,0)</f>
        <v>0</v>
      </c>
      <c r="P1226" s="13">
        <f t="shared" si="97"/>
        <v>0</v>
      </c>
      <c r="Q1226" s="13">
        <f t="shared" si="98"/>
        <v>0</v>
      </c>
      <c r="R1226" s="13">
        <f>L1226*Assumptions!$B$11+M1226*Assumptions!$B$12+N1226*Assumptions!$B$13+O1226*Assumptions!$B$14+P1226*Assumptions!$B$15+Q1226*Assumptions!$B$16</f>
        <v>0</v>
      </c>
      <c r="S1226" s="13" t="str">
        <f>IF(R1226&gt;=Assumptions!$B$20,"High",IF(R1226&gt;=Assumptions!$B$21,"Medium",IF(R1226&gt;=1,"Low","Clear")))</f>
        <v>Clear</v>
      </c>
      <c r="T1226" s="13" t="str">
        <f t="shared" si="99"/>
        <v/>
      </c>
    </row>
    <row r="1227" spans="1:20" x14ac:dyDescent="0.35">
      <c r="A1227" s="13" t="s">
        <v>4930</v>
      </c>
      <c r="B1227" s="13" t="s">
        <v>161</v>
      </c>
      <c r="C1227" s="13" t="s">
        <v>162</v>
      </c>
      <c r="D1227" s="13" t="s">
        <v>4800</v>
      </c>
      <c r="E1227" s="14">
        <v>46042</v>
      </c>
      <c r="F1227" s="14">
        <v>46071</v>
      </c>
      <c r="G1227" s="15">
        <v>162881.64000000001</v>
      </c>
      <c r="H1227" s="13" t="s">
        <v>4801</v>
      </c>
      <c r="I1227" s="13" t="s">
        <v>4802</v>
      </c>
      <c r="J1227" s="13" t="s">
        <v>98</v>
      </c>
      <c r="K1227" s="13">
        <f t="shared" si="95"/>
        <v>1</v>
      </c>
      <c r="L1227" s="13">
        <f t="shared" si="96"/>
        <v>1</v>
      </c>
      <c r="M1227" s="13">
        <f>IF(AND(L1227=0,COUNTIFS($B$2:$B$1534,B1227,$G$2:$G$1534,G1227,$E$2:$E$1534,"&gt;="&amp;(E1227-Assumptions!$B$5),$E$2:$E$1534,"&lt;="&amp;(E1227+Assumptions!$B$5))&gt;1),1,0)</f>
        <v>0</v>
      </c>
      <c r="N1227" s="13">
        <f>IF(AND(G1227&gt;=Assumptions!$B$4*(1-Assumptions!$B$6),G1227&lt;Assumptions!$B$4),1,0)</f>
        <v>0</v>
      </c>
      <c r="O1227" s="13">
        <f>IF(AND(G1227&gt;=Assumptions!$B$7,MOD(G1227,Assumptions!$B$7)=0),1,0)</f>
        <v>0</v>
      </c>
      <c r="P1227" s="13">
        <f t="shared" si="97"/>
        <v>0</v>
      </c>
      <c r="Q1227" s="13">
        <f t="shared" si="98"/>
        <v>0</v>
      </c>
      <c r="R1227" s="13">
        <f>L1227*Assumptions!$B$11+M1227*Assumptions!$B$12+N1227*Assumptions!$B$13+O1227*Assumptions!$B$14+P1227*Assumptions!$B$15+Q1227*Assumptions!$B$16</f>
        <v>5</v>
      </c>
      <c r="S1227" s="13" t="str">
        <f>IF(R1227&gt;=Assumptions!$B$20,"High",IF(R1227&gt;=Assumptions!$B$21,"Medium",IF(R1227&gt;=1,"Low","Clear")))</f>
        <v>High</v>
      </c>
      <c r="T1227" s="13" t="str">
        <f t="shared" si="99"/>
        <v xml:space="preserve">Duplicate invoice; </v>
      </c>
    </row>
    <row r="1228" spans="1:20" x14ac:dyDescent="0.35">
      <c r="A1228" s="13" t="s">
        <v>4931</v>
      </c>
      <c r="B1228" s="13" t="s">
        <v>476</v>
      </c>
      <c r="C1228" s="13" t="s">
        <v>477</v>
      </c>
      <c r="D1228" s="13" t="s">
        <v>4932</v>
      </c>
      <c r="E1228" s="14">
        <v>46041</v>
      </c>
      <c r="F1228" s="14">
        <v>46071</v>
      </c>
      <c r="G1228" s="15">
        <v>18325.18</v>
      </c>
      <c r="H1228" s="13" t="s">
        <v>4933</v>
      </c>
      <c r="I1228" s="13" t="s">
        <v>4934</v>
      </c>
      <c r="J1228" s="13" t="s">
        <v>143</v>
      </c>
      <c r="K1228" s="13">
        <f t="shared" si="95"/>
        <v>1</v>
      </c>
      <c r="L1228" s="13">
        <f t="shared" si="96"/>
        <v>0</v>
      </c>
      <c r="M1228" s="13">
        <f>IF(AND(L1228=0,COUNTIFS($B$2:$B$1534,B1228,$G$2:$G$1534,G1228,$E$2:$E$1534,"&gt;="&amp;(E1228-Assumptions!$B$5),$E$2:$E$1534,"&lt;="&amp;(E1228+Assumptions!$B$5))&gt;1),1,0)</f>
        <v>0</v>
      </c>
      <c r="N1228" s="13">
        <f>IF(AND(G1228&gt;=Assumptions!$B$4*(1-Assumptions!$B$6),G1228&lt;Assumptions!$B$4),1,0)</f>
        <v>0</v>
      </c>
      <c r="O1228" s="13">
        <f>IF(AND(G1228&gt;=Assumptions!$B$7,MOD(G1228,Assumptions!$B$7)=0),1,0)</f>
        <v>0</v>
      </c>
      <c r="P1228" s="13">
        <f t="shared" si="97"/>
        <v>0</v>
      </c>
      <c r="Q1228" s="13">
        <f t="shared" si="98"/>
        <v>0</v>
      </c>
      <c r="R1228" s="13">
        <f>L1228*Assumptions!$B$11+M1228*Assumptions!$B$12+N1228*Assumptions!$B$13+O1228*Assumptions!$B$14+P1228*Assumptions!$B$15+Q1228*Assumptions!$B$16</f>
        <v>0</v>
      </c>
      <c r="S1228" s="13" t="str">
        <f>IF(R1228&gt;=Assumptions!$B$20,"High",IF(R1228&gt;=Assumptions!$B$21,"Medium",IF(R1228&gt;=1,"Low","Clear")))</f>
        <v>Clear</v>
      </c>
      <c r="T1228" s="13" t="str">
        <f t="shared" si="99"/>
        <v/>
      </c>
    </row>
    <row r="1229" spans="1:20" x14ac:dyDescent="0.35">
      <c r="A1229" s="13" t="s">
        <v>4935</v>
      </c>
      <c r="B1229" s="13" t="s">
        <v>357</v>
      </c>
      <c r="C1229" s="13" t="s">
        <v>358</v>
      </c>
      <c r="D1229" s="13" t="s">
        <v>4936</v>
      </c>
      <c r="E1229" s="14">
        <v>46036</v>
      </c>
      <c r="F1229" s="14">
        <v>46071</v>
      </c>
      <c r="G1229" s="15">
        <v>36234.089999999997</v>
      </c>
      <c r="H1229" s="13" t="s">
        <v>4937</v>
      </c>
      <c r="I1229" s="13" t="s">
        <v>4938</v>
      </c>
      <c r="J1229" s="13" t="s">
        <v>98</v>
      </c>
      <c r="K1229" s="13">
        <f t="shared" si="95"/>
        <v>3</v>
      </c>
      <c r="L1229" s="13">
        <f t="shared" si="96"/>
        <v>0</v>
      </c>
      <c r="M1229" s="13">
        <f>IF(AND(L1229=0,COUNTIFS($B$2:$B$1534,B1229,$G$2:$G$1534,G1229,$E$2:$E$1534,"&gt;="&amp;(E1229-Assumptions!$B$5),$E$2:$E$1534,"&lt;="&amp;(E1229+Assumptions!$B$5))&gt;1),1,0)</f>
        <v>0</v>
      </c>
      <c r="N1229" s="13">
        <f>IF(AND(G1229&gt;=Assumptions!$B$4*(1-Assumptions!$B$6),G1229&lt;Assumptions!$B$4),1,0)</f>
        <v>0</v>
      </c>
      <c r="O1229" s="13">
        <f>IF(AND(G1229&gt;=Assumptions!$B$7,MOD(G1229,Assumptions!$B$7)=0),1,0)</f>
        <v>0</v>
      </c>
      <c r="P1229" s="13">
        <f t="shared" si="97"/>
        <v>0</v>
      </c>
      <c r="Q1229" s="13">
        <f t="shared" si="98"/>
        <v>0</v>
      </c>
      <c r="R1229" s="13">
        <f>L1229*Assumptions!$B$11+M1229*Assumptions!$B$12+N1229*Assumptions!$B$13+O1229*Assumptions!$B$14+P1229*Assumptions!$B$15+Q1229*Assumptions!$B$16</f>
        <v>0</v>
      </c>
      <c r="S1229" s="13" t="str">
        <f>IF(R1229&gt;=Assumptions!$B$20,"High",IF(R1229&gt;=Assumptions!$B$21,"Medium",IF(R1229&gt;=1,"Low","Clear")))</f>
        <v>Clear</v>
      </c>
      <c r="T1229" s="13" t="str">
        <f t="shared" si="99"/>
        <v/>
      </c>
    </row>
    <row r="1230" spans="1:20" x14ac:dyDescent="0.35">
      <c r="A1230" s="13" t="s">
        <v>4939</v>
      </c>
      <c r="B1230" s="13" t="s">
        <v>293</v>
      </c>
      <c r="C1230" s="13" t="s">
        <v>294</v>
      </c>
      <c r="D1230" s="13" t="s">
        <v>4940</v>
      </c>
      <c r="E1230" s="14">
        <v>46038</v>
      </c>
      <c r="F1230" s="14">
        <v>46073</v>
      </c>
      <c r="G1230" s="15">
        <v>130210.99</v>
      </c>
      <c r="H1230" s="13" t="s">
        <v>4941</v>
      </c>
      <c r="I1230" s="13" t="s">
        <v>4942</v>
      </c>
      <c r="J1230" s="13" t="s">
        <v>98</v>
      </c>
      <c r="K1230" s="13">
        <f t="shared" si="95"/>
        <v>1</v>
      </c>
      <c r="L1230" s="13">
        <f t="shared" si="96"/>
        <v>0</v>
      </c>
      <c r="M1230" s="13">
        <f>IF(AND(L1230=0,COUNTIFS($B$2:$B$1534,B1230,$G$2:$G$1534,G1230,$E$2:$E$1534,"&gt;="&amp;(E1230-Assumptions!$B$5),$E$2:$E$1534,"&lt;="&amp;(E1230+Assumptions!$B$5))&gt;1),1,0)</f>
        <v>0</v>
      </c>
      <c r="N1230" s="13">
        <f>IF(AND(G1230&gt;=Assumptions!$B$4*(1-Assumptions!$B$6),G1230&lt;Assumptions!$B$4),1,0)</f>
        <v>0</v>
      </c>
      <c r="O1230" s="13">
        <f>IF(AND(G1230&gt;=Assumptions!$B$7,MOD(G1230,Assumptions!$B$7)=0),1,0)</f>
        <v>0</v>
      </c>
      <c r="P1230" s="13">
        <f t="shared" si="97"/>
        <v>0</v>
      </c>
      <c r="Q1230" s="13">
        <f t="shared" si="98"/>
        <v>0</v>
      </c>
      <c r="R1230" s="13">
        <f>L1230*Assumptions!$B$11+M1230*Assumptions!$B$12+N1230*Assumptions!$B$13+O1230*Assumptions!$B$14+P1230*Assumptions!$B$15+Q1230*Assumptions!$B$16</f>
        <v>0</v>
      </c>
      <c r="S1230" s="13" t="str">
        <f>IF(R1230&gt;=Assumptions!$B$20,"High",IF(R1230&gt;=Assumptions!$B$21,"Medium",IF(R1230&gt;=1,"Low","Clear")))</f>
        <v>Clear</v>
      </c>
      <c r="T1230" s="13" t="str">
        <f t="shared" si="99"/>
        <v/>
      </c>
    </row>
    <row r="1231" spans="1:20" x14ac:dyDescent="0.35">
      <c r="A1231" s="13" t="s">
        <v>4943</v>
      </c>
      <c r="B1231" s="13" t="s">
        <v>200</v>
      </c>
      <c r="C1231" s="13" t="s">
        <v>201</v>
      </c>
      <c r="D1231" s="13" t="s">
        <v>4944</v>
      </c>
      <c r="E1231" s="14">
        <v>46045</v>
      </c>
      <c r="F1231" s="14">
        <v>46073</v>
      </c>
      <c r="G1231" s="15">
        <v>1302.48</v>
      </c>
      <c r="H1231" s="13" t="s">
        <v>4945</v>
      </c>
      <c r="I1231" s="13" t="s">
        <v>4946</v>
      </c>
      <c r="J1231" s="13" t="s">
        <v>170</v>
      </c>
      <c r="K1231" s="13">
        <f t="shared" si="95"/>
        <v>1</v>
      </c>
      <c r="L1231" s="13">
        <f t="shared" si="96"/>
        <v>0</v>
      </c>
      <c r="M1231" s="13">
        <f>IF(AND(L1231=0,COUNTIFS($B$2:$B$1534,B1231,$G$2:$G$1534,G1231,$E$2:$E$1534,"&gt;="&amp;(E1231-Assumptions!$B$5),$E$2:$E$1534,"&lt;="&amp;(E1231+Assumptions!$B$5))&gt;1),1,0)</f>
        <v>0</v>
      </c>
      <c r="N1231" s="13">
        <f>IF(AND(G1231&gt;=Assumptions!$B$4*(1-Assumptions!$B$6),G1231&lt;Assumptions!$B$4),1,0)</f>
        <v>0</v>
      </c>
      <c r="O1231" s="13">
        <f>IF(AND(G1231&gt;=Assumptions!$B$7,MOD(G1231,Assumptions!$B$7)=0),1,0)</f>
        <v>0</v>
      </c>
      <c r="P1231" s="13">
        <f t="shared" si="97"/>
        <v>0</v>
      </c>
      <c r="Q1231" s="13">
        <f t="shared" si="98"/>
        <v>0</v>
      </c>
      <c r="R1231" s="13">
        <f>L1231*Assumptions!$B$11+M1231*Assumptions!$B$12+N1231*Assumptions!$B$13+O1231*Assumptions!$B$14+P1231*Assumptions!$B$15+Q1231*Assumptions!$B$16</f>
        <v>0</v>
      </c>
      <c r="S1231" s="13" t="str">
        <f>IF(R1231&gt;=Assumptions!$B$20,"High",IF(R1231&gt;=Assumptions!$B$21,"Medium",IF(R1231&gt;=1,"Low","Clear")))</f>
        <v>Clear</v>
      </c>
      <c r="T1231" s="13" t="str">
        <f t="shared" si="99"/>
        <v/>
      </c>
    </row>
    <row r="1232" spans="1:20" x14ac:dyDescent="0.35">
      <c r="A1232" s="13" t="s">
        <v>4947</v>
      </c>
      <c r="B1232" s="13" t="s">
        <v>212</v>
      </c>
      <c r="C1232" s="13" t="s">
        <v>213</v>
      </c>
      <c r="D1232" s="13" t="s">
        <v>4948</v>
      </c>
      <c r="E1232" s="14">
        <v>46050</v>
      </c>
      <c r="F1232" s="14">
        <v>46073</v>
      </c>
      <c r="G1232" s="15">
        <v>324288.56</v>
      </c>
      <c r="H1232" s="13" t="s">
        <v>4949</v>
      </c>
      <c r="I1232" s="13" t="s">
        <v>4950</v>
      </c>
      <c r="J1232" s="13" t="s">
        <v>111</v>
      </c>
      <c r="K1232" s="13">
        <f t="shared" si="95"/>
        <v>3</v>
      </c>
      <c r="L1232" s="13">
        <f t="shared" si="96"/>
        <v>0</v>
      </c>
      <c r="M1232" s="13">
        <f>IF(AND(L1232=0,COUNTIFS($B$2:$B$1534,B1232,$G$2:$G$1534,G1232,$E$2:$E$1534,"&gt;="&amp;(E1232-Assumptions!$B$5),$E$2:$E$1534,"&lt;="&amp;(E1232+Assumptions!$B$5))&gt;1),1,0)</f>
        <v>0</v>
      </c>
      <c r="N1232" s="13">
        <f>IF(AND(G1232&gt;=Assumptions!$B$4*(1-Assumptions!$B$6),G1232&lt;Assumptions!$B$4),1,0)</f>
        <v>0</v>
      </c>
      <c r="O1232" s="13">
        <f>IF(AND(G1232&gt;=Assumptions!$B$7,MOD(G1232,Assumptions!$B$7)=0),1,0)</f>
        <v>0</v>
      </c>
      <c r="P1232" s="13">
        <f t="shared" si="97"/>
        <v>0</v>
      </c>
      <c r="Q1232" s="13">
        <f t="shared" si="98"/>
        <v>0</v>
      </c>
      <c r="R1232" s="13">
        <f>L1232*Assumptions!$B$11+M1232*Assumptions!$B$12+N1232*Assumptions!$B$13+O1232*Assumptions!$B$14+P1232*Assumptions!$B$15+Q1232*Assumptions!$B$16</f>
        <v>0</v>
      </c>
      <c r="S1232" s="13" t="str">
        <f>IF(R1232&gt;=Assumptions!$B$20,"High",IF(R1232&gt;=Assumptions!$B$21,"Medium",IF(R1232&gt;=1,"Low","Clear")))</f>
        <v>Clear</v>
      </c>
      <c r="T1232" s="13" t="str">
        <f t="shared" si="99"/>
        <v/>
      </c>
    </row>
    <row r="1233" spans="1:20" x14ac:dyDescent="0.35">
      <c r="A1233" s="13" t="s">
        <v>4951</v>
      </c>
      <c r="B1233" s="13" t="s">
        <v>329</v>
      </c>
      <c r="C1233" s="13" t="s">
        <v>330</v>
      </c>
      <c r="D1233" s="13" t="s">
        <v>4952</v>
      </c>
      <c r="E1233" s="14">
        <v>46041</v>
      </c>
      <c r="F1233" s="14">
        <v>46073</v>
      </c>
      <c r="G1233" s="15">
        <v>134430.21</v>
      </c>
      <c r="H1233" s="13" t="s">
        <v>4953</v>
      </c>
      <c r="I1233" s="13" t="s">
        <v>4954</v>
      </c>
      <c r="J1233" s="13" t="s">
        <v>111</v>
      </c>
      <c r="K1233" s="13">
        <f t="shared" si="95"/>
        <v>1</v>
      </c>
      <c r="L1233" s="13">
        <f t="shared" si="96"/>
        <v>0</v>
      </c>
      <c r="M1233" s="13">
        <f>IF(AND(L1233=0,COUNTIFS($B$2:$B$1534,B1233,$G$2:$G$1534,G1233,$E$2:$E$1534,"&gt;="&amp;(E1233-Assumptions!$B$5),$E$2:$E$1534,"&lt;="&amp;(E1233+Assumptions!$B$5))&gt;1),1,0)</f>
        <v>0</v>
      </c>
      <c r="N1233" s="13">
        <f>IF(AND(G1233&gt;=Assumptions!$B$4*(1-Assumptions!$B$6),G1233&lt;Assumptions!$B$4),1,0)</f>
        <v>0</v>
      </c>
      <c r="O1233" s="13">
        <f>IF(AND(G1233&gt;=Assumptions!$B$7,MOD(G1233,Assumptions!$B$7)=0),1,0)</f>
        <v>0</v>
      </c>
      <c r="P1233" s="13">
        <f t="shared" si="97"/>
        <v>0</v>
      </c>
      <c r="Q1233" s="13">
        <f t="shared" si="98"/>
        <v>0</v>
      </c>
      <c r="R1233" s="13">
        <f>L1233*Assumptions!$B$11+M1233*Assumptions!$B$12+N1233*Assumptions!$B$13+O1233*Assumptions!$B$14+P1233*Assumptions!$B$15+Q1233*Assumptions!$B$16</f>
        <v>0</v>
      </c>
      <c r="S1233" s="13" t="str">
        <f>IF(R1233&gt;=Assumptions!$B$20,"High",IF(R1233&gt;=Assumptions!$B$21,"Medium",IF(R1233&gt;=1,"Low","Clear")))</f>
        <v>Clear</v>
      </c>
      <c r="T1233" s="13" t="str">
        <f t="shared" si="99"/>
        <v/>
      </c>
    </row>
    <row r="1234" spans="1:20" x14ac:dyDescent="0.35">
      <c r="A1234" s="13" t="s">
        <v>4955</v>
      </c>
      <c r="B1234" s="13" t="s">
        <v>556</v>
      </c>
      <c r="C1234" s="13" t="s">
        <v>557</v>
      </c>
      <c r="D1234" s="13" t="s">
        <v>4956</v>
      </c>
      <c r="E1234" s="14">
        <v>46037</v>
      </c>
      <c r="F1234" s="14">
        <v>46073</v>
      </c>
      <c r="G1234" s="15">
        <v>8894.25</v>
      </c>
      <c r="H1234" s="13" t="s">
        <v>4957</v>
      </c>
      <c r="I1234" s="13" t="s">
        <v>4958</v>
      </c>
      <c r="J1234" s="13" t="s">
        <v>136</v>
      </c>
      <c r="K1234" s="13">
        <f t="shared" si="95"/>
        <v>8</v>
      </c>
      <c r="L1234" s="13">
        <f t="shared" si="96"/>
        <v>0</v>
      </c>
      <c r="M1234" s="13">
        <f>IF(AND(L1234=0,COUNTIFS($B$2:$B$1534,B1234,$G$2:$G$1534,G1234,$E$2:$E$1534,"&gt;="&amp;(E1234-Assumptions!$B$5),$E$2:$E$1534,"&lt;="&amp;(E1234+Assumptions!$B$5))&gt;1),1,0)</f>
        <v>0</v>
      </c>
      <c r="N1234" s="13">
        <f>IF(AND(G1234&gt;=Assumptions!$B$4*(1-Assumptions!$B$6),G1234&lt;Assumptions!$B$4),1,0)</f>
        <v>0</v>
      </c>
      <c r="O1234" s="13">
        <f>IF(AND(G1234&gt;=Assumptions!$B$7,MOD(G1234,Assumptions!$B$7)=0),1,0)</f>
        <v>0</v>
      </c>
      <c r="P1234" s="13">
        <f t="shared" si="97"/>
        <v>0</v>
      </c>
      <c r="Q1234" s="13">
        <f t="shared" si="98"/>
        <v>0</v>
      </c>
      <c r="R1234" s="13">
        <f>L1234*Assumptions!$B$11+M1234*Assumptions!$B$12+N1234*Assumptions!$B$13+O1234*Assumptions!$B$14+P1234*Assumptions!$B$15+Q1234*Assumptions!$B$16</f>
        <v>0</v>
      </c>
      <c r="S1234" s="13" t="str">
        <f>IF(R1234&gt;=Assumptions!$B$20,"High",IF(R1234&gt;=Assumptions!$B$21,"Medium",IF(R1234&gt;=1,"Low","Clear")))</f>
        <v>Clear</v>
      </c>
      <c r="T1234" s="13" t="str">
        <f t="shared" si="99"/>
        <v/>
      </c>
    </row>
    <row r="1235" spans="1:20" x14ac:dyDescent="0.35">
      <c r="A1235" s="13" t="s">
        <v>4959</v>
      </c>
      <c r="B1235" s="13" t="s">
        <v>774</v>
      </c>
      <c r="C1235" s="13" t="s">
        <v>775</v>
      </c>
      <c r="D1235" s="13" t="s">
        <v>4960</v>
      </c>
      <c r="E1235" s="14">
        <v>46038</v>
      </c>
      <c r="F1235" s="14">
        <v>46074</v>
      </c>
      <c r="G1235" s="15">
        <v>107424.89</v>
      </c>
      <c r="H1235" s="13" t="s">
        <v>4961</v>
      </c>
      <c r="I1235" s="13" t="s">
        <v>4962</v>
      </c>
      <c r="J1235" s="13" t="s">
        <v>98</v>
      </c>
      <c r="K1235" s="13">
        <f t="shared" si="95"/>
        <v>1</v>
      </c>
      <c r="L1235" s="13">
        <f t="shared" si="96"/>
        <v>0</v>
      </c>
      <c r="M1235" s="13">
        <f>IF(AND(L1235=0,COUNTIFS($B$2:$B$1534,B1235,$G$2:$G$1534,G1235,$E$2:$E$1534,"&gt;="&amp;(E1235-Assumptions!$B$5),$E$2:$E$1534,"&lt;="&amp;(E1235+Assumptions!$B$5))&gt;1),1,0)</f>
        <v>0</v>
      </c>
      <c r="N1235" s="13">
        <f>IF(AND(G1235&gt;=Assumptions!$B$4*(1-Assumptions!$B$6),G1235&lt;Assumptions!$B$4),1,0)</f>
        <v>0</v>
      </c>
      <c r="O1235" s="13">
        <f>IF(AND(G1235&gt;=Assumptions!$B$7,MOD(G1235,Assumptions!$B$7)=0),1,0)</f>
        <v>0</v>
      </c>
      <c r="P1235" s="13">
        <f t="shared" si="97"/>
        <v>0</v>
      </c>
      <c r="Q1235" s="13">
        <f t="shared" si="98"/>
        <v>1</v>
      </c>
      <c r="R1235" s="13">
        <f>L1235*Assumptions!$B$11+M1235*Assumptions!$B$12+N1235*Assumptions!$B$13+O1235*Assumptions!$B$14+P1235*Assumptions!$B$15+Q1235*Assumptions!$B$16</f>
        <v>1</v>
      </c>
      <c r="S1235" s="13" t="str">
        <f>IF(R1235&gt;=Assumptions!$B$20,"High",IF(R1235&gt;=Assumptions!$B$21,"Medium",IF(R1235&gt;=1,"Low","Clear")))</f>
        <v>Low</v>
      </c>
      <c r="T1235" s="13" t="str">
        <f t="shared" si="99"/>
        <v xml:space="preserve">Weekend payment; </v>
      </c>
    </row>
    <row r="1236" spans="1:20" x14ac:dyDescent="0.35">
      <c r="A1236" s="13" t="s">
        <v>4963</v>
      </c>
      <c r="B1236" s="13" t="s">
        <v>131</v>
      </c>
      <c r="C1236" s="13" t="s">
        <v>132</v>
      </c>
      <c r="D1236" s="13" t="s">
        <v>4964</v>
      </c>
      <c r="E1236" s="14">
        <v>46047</v>
      </c>
      <c r="F1236" s="14">
        <v>46074</v>
      </c>
      <c r="G1236" s="15">
        <v>15396.6</v>
      </c>
      <c r="H1236" s="13" t="s">
        <v>4965</v>
      </c>
      <c r="I1236" s="13" t="s">
        <v>4966</v>
      </c>
      <c r="J1236" s="13" t="s">
        <v>111</v>
      </c>
      <c r="K1236" s="13">
        <f t="shared" si="95"/>
        <v>1</v>
      </c>
      <c r="L1236" s="13">
        <f t="shared" si="96"/>
        <v>0</v>
      </c>
      <c r="M1236" s="13">
        <f>IF(AND(L1236=0,COUNTIFS($B$2:$B$1534,B1236,$G$2:$G$1534,G1236,$E$2:$E$1534,"&gt;="&amp;(E1236-Assumptions!$B$5),$E$2:$E$1534,"&lt;="&amp;(E1236+Assumptions!$B$5))&gt;1),1,0)</f>
        <v>0</v>
      </c>
      <c r="N1236" s="13">
        <f>IF(AND(G1236&gt;=Assumptions!$B$4*(1-Assumptions!$B$6),G1236&lt;Assumptions!$B$4),1,0)</f>
        <v>0</v>
      </c>
      <c r="O1236" s="13">
        <f>IF(AND(G1236&gt;=Assumptions!$B$7,MOD(G1236,Assumptions!$B$7)=0),1,0)</f>
        <v>0</v>
      </c>
      <c r="P1236" s="13">
        <f t="shared" si="97"/>
        <v>0</v>
      </c>
      <c r="Q1236" s="13">
        <f t="shared" si="98"/>
        <v>1</v>
      </c>
      <c r="R1236" s="13">
        <f>L1236*Assumptions!$B$11+M1236*Assumptions!$B$12+N1236*Assumptions!$B$13+O1236*Assumptions!$B$14+P1236*Assumptions!$B$15+Q1236*Assumptions!$B$16</f>
        <v>1</v>
      </c>
      <c r="S1236" s="13" t="str">
        <f>IF(R1236&gt;=Assumptions!$B$20,"High",IF(R1236&gt;=Assumptions!$B$21,"Medium",IF(R1236&gt;=1,"Low","Clear")))</f>
        <v>Low</v>
      </c>
      <c r="T1236" s="13" t="str">
        <f t="shared" si="99"/>
        <v xml:space="preserve">Weekend payment; </v>
      </c>
    </row>
    <row r="1237" spans="1:20" x14ac:dyDescent="0.35">
      <c r="A1237" s="13" t="s">
        <v>4967</v>
      </c>
      <c r="B1237" s="13" t="s">
        <v>176</v>
      </c>
      <c r="C1237" s="13" t="s">
        <v>177</v>
      </c>
      <c r="D1237" s="13" t="s">
        <v>4968</v>
      </c>
      <c r="E1237" s="14">
        <v>46052</v>
      </c>
      <c r="F1237" s="14">
        <v>46076</v>
      </c>
      <c r="G1237" s="15">
        <v>60070.26</v>
      </c>
      <c r="H1237" s="13" t="s">
        <v>4969</v>
      </c>
      <c r="I1237" s="13" t="s">
        <v>4970</v>
      </c>
      <c r="J1237" s="13" t="s">
        <v>143</v>
      </c>
      <c r="K1237" s="13">
        <f t="shared" si="95"/>
        <v>6</v>
      </c>
      <c r="L1237" s="13">
        <f t="shared" si="96"/>
        <v>0</v>
      </c>
      <c r="M1237" s="13">
        <f>IF(AND(L1237=0,COUNTIFS($B$2:$B$1534,B1237,$G$2:$G$1534,G1237,$E$2:$E$1534,"&gt;="&amp;(E1237-Assumptions!$B$5),$E$2:$E$1534,"&lt;="&amp;(E1237+Assumptions!$B$5))&gt;1),1,0)</f>
        <v>0</v>
      </c>
      <c r="N1237" s="13">
        <f>IF(AND(G1237&gt;=Assumptions!$B$4*(1-Assumptions!$B$6),G1237&lt;Assumptions!$B$4),1,0)</f>
        <v>0</v>
      </c>
      <c r="O1237" s="13">
        <f>IF(AND(G1237&gt;=Assumptions!$B$7,MOD(G1237,Assumptions!$B$7)=0),1,0)</f>
        <v>0</v>
      </c>
      <c r="P1237" s="13">
        <f t="shared" si="97"/>
        <v>0</v>
      </c>
      <c r="Q1237" s="13">
        <f t="shared" si="98"/>
        <v>0</v>
      </c>
      <c r="R1237" s="13">
        <f>L1237*Assumptions!$B$11+M1237*Assumptions!$B$12+N1237*Assumptions!$B$13+O1237*Assumptions!$B$14+P1237*Assumptions!$B$15+Q1237*Assumptions!$B$16</f>
        <v>0</v>
      </c>
      <c r="S1237" s="13" t="str">
        <f>IF(R1237&gt;=Assumptions!$B$20,"High",IF(R1237&gt;=Assumptions!$B$21,"Medium",IF(R1237&gt;=1,"Low","Clear")))</f>
        <v>Clear</v>
      </c>
      <c r="T1237" s="13" t="str">
        <f t="shared" si="99"/>
        <v/>
      </c>
    </row>
    <row r="1238" spans="1:20" x14ac:dyDescent="0.35">
      <c r="A1238" s="13" t="s">
        <v>4971</v>
      </c>
      <c r="B1238" s="13" t="s">
        <v>391</v>
      </c>
      <c r="C1238" s="13" t="s">
        <v>392</v>
      </c>
      <c r="D1238" s="13" t="s">
        <v>4972</v>
      </c>
      <c r="E1238" s="14">
        <v>46052</v>
      </c>
      <c r="F1238" s="14">
        <v>46076</v>
      </c>
      <c r="G1238" s="15">
        <v>106081.01</v>
      </c>
      <c r="H1238" s="13" t="s">
        <v>4973</v>
      </c>
      <c r="I1238" s="13" t="s">
        <v>4974</v>
      </c>
      <c r="J1238" s="13" t="s">
        <v>111</v>
      </c>
      <c r="K1238" s="13">
        <f t="shared" si="95"/>
        <v>1</v>
      </c>
      <c r="L1238" s="13">
        <f t="shared" si="96"/>
        <v>0</v>
      </c>
      <c r="M1238" s="13">
        <f>IF(AND(L1238=0,COUNTIFS($B$2:$B$1534,B1238,$G$2:$G$1534,G1238,$E$2:$E$1534,"&gt;="&amp;(E1238-Assumptions!$B$5),$E$2:$E$1534,"&lt;="&amp;(E1238+Assumptions!$B$5))&gt;1),1,0)</f>
        <v>0</v>
      </c>
      <c r="N1238" s="13">
        <f>IF(AND(G1238&gt;=Assumptions!$B$4*(1-Assumptions!$B$6),G1238&lt;Assumptions!$B$4),1,0)</f>
        <v>0</v>
      </c>
      <c r="O1238" s="13">
        <f>IF(AND(G1238&gt;=Assumptions!$B$7,MOD(G1238,Assumptions!$B$7)=0),1,0)</f>
        <v>0</v>
      </c>
      <c r="P1238" s="13">
        <f t="shared" si="97"/>
        <v>0</v>
      </c>
      <c r="Q1238" s="13">
        <f t="shared" si="98"/>
        <v>0</v>
      </c>
      <c r="R1238" s="13">
        <f>L1238*Assumptions!$B$11+M1238*Assumptions!$B$12+N1238*Assumptions!$B$13+O1238*Assumptions!$B$14+P1238*Assumptions!$B$15+Q1238*Assumptions!$B$16</f>
        <v>0</v>
      </c>
      <c r="S1238" s="13" t="str">
        <f>IF(R1238&gt;=Assumptions!$B$20,"High",IF(R1238&gt;=Assumptions!$B$21,"Medium",IF(R1238&gt;=1,"Low","Clear")))</f>
        <v>Clear</v>
      </c>
      <c r="T1238" s="13" t="str">
        <f t="shared" si="99"/>
        <v/>
      </c>
    </row>
    <row r="1239" spans="1:20" x14ac:dyDescent="0.35">
      <c r="A1239" s="13" t="s">
        <v>4975</v>
      </c>
      <c r="B1239" s="13" t="s">
        <v>670</v>
      </c>
      <c r="C1239" s="13" t="s">
        <v>671</v>
      </c>
      <c r="D1239" s="13" t="s">
        <v>4976</v>
      </c>
      <c r="E1239" s="14">
        <v>46039</v>
      </c>
      <c r="F1239" s="14">
        <v>46076</v>
      </c>
      <c r="G1239" s="15">
        <v>95551.12</v>
      </c>
      <c r="H1239" s="13" t="s">
        <v>4977</v>
      </c>
      <c r="I1239" s="13" t="s">
        <v>4978</v>
      </c>
      <c r="J1239" s="13" t="s">
        <v>91</v>
      </c>
      <c r="K1239" s="13">
        <f t="shared" si="95"/>
        <v>9</v>
      </c>
      <c r="L1239" s="13">
        <f t="shared" si="96"/>
        <v>0</v>
      </c>
      <c r="M1239" s="13">
        <f>IF(AND(L1239=0,COUNTIFS($B$2:$B$1534,B1239,$G$2:$G$1534,G1239,$E$2:$E$1534,"&gt;="&amp;(E1239-Assumptions!$B$5),$E$2:$E$1534,"&lt;="&amp;(E1239+Assumptions!$B$5))&gt;1),1,0)</f>
        <v>0</v>
      </c>
      <c r="N1239" s="13">
        <f>IF(AND(G1239&gt;=Assumptions!$B$4*(1-Assumptions!$B$6),G1239&lt;Assumptions!$B$4),1,0)</f>
        <v>0</v>
      </c>
      <c r="O1239" s="13">
        <f>IF(AND(G1239&gt;=Assumptions!$B$7,MOD(G1239,Assumptions!$B$7)=0),1,0)</f>
        <v>0</v>
      </c>
      <c r="P1239" s="13">
        <f t="shared" si="97"/>
        <v>0</v>
      </c>
      <c r="Q1239" s="13">
        <f t="shared" si="98"/>
        <v>0</v>
      </c>
      <c r="R1239" s="13">
        <f>L1239*Assumptions!$B$11+M1239*Assumptions!$B$12+N1239*Assumptions!$B$13+O1239*Assumptions!$B$14+P1239*Assumptions!$B$15+Q1239*Assumptions!$B$16</f>
        <v>0</v>
      </c>
      <c r="S1239" s="13" t="str">
        <f>IF(R1239&gt;=Assumptions!$B$20,"High",IF(R1239&gt;=Assumptions!$B$21,"Medium",IF(R1239&gt;=1,"Low","Clear")))</f>
        <v>Clear</v>
      </c>
      <c r="T1239" s="13" t="str">
        <f t="shared" si="99"/>
        <v/>
      </c>
    </row>
    <row r="1240" spans="1:20" x14ac:dyDescent="0.35">
      <c r="A1240" s="13" t="s">
        <v>4979</v>
      </c>
      <c r="B1240" s="13" t="s">
        <v>200</v>
      </c>
      <c r="C1240" s="13" t="s">
        <v>201</v>
      </c>
      <c r="D1240" s="13" t="s">
        <v>4980</v>
      </c>
      <c r="E1240" s="14">
        <v>46037</v>
      </c>
      <c r="F1240" s="14">
        <v>46076</v>
      </c>
      <c r="G1240" s="15">
        <v>95113.01</v>
      </c>
      <c r="H1240" s="13" t="s">
        <v>4981</v>
      </c>
      <c r="I1240" s="13" t="s">
        <v>4982</v>
      </c>
      <c r="J1240" s="13" t="s">
        <v>170</v>
      </c>
      <c r="K1240" s="13">
        <f t="shared" si="95"/>
        <v>9</v>
      </c>
      <c r="L1240" s="13">
        <f t="shared" si="96"/>
        <v>1</v>
      </c>
      <c r="M1240" s="13">
        <f>IF(AND(L1240=0,COUNTIFS($B$2:$B$1534,B1240,$G$2:$G$1534,G1240,$E$2:$E$1534,"&gt;="&amp;(E1240-Assumptions!$B$5),$E$2:$E$1534,"&lt;="&amp;(E1240+Assumptions!$B$5))&gt;1),1,0)</f>
        <v>0</v>
      </c>
      <c r="N1240" s="13">
        <f>IF(AND(G1240&gt;=Assumptions!$B$4*(1-Assumptions!$B$6),G1240&lt;Assumptions!$B$4),1,0)</f>
        <v>0</v>
      </c>
      <c r="O1240" s="13">
        <f>IF(AND(G1240&gt;=Assumptions!$B$7,MOD(G1240,Assumptions!$B$7)=0),1,0)</f>
        <v>0</v>
      </c>
      <c r="P1240" s="13">
        <f t="shared" si="97"/>
        <v>0</v>
      </c>
      <c r="Q1240" s="13">
        <f t="shared" si="98"/>
        <v>0</v>
      </c>
      <c r="R1240" s="13">
        <f>L1240*Assumptions!$B$11+M1240*Assumptions!$B$12+N1240*Assumptions!$B$13+O1240*Assumptions!$B$14+P1240*Assumptions!$B$15+Q1240*Assumptions!$B$16</f>
        <v>5</v>
      </c>
      <c r="S1240" s="13" t="str">
        <f>IF(R1240&gt;=Assumptions!$B$20,"High",IF(R1240&gt;=Assumptions!$B$21,"Medium",IF(R1240&gt;=1,"Low","Clear")))</f>
        <v>High</v>
      </c>
      <c r="T1240" s="13" t="str">
        <f t="shared" si="99"/>
        <v xml:space="preserve">Duplicate invoice; </v>
      </c>
    </row>
    <row r="1241" spans="1:20" x14ac:dyDescent="0.35">
      <c r="A1241" s="13" t="s">
        <v>4983</v>
      </c>
      <c r="B1241" s="13" t="s">
        <v>131</v>
      </c>
      <c r="C1241" s="13" t="s">
        <v>132</v>
      </c>
      <c r="D1241" s="13" t="s">
        <v>4984</v>
      </c>
      <c r="E1241" s="14">
        <v>46044</v>
      </c>
      <c r="F1241" s="14">
        <v>46076</v>
      </c>
      <c r="G1241" s="15">
        <v>11392.26</v>
      </c>
      <c r="H1241" s="13" t="s">
        <v>4985</v>
      </c>
      <c r="I1241" s="13" t="s">
        <v>4986</v>
      </c>
      <c r="J1241" s="13" t="s">
        <v>143</v>
      </c>
      <c r="K1241" s="13">
        <f t="shared" si="95"/>
        <v>1</v>
      </c>
      <c r="L1241" s="13">
        <f t="shared" si="96"/>
        <v>0</v>
      </c>
      <c r="M1241" s="13">
        <f>IF(AND(L1241=0,COUNTIFS($B$2:$B$1534,B1241,$G$2:$G$1534,G1241,$E$2:$E$1534,"&gt;="&amp;(E1241-Assumptions!$B$5),$E$2:$E$1534,"&lt;="&amp;(E1241+Assumptions!$B$5))&gt;1),1,0)</f>
        <v>0</v>
      </c>
      <c r="N1241" s="13">
        <f>IF(AND(G1241&gt;=Assumptions!$B$4*(1-Assumptions!$B$6),G1241&lt;Assumptions!$B$4),1,0)</f>
        <v>0</v>
      </c>
      <c r="O1241" s="13">
        <f>IF(AND(G1241&gt;=Assumptions!$B$7,MOD(G1241,Assumptions!$B$7)=0),1,0)</f>
        <v>0</v>
      </c>
      <c r="P1241" s="13">
        <f t="shared" si="97"/>
        <v>0</v>
      </c>
      <c r="Q1241" s="13">
        <f t="shared" si="98"/>
        <v>0</v>
      </c>
      <c r="R1241" s="13">
        <f>L1241*Assumptions!$B$11+M1241*Assumptions!$B$12+N1241*Assumptions!$B$13+O1241*Assumptions!$B$14+P1241*Assumptions!$B$15+Q1241*Assumptions!$B$16</f>
        <v>0</v>
      </c>
      <c r="S1241" s="13" t="str">
        <f>IF(R1241&gt;=Assumptions!$B$20,"High",IF(R1241&gt;=Assumptions!$B$21,"Medium",IF(R1241&gt;=1,"Low","Clear")))</f>
        <v>Clear</v>
      </c>
      <c r="T1241" s="13" t="str">
        <f t="shared" si="99"/>
        <v/>
      </c>
    </row>
    <row r="1242" spans="1:20" x14ac:dyDescent="0.35">
      <c r="A1242" s="13" t="s">
        <v>4987</v>
      </c>
      <c r="B1242" s="13" t="s">
        <v>113</v>
      </c>
      <c r="C1242" s="13" t="s">
        <v>114</v>
      </c>
      <c r="D1242" s="13" t="s">
        <v>4988</v>
      </c>
      <c r="E1242" s="14">
        <v>46035</v>
      </c>
      <c r="F1242" s="14">
        <v>46076</v>
      </c>
      <c r="G1242" s="15">
        <v>2351.5</v>
      </c>
      <c r="H1242" s="13" t="s">
        <v>4989</v>
      </c>
      <c r="I1242" s="13" t="s">
        <v>4990</v>
      </c>
      <c r="J1242" s="13" t="s">
        <v>143</v>
      </c>
      <c r="K1242" s="13">
        <f t="shared" si="95"/>
        <v>2</v>
      </c>
      <c r="L1242" s="13">
        <f t="shared" si="96"/>
        <v>0</v>
      </c>
      <c r="M1242" s="13">
        <f>IF(AND(L1242=0,COUNTIFS($B$2:$B$1534,B1242,$G$2:$G$1534,G1242,$E$2:$E$1534,"&gt;="&amp;(E1242-Assumptions!$B$5),$E$2:$E$1534,"&lt;="&amp;(E1242+Assumptions!$B$5))&gt;1),1,0)</f>
        <v>0</v>
      </c>
      <c r="N1242" s="13">
        <f>IF(AND(G1242&gt;=Assumptions!$B$4*(1-Assumptions!$B$6),G1242&lt;Assumptions!$B$4),1,0)</f>
        <v>0</v>
      </c>
      <c r="O1242" s="13">
        <f>IF(AND(G1242&gt;=Assumptions!$B$7,MOD(G1242,Assumptions!$B$7)=0),1,0)</f>
        <v>0</v>
      </c>
      <c r="P1242" s="13">
        <f t="shared" si="97"/>
        <v>0</v>
      </c>
      <c r="Q1242" s="13">
        <f t="shared" si="98"/>
        <v>0</v>
      </c>
      <c r="R1242" s="13">
        <f>L1242*Assumptions!$B$11+M1242*Assumptions!$B$12+N1242*Assumptions!$B$13+O1242*Assumptions!$B$14+P1242*Assumptions!$B$15+Q1242*Assumptions!$B$16</f>
        <v>0</v>
      </c>
      <c r="S1242" s="13" t="str">
        <f>IF(R1242&gt;=Assumptions!$B$20,"High",IF(R1242&gt;=Assumptions!$B$21,"Medium",IF(R1242&gt;=1,"Low","Clear")))</f>
        <v>Clear</v>
      </c>
      <c r="T1242" s="13" t="str">
        <f t="shared" si="99"/>
        <v/>
      </c>
    </row>
    <row r="1243" spans="1:20" x14ac:dyDescent="0.35">
      <c r="A1243" s="13" t="s">
        <v>4991</v>
      </c>
      <c r="B1243" s="13" t="s">
        <v>212</v>
      </c>
      <c r="C1243" s="13" t="s">
        <v>213</v>
      </c>
      <c r="D1243" s="13" t="s">
        <v>4992</v>
      </c>
      <c r="E1243" s="14">
        <v>46035</v>
      </c>
      <c r="F1243" s="14">
        <v>46076</v>
      </c>
      <c r="G1243" s="15">
        <v>60439.05</v>
      </c>
      <c r="H1243" s="13" t="s">
        <v>4993</v>
      </c>
      <c r="I1243" s="13" t="s">
        <v>4994</v>
      </c>
      <c r="J1243" s="13" t="s">
        <v>136</v>
      </c>
      <c r="K1243" s="13">
        <f t="shared" si="95"/>
        <v>6</v>
      </c>
      <c r="L1243" s="13">
        <f t="shared" si="96"/>
        <v>0</v>
      </c>
      <c r="M1243" s="13">
        <f>IF(AND(L1243=0,COUNTIFS($B$2:$B$1534,B1243,$G$2:$G$1534,G1243,$E$2:$E$1534,"&gt;="&amp;(E1243-Assumptions!$B$5),$E$2:$E$1534,"&lt;="&amp;(E1243+Assumptions!$B$5))&gt;1),1,0)</f>
        <v>0</v>
      </c>
      <c r="N1243" s="13">
        <f>IF(AND(G1243&gt;=Assumptions!$B$4*(1-Assumptions!$B$6),G1243&lt;Assumptions!$B$4),1,0)</f>
        <v>0</v>
      </c>
      <c r="O1243" s="13">
        <f>IF(AND(G1243&gt;=Assumptions!$B$7,MOD(G1243,Assumptions!$B$7)=0),1,0)</f>
        <v>0</v>
      </c>
      <c r="P1243" s="13">
        <f t="shared" si="97"/>
        <v>0</v>
      </c>
      <c r="Q1243" s="13">
        <f t="shared" si="98"/>
        <v>0</v>
      </c>
      <c r="R1243" s="13">
        <f>L1243*Assumptions!$B$11+M1243*Assumptions!$B$12+N1243*Assumptions!$B$13+O1243*Assumptions!$B$14+P1243*Assumptions!$B$15+Q1243*Assumptions!$B$16</f>
        <v>0</v>
      </c>
      <c r="S1243" s="13" t="str">
        <f>IF(R1243&gt;=Assumptions!$B$20,"High",IF(R1243&gt;=Assumptions!$B$21,"Medium",IF(R1243&gt;=1,"Low","Clear")))</f>
        <v>Clear</v>
      </c>
      <c r="T1243" s="13" t="str">
        <f t="shared" si="99"/>
        <v/>
      </c>
    </row>
    <row r="1244" spans="1:20" x14ac:dyDescent="0.35">
      <c r="A1244" s="13" t="s">
        <v>4995</v>
      </c>
      <c r="B1244" s="13" t="s">
        <v>476</v>
      </c>
      <c r="C1244" s="13" t="s">
        <v>477</v>
      </c>
      <c r="D1244" s="13" t="s">
        <v>4996</v>
      </c>
      <c r="E1244" s="14">
        <v>46035</v>
      </c>
      <c r="F1244" s="14">
        <v>46076</v>
      </c>
      <c r="G1244" s="15">
        <v>1062.7</v>
      </c>
      <c r="H1244" s="13" t="s">
        <v>4997</v>
      </c>
      <c r="I1244" s="13" t="s">
        <v>4998</v>
      </c>
      <c r="J1244" s="13" t="s">
        <v>98</v>
      </c>
      <c r="K1244" s="13">
        <f t="shared" si="95"/>
        <v>1</v>
      </c>
      <c r="L1244" s="13">
        <f t="shared" si="96"/>
        <v>0</v>
      </c>
      <c r="M1244" s="13">
        <f>IF(AND(L1244=0,COUNTIFS($B$2:$B$1534,B1244,$G$2:$G$1534,G1244,$E$2:$E$1534,"&gt;="&amp;(E1244-Assumptions!$B$5),$E$2:$E$1534,"&lt;="&amp;(E1244+Assumptions!$B$5))&gt;1),1,0)</f>
        <v>0</v>
      </c>
      <c r="N1244" s="13">
        <f>IF(AND(G1244&gt;=Assumptions!$B$4*(1-Assumptions!$B$6),G1244&lt;Assumptions!$B$4),1,0)</f>
        <v>0</v>
      </c>
      <c r="O1244" s="13">
        <f>IF(AND(G1244&gt;=Assumptions!$B$7,MOD(G1244,Assumptions!$B$7)=0),1,0)</f>
        <v>0</v>
      </c>
      <c r="P1244" s="13">
        <f t="shared" si="97"/>
        <v>0</v>
      </c>
      <c r="Q1244" s="13">
        <f t="shared" si="98"/>
        <v>0</v>
      </c>
      <c r="R1244" s="13">
        <f>L1244*Assumptions!$B$11+M1244*Assumptions!$B$12+N1244*Assumptions!$B$13+O1244*Assumptions!$B$14+P1244*Assumptions!$B$15+Q1244*Assumptions!$B$16</f>
        <v>0</v>
      </c>
      <c r="S1244" s="13" t="str">
        <f>IF(R1244&gt;=Assumptions!$B$20,"High",IF(R1244&gt;=Assumptions!$B$21,"Medium",IF(R1244&gt;=1,"Low","Clear")))</f>
        <v>Clear</v>
      </c>
      <c r="T1244" s="13" t="str">
        <f t="shared" si="99"/>
        <v/>
      </c>
    </row>
    <row r="1245" spans="1:20" x14ac:dyDescent="0.35">
      <c r="A1245" s="13" t="s">
        <v>4999</v>
      </c>
      <c r="B1245" s="13" t="s">
        <v>206</v>
      </c>
      <c r="C1245" s="13" t="s">
        <v>207</v>
      </c>
      <c r="D1245" s="13" t="s">
        <v>5000</v>
      </c>
      <c r="E1245" s="14">
        <v>46038</v>
      </c>
      <c r="F1245" s="14">
        <v>46077</v>
      </c>
      <c r="G1245" s="15">
        <v>1798.34</v>
      </c>
      <c r="H1245" s="13" t="s">
        <v>5001</v>
      </c>
      <c r="I1245" s="13" t="s">
        <v>5002</v>
      </c>
      <c r="J1245" s="13" t="s">
        <v>143</v>
      </c>
      <c r="K1245" s="13">
        <f t="shared" si="95"/>
        <v>1</v>
      </c>
      <c r="L1245" s="13">
        <f t="shared" si="96"/>
        <v>0</v>
      </c>
      <c r="M1245" s="13">
        <f>IF(AND(L1245=0,COUNTIFS($B$2:$B$1534,B1245,$G$2:$G$1534,G1245,$E$2:$E$1534,"&gt;="&amp;(E1245-Assumptions!$B$5),$E$2:$E$1534,"&lt;="&amp;(E1245+Assumptions!$B$5))&gt;1),1,0)</f>
        <v>0</v>
      </c>
      <c r="N1245" s="13">
        <f>IF(AND(G1245&gt;=Assumptions!$B$4*(1-Assumptions!$B$6),G1245&lt;Assumptions!$B$4),1,0)</f>
        <v>0</v>
      </c>
      <c r="O1245" s="13">
        <f>IF(AND(G1245&gt;=Assumptions!$B$7,MOD(G1245,Assumptions!$B$7)=0),1,0)</f>
        <v>0</v>
      </c>
      <c r="P1245" s="13">
        <f t="shared" si="97"/>
        <v>0</v>
      </c>
      <c r="Q1245" s="13">
        <f t="shared" si="98"/>
        <v>0</v>
      </c>
      <c r="R1245" s="13">
        <f>L1245*Assumptions!$B$11+M1245*Assumptions!$B$12+N1245*Assumptions!$B$13+O1245*Assumptions!$B$14+P1245*Assumptions!$B$15+Q1245*Assumptions!$B$16</f>
        <v>0</v>
      </c>
      <c r="S1245" s="13" t="str">
        <f>IF(R1245&gt;=Assumptions!$B$20,"High",IF(R1245&gt;=Assumptions!$B$21,"Medium",IF(R1245&gt;=1,"Low","Clear")))</f>
        <v>Clear</v>
      </c>
      <c r="T1245" s="13" t="str">
        <f t="shared" si="99"/>
        <v/>
      </c>
    </row>
    <row r="1246" spans="1:20" x14ac:dyDescent="0.35">
      <c r="A1246" s="13" t="s">
        <v>5003</v>
      </c>
      <c r="B1246" s="13" t="s">
        <v>556</v>
      </c>
      <c r="C1246" s="13" t="s">
        <v>557</v>
      </c>
      <c r="D1246" s="13" t="s">
        <v>5004</v>
      </c>
      <c r="E1246" s="14">
        <v>46037</v>
      </c>
      <c r="F1246" s="14">
        <v>46077</v>
      </c>
      <c r="G1246" s="15">
        <v>99211.41</v>
      </c>
      <c r="H1246" s="13" t="s">
        <v>5005</v>
      </c>
      <c r="I1246" s="13" t="s">
        <v>5006</v>
      </c>
      <c r="J1246" s="13" t="s">
        <v>170</v>
      </c>
      <c r="K1246" s="13">
        <f t="shared" si="95"/>
        <v>9</v>
      </c>
      <c r="L1246" s="13">
        <f t="shared" si="96"/>
        <v>0</v>
      </c>
      <c r="M1246" s="13">
        <f>IF(AND(L1246=0,COUNTIFS($B$2:$B$1534,B1246,$G$2:$G$1534,G1246,$E$2:$E$1534,"&gt;="&amp;(E1246-Assumptions!$B$5),$E$2:$E$1534,"&lt;="&amp;(E1246+Assumptions!$B$5))&gt;1),1,0)</f>
        <v>0</v>
      </c>
      <c r="N1246" s="13">
        <f>IF(AND(G1246&gt;=Assumptions!$B$4*(1-Assumptions!$B$6),G1246&lt;Assumptions!$B$4),1,0)</f>
        <v>0</v>
      </c>
      <c r="O1246" s="13">
        <f>IF(AND(G1246&gt;=Assumptions!$B$7,MOD(G1246,Assumptions!$B$7)=0),1,0)</f>
        <v>0</v>
      </c>
      <c r="P1246" s="13">
        <f t="shared" si="97"/>
        <v>0</v>
      </c>
      <c r="Q1246" s="13">
        <f t="shared" si="98"/>
        <v>0</v>
      </c>
      <c r="R1246" s="13">
        <f>L1246*Assumptions!$B$11+M1246*Assumptions!$B$12+N1246*Assumptions!$B$13+O1246*Assumptions!$B$14+P1246*Assumptions!$B$15+Q1246*Assumptions!$B$16</f>
        <v>0</v>
      </c>
      <c r="S1246" s="13" t="str">
        <f>IF(R1246&gt;=Assumptions!$B$20,"High",IF(R1246&gt;=Assumptions!$B$21,"Medium",IF(R1246&gt;=1,"Low","Clear")))</f>
        <v>Clear</v>
      </c>
      <c r="T1246" s="13" t="str">
        <f t="shared" si="99"/>
        <v/>
      </c>
    </row>
    <row r="1247" spans="1:20" x14ac:dyDescent="0.35">
      <c r="A1247" s="13" t="s">
        <v>5007</v>
      </c>
      <c r="B1247" s="13" t="s">
        <v>182</v>
      </c>
      <c r="C1247" s="13" t="s">
        <v>183</v>
      </c>
      <c r="D1247" s="13" t="s">
        <v>5008</v>
      </c>
      <c r="E1247" s="14">
        <v>46051</v>
      </c>
      <c r="F1247" s="14">
        <v>46078</v>
      </c>
      <c r="G1247" s="15">
        <v>29356.05</v>
      </c>
      <c r="H1247" s="13" t="s">
        <v>5009</v>
      </c>
      <c r="I1247" s="13" t="s">
        <v>5010</v>
      </c>
      <c r="J1247" s="13" t="s">
        <v>136</v>
      </c>
      <c r="K1247" s="13">
        <f t="shared" si="95"/>
        <v>2</v>
      </c>
      <c r="L1247" s="13">
        <f t="shared" si="96"/>
        <v>0</v>
      </c>
      <c r="M1247" s="13">
        <f>IF(AND(L1247=0,COUNTIFS($B$2:$B$1534,B1247,$G$2:$G$1534,G1247,$E$2:$E$1534,"&gt;="&amp;(E1247-Assumptions!$B$5),$E$2:$E$1534,"&lt;="&amp;(E1247+Assumptions!$B$5))&gt;1),1,0)</f>
        <v>0</v>
      </c>
      <c r="N1247" s="13">
        <f>IF(AND(G1247&gt;=Assumptions!$B$4*(1-Assumptions!$B$6),G1247&lt;Assumptions!$B$4),1,0)</f>
        <v>0</v>
      </c>
      <c r="O1247" s="13">
        <f>IF(AND(G1247&gt;=Assumptions!$B$7,MOD(G1247,Assumptions!$B$7)=0),1,0)</f>
        <v>0</v>
      </c>
      <c r="P1247" s="13">
        <f t="shared" si="97"/>
        <v>0</v>
      </c>
      <c r="Q1247" s="13">
        <f t="shared" si="98"/>
        <v>0</v>
      </c>
      <c r="R1247" s="13">
        <f>L1247*Assumptions!$B$11+M1247*Assumptions!$B$12+N1247*Assumptions!$B$13+O1247*Assumptions!$B$14+P1247*Assumptions!$B$15+Q1247*Assumptions!$B$16</f>
        <v>0</v>
      </c>
      <c r="S1247" s="13" t="str">
        <f>IF(R1247&gt;=Assumptions!$B$20,"High",IF(R1247&gt;=Assumptions!$B$21,"Medium",IF(R1247&gt;=1,"Low","Clear")))</f>
        <v>Clear</v>
      </c>
      <c r="T1247" s="13" t="str">
        <f t="shared" si="99"/>
        <v/>
      </c>
    </row>
    <row r="1248" spans="1:20" x14ac:dyDescent="0.35">
      <c r="A1248" s="13" t="s">
        <v>5011</v>
      </c>
      <c r="B1248" s="13" t="s">
        <v>670</v>
      </c>
      <c r="C1248" s="13" t="s">
        <v>671</v>
      </c>
      <c r="D1248" s="13" t="s">
        <v>5012</v>
      </c>
      <c r="E1248" s="14">
        <v>46041</v>
      </c>
      <c r="F1248" s="14">
        <v>46078</v>
      </c>
      <c r="G1248" s="15">
        <v>13774.71</v>
      </c>
      <c r="H1248" s="13" t="s">
        <v>5013</v>
      </c>
      <c r="I1248" s="13" t="s">
        <v>5014</v>
      </c>
      <c r="J1248" s="13" t="s">
        <v>143</v>
      </c>
      <c r="K1248" s="13">
        <f t="shared" si="95"/>
        <v>1</v>
      </c>
      <c r="L1248" s="13">
        <f t="shared" si="96"/>
        <v>0</v>
      </c>
      <c r="M1248" s="13">
        <f>IF(AND(L1248=0,COUNTIFS($B$2:$B$1534,B1248,$G$2:$G$1534,G1248,$E$2:$E$1534,"&gt;="&amp;(E1248-Assumptions!$B$5),$E$2:$E$1534,"&lt;="&amp;(E1248+Assumptions!$B$5))&gt;1),1,0)</f>
        <v>0</v>
      </c>
      <c r="N1248" s="13">
        <f>IF(AND(G1248&gt;=Assumptions!$B$4*(1-Assumptions!$B$6),G1248&lt;Assumptions!$B$4),1,0)</f>
        <v>0</v>
      </c>
      <c r="O1248" s="13">
        <f>IF(AND(G1248&gt;=Assumptions!$B$7,MOD(G1248,Assumptions!$B$7)=0),1,0)</f>
        <v>0</v>
      </c>
      <c r="P1248" s="13">
        <f t="shared" si="97"/>
        <v>0</v>
      </c>
      <c r="Q1248" s="13">
        <f t="shared" si="98"/>
        <v>0</v>
      </c>
      <c r="R1248" s="13">
        <f>L1248*Assumptions!$B$11+M1248*Assumptions!$B$12+N1248*Assumptions!$B$13+O1248*Assumptions!$B$14+P1248*Assumptions!$B$15+Q1248*Assumptions!$B$16</f>
        <v>0</v>
      </c>
      <c r="S1248" s="13" t="str">
        <f>IF(R1248&gt;=Assumptions!$B$20,"High",IF(R1248&gt;=Assumptions!$B$21,"Medium",IF(R1248&gt;=1,"Low","Clear")))</f>
        <v>Clear</v>
      </c>
      <c r="T1248" s="13" t="str">
        <f t="shared" si="99"/>
        <v/>
      </c>
    </row>
    <row r="1249" spans="1:20" x14ac:dyDescent="0.35">
      <c r="A1249" s="13" t="s">
        <v>5015</v>
      </c>
      <c r="B1249" s="13" t="s">
        <v>498</v>
      </c>
      <c r="C1249" s="13" t="s">
        <v>499</v>
      </c>
      <c r="D1249" s="13" t="s">
        <v>5016</v>
      </c>
      <c r="E1249" s="14">
        <v>46040</v>
      </c>
      <c r="F1249" s="14">
        <v>46078</v>
      </c>
      <c r="G1249" s="15">
        <v>26182.62</v>
      </c>
      <c r="H1249" s="13" t="s">
        <v>5017</v>
      </c>
      <c r="I1249" s="13" t="s">
        <v>5018</v>
      </c>
      <c r="J1249" s="13" t="s">
        <v>143</v>
      </c>
      <c r="K1249" s="13">
        <f t="shared" si="95"/>
        <v>2</v>
      </c>
      <c r="L1249" s="13">
        <f t="shared" si="96"/>
        <v>0</v>
      </c>
      <c r="M1249" s="13">
        <f>IF(AND(L1249=0,COUNTIFS($B$2:$B$1534,B1249,$G$2:$G$1534,G1249,$E$2:$E$1534,"&gt;="&amp;(E1249-Assumptions!$B$5),$E$2:$E$1534,"&lt;="&amp;(E1249+Assumptions!$B$5))&gt;1),1,0)</f>
        <v>0</v>
      </c>
      <c r="N1249" s="13">
        <f>IF(AND(G1249&gt;=Assumptions!$B$4*(1-Assumptions!$B$6),G1249&lt;Assumptions!$B$4),1,0)</f>
        <v>0</v>
      </c>
      <c r="O1249" s="13">
        <f>IF(AND(G1249&gt;=Assumptions!$B$7,MOD(G1249,Assumptions!$B$7)=0),1,0)</f>
        <v>0</v>
      </c>
      <c r="P1249" s="13">
        <f t="shared" si="97"/>
        <v>0</v>
      </c>
      <c r="Q1249" s="13">
        <f t="shared" si="98"/>
        <v>0</v>
      </c>
      <c r="R1249" s="13">
        <f>L1249*Assumptions!$B$11+M1249*Assumptions!$B$12+N1249*Assumptions!$B$13+O1249*Assumptions!$B$14+P1249*Assumptions!$B$15+Q1249*Assumptions!$B$16</f>
        <v>0</v>
      </c>
      <c r="S1249" s="13" t="str">
        <f>IF(R1249&gt;=Assumptions!$B$20,"High",IF(R1249&gt;=Assumptions!$B$21,"Medium",IF(R1249&gt;=1,"Low","Clear")))</f>
        <v>Clear</v>
      </c>
      <c r="T1249" s="13" t="str">
        <f t="shared" si="99"/>
        <v/>
      </c>
    </row>
    <row r="1250" spans="1:20" x14ac:dyDescent="0.35">
      <c r="A1250" s="13" t="s">
        <v>5019</v>
      </c>
      <c r="B1250" s="13" t="s">
        <v>125</v>
      </c>
      <c r="C1250" s="13" t="s">
        <v>126</v>
      </c>
      <c r="D1250" s="13" t="s">
        <v>5020</v>
      </c>
      <c r="E1250" s="14">
        <v>46042</v>
      </c>
      <c r="F1250" s="14">
        <v>46078</v>
      </c>
      <c r="G1250" s="15">
        <v>1863.15</v>
      </c>
      <c r="H1250" s="13" t="s">
        <v>5021</v>
      </c>
      <c r="I1250" s="13" t="s">
        <v>5022</v>
      </c>
      <c r="J1250" s="13" t="s">
        <v>98</v>
      </c>
      <c r="K1250" s="13">
        <f t="shared" si="95"/>
        <v>1</v>
      </c>
      <c r="L1250" s="13">
        <f t="shared" si="96"/>
        <v>0</v>
      </c>
      <c r="M1250" s="13">
        <f>IF(AND(L1250=0,COUNTIFS($B$2:$B$1534,B1250,$G$2:$G$1534,G1250,$E$2:$E$1534,"&gt;="&amp;(E1250-Assumptions!$B$5),$E$2:$E$1534,"&lt;="&amp;(E1250+Assumptions!$B$5))&gt;1),1,0)</f>
        <v>0</v>
      </c>
      <c r="N1250" s="13">
        <f>IF(AND(G1250&gt;=Assumptions!$B$4*(1-Assumptions!$B$6),G1250&lt;Assumptions!$B$4),1,0)</f>
        <v>0</v>
      </c>
      <c r="O1250" s="13">
        <f>IF(AND(G1250&gt;=Assumptions!$B$7,MOD(G1250,Assumptions!$B$7)=0),1,0)</f>
        <v>0</v>
      </c>
      <c r="P1250" s="13">
        <f t="shared" si="97"/>
        <v>0</v>
      </c>
      <c r="Q1250" s="13">
        <f t="shared" si="98"/>
        <v>0</v>
      </c>
      <c r="R1250" s="13">
        <f>L1250*Assumptions!$B$11+M1250*Assumptions!$B$12+N1250*Assumptions!$B$13+O1250*Assumptions!$B$14+P1250*Assumptions!$B$15+Q1250*Assumptions!$B$16</f>
        <v>0</v>
      </c>
      <c r="S1250" s="13" t="str">
        <f>IF(R1250&gt;=Assumptions!$B$20,"High",IF(R1250&gt;=Assumptions!$B$21,"Medium",IF(R1250&gt;=1,"Low","Clear")))</f>
        <v>Clear</v>
      </c>
      <c r="T1250" s="13" t="str">
        <f t="shared" si="99"/>
        <v/>
      </c>
    </row>
    <row r="1251" spans="1:20" x14ac:dyDescent="0.35">
      <c r="A1251" s="13" t="s">
        <v>5023</v>
      </c>
      <c r="B1251" s="13" t="s">
        <v>409</v>
      </c>
      <c r="C1251" s="13" t="s">
        <v>410</v>
      </c>
      <c r="D1251" s="13" t="s">
        <v>5024</v>
      </c>
      <c r="E1251" s="14">
        <v>46059</v>
      </c>
      <c r="F1251" s="14">
        <v>46080</v>
      </c>
      <c r="G1251" s="15">
        <v>149102.23000000001</v>
      </c>
      <c r="H1251" s="13" t="s">
        <v>5025</v>
      </c>
      <c r="I1251" s="13" t="s">
        <v>5026</v>
      </c>
      <c r="J1251" s="13" t="s">
        <v>136</v>
      </c>
      <c r="K1251" s="13">
        <f t="shared" si="95"/>
        <v>1</v>
      </c>
      <c r="L1251" s="13">
        <f t="shared" si="96"/>
        <v>0</v>
      </c>
      <c r="M1251" s="13">
        <f>IF(AND(L1251=0,COUNTIFS($B$2:$B$1534,B1251,$G$2:$G$1534,G1251,$E$2:$E$1534,"&gt;="&amp;(E1251-Assumptions!$B$5),$E$2:$E$1534,"&lt;="&amp;(E1251+Assumptions!$B$5))&gt;1),1,0)</f>
        <v>0</v>
      </c>
      <c r="N1251" s="13">
        <f>IF(AND(G1251&gt;=Assumptions!$B$4*(1-Assumptions!$B$6),G1251&lt;Assumptions!$B$4),1,0)</f>
        <v>0</v>
      </c>
      <c r="O1251" s="13">
        <f>IF(AND(G1251&gt;=Assumptions!$B$7,MOD(G1251,Assumptions!$B$7)=0),1,0)</f>
        <v>0</v>
      </c>
      <c r="P1251" s="13">
        <f t="shared" si="97"/>
        <v>0</v>
      </c>
      <c r="Q1251" s="13">
        <f t="shared" si="98"/>
        <v>0</v>
      </c>
      <c r="R1251" s="13">
        <f>L1251*Assumptions!$B$11+M1251*Assumptions!$B$12+N1251*Assumptions!$B$13+O1251*Assumptions!$B$14+P1251*Assumptions!$B$15+Q1251*Assumptions!$B$16</f>
        <v>0</v>
      </c>
      <c r="S1251" s="13" t="str">
        <f>IF(R1251&gt;=Assumptions!$B$20,"High",IF(R1251&gt;=Assumptions!$B$21,"Medium",IF(R1251&gt;=1,"Low","Clear")))</f>
        <v>Clear</v>
      </c>
      <c r="T1251" s="13" t="str">
        <f t="shared" si="99"/>
        <v/>
      </c>
    </row>
    <row r="1252" spans="1:20" x14ac:dyDescent="0.35">
      <c r="A1252" s="13" t="s">
        <v>5027</v>
      </c>
      <c r="B1252" s="13" t="s">
        <v>252</v>
      </c>
      <c r="C1252" s="13" t="s">
        <v>253</v>
      </c>
      <c r="D1252" s="13" t="s">
        <v>5028</v>
      </c>
      <c r="E1252" s="14">
        <v>46052</v>
      </c>
      <c r="F1252" s="14">
        <v>46080</v>
      </c>
      <c r="G1252" s="15">
        <v>9104.34</v>
      </c>
      <c r="H1252" s="13" t="s">
        <v>5029</v>
      </c>
      <c r="I1252" s="13" t="s">
        <v>5030</v>
      </c>
      <c r="J1252" s="13" t="s">
        <v>111</v>
      </c>
      <c r="K1252" s="13">
        <f t="shared" si="95"/>
        <v>9</v>
      </c>
      <c r="L1252" s="13">
        <f t="shared" si="96"/>
        <v>0</v>
      </c>
      <c r="M1252" s="13">
        <f>IF(AND(L1252=0,COUNTIFS($B$2:$B$1534,B1252,$G$2:$G$1534,G1252,$E$2:$E$1534,"&gt;="&amp;(E1252-Assumptions!$B$5),$E$2:$E$1534,"&lt;="&amp;(E1252+Assumptions!$B$5))&gt;1),1,0)</f>
        <v>0</v>
      </c>
      <c r="N1252" s="13">
        <f>IF(AND(G1252&gt;=Assumptions!$B$4*(1-Assumptions!$B$6),G1252&lt;Assumptions!$B$4),1,0)</f>
        <v>0</v>
      </c>
      <c r="O1252" s="13">
        <f>IF(AND(G1252&gt;=Assumptions!$B$7,MOD(G1252,Assumptions!$B$7)=0),1,0)</f>
        <v>0</v>
      </c>
      <c r="P1252" s="13">
        <f t="shared" si="97"/>
        <v>0</v>
      </c>
      <c r="Q1252" s="13">
        <f t="shared" si="98"/>
        <v>0</v>
      </c>
      <c r="R1252" s="13">
        <f>L1252*Assumptions!$B$11+M1252*Assumptions!$B$12+N1252*Assumptions!$B$13+O1252*Assumptions!$B$14+P1252*Assumptions!$B$15+Q1252*Assumptions!$B$16</f>
        <v>0</v>
      </c>
      <c r="S1252" s="13" t="str">
        <f>IF(R1252&gt;=Assumptions!$B$20,"High",IF(R1252&gt;=Assumptions!$B$21,"Medium",IF(R1252&gt;=1,"Low","Clear")))</f>
        <v>Clear</v>
      </c>
      <c r="T1252" s="13" t="str">
        <f t="shared" si="99"/>
        <v/>
      </c>
    </row>
    <row r="1253" spans="1:20" x14ac:dyDescent="0.35">
      <c r="A1253" s="13" t="s">
        <v>5031</v>
      </c>
      <c r="B1253" s="13" t="s">
        <v>279</v>
      </c>
      <c r="C1253" s="13" t="s">
        <v>280</v>
      </c>
      <c r="D1253" s="13" t="s">
        <v>5032</v>
      </c>
      <c r="E1253" s="14">
        <v>46053</v>
      </c>
      <c r="F1253" s="14">
        <v>46080</v>
      </c>
      <c r="G1253" s="15">
        <v>4928.75</v>
      </c>
      <c r="H1253" s="13" t="s">
        <v>5033</v>
      </c>
      <c r="I1253" s="13" t="s">
        <v>5034</v>
      </c>
      <c r="J1253" s="13" t="s">
        <v>111</v>
      </c>
      <c r="K1253" s="13">
        <f t="shared" si="95"/>
        <v>4</v>
      </c>
      <c r="L1253" s="13">
        <f t="shared" si="96"/>
        <v>0</v>
      </c>
      <c r="M1253" s="13">
        <f>IF(AND(L1253=0,COUNTIFS($B$2:$B$1534,B1253,$G$2:$G$1534,G1253,$E$2:$E$1534,"&gt;="&amp;(E1253-Assumptions!$B$5),$E$2:$E$1534,"&lt;="&amp;(E1253+Assumptions!$B$5))&gt;1),1,0)</f>
        <v>0</v>
      </c>
      <c r="N1253" s="13">
        <f>IF(AND(G1253&gt;=Assumptions!$B$4*(1-Assumptions!$B$6),G1253&lt;Assumptions!$B$4),1,0)</f>
        <v>0</v>
      </c>
      <c r="O1253" s="13">
        <f>IF(AND(G1253&gt;=Assumptions!$B$7,MOD(G1253,Assumptions!$B$7)=0),1,0)</f>
        <v>0</v>
      </c>
      <c r="P1253" s="13">
        <f t="shared" si="97"/>
        <v>0</v>
      </c>
      <c r="Q1253" s="13">
        <f t="shared" si="98"/>
        <v>0</v>
      </c>
      <c r="R1253" s="13">
        <f>L1253*Assumptions!$B$11+M1253*Assumptions!$B$12+N1253*Assumptions!$B$13+O1253*Assumptions!$B$14+P1253*Assumptions!$B$15+Q1253*Assumptions!$B$16</f>
        <v>0</v>
      </c>
      <c r="S1253" s="13" t="str">
        <f>IF(R1253&gt;=Assumptions!$B$20,"High",IF(R1253&gt;=Assumptions!$B$21,"Medium",IF(R1253&gt;=1,"Low","Clear")))</f>
        <v>Clear</v>
      </c>
      <c r="T1253" s="13" t="str">
        <f t="shared" si="99"/>
        <v/>
      </c>
    </row>
    <row r="1254" spans="1:20" x14ac:dyDescent="0.35">
      <c r="A1254" s="13" t="s">
        <v>5035</v>
      </c>
      <c r="B1254" s="13" t="s">
        <v>212</v>
      </c>
      <c r="C1254" s="13" t="s">
        <v>213</v>
      </c>
      <c r="D1254" s="13" t="s">
        <v>5036</v>
      </c>
      <c r="E1254" s="14">
        <v>46045</v>
      </c>
      <c r="F1254" s="14">
        <v>46080</v>
      </c>
      <c r="G1254" s="15">
        <v>402752.05</v>
      </c>
      <c r="H1254" s="13" t="s">
        <v>5037</v>
      </c>
      <c r="I1254" s="13" t="s">
        <v>5038</v>
      </c>
      <c r="J1254" s="13" t="s">
        <v>98</v>
      </c>
      <c r="K1254" s="13">
        <f t="shared" si="95"/>
        <v>4</v>
      </c>
      <c r="L1254" s="13">
        <f t="shared" si="96"/>
        <v>0</v>
      </c>
      <c r="M1254" s="13">
        <f>IF(AND(L1254=0,COUNTIFS($B$2:$B$1534,B1254,$G$2:$G$1534,G1254,$E$2:$E$1534,"&gt;="&amp;(E1254-Assumptions!$B$5),$E$2:$E$1534,"&lt;="&amp;(E1254+Assumptions!$B$5))&gt;1),1,0)</f>
        <v>0</v>
      </c>
      <c r="N1254" s="13">
        <f>IF(AND(G1254&gt;=Assumptions!$B$4*(1-Assumptions!$B$6),G1254&lt;Assumptions!$B$4),1,0)</f>
        <v>0</v>
      </c>
      <c r="O1254" s="13">
        <f>IF(AND(G1254&gt;=Assumptions!$B$7,MOD(G1254,Assumptions!$B$7)=0),1,0)</f>
        <v>0</v>
      </c>
      <c r="P1254" s="13">
        <f t="shared" si="97"/>
        <v>0</v>
      </c>
      <c r="Q1254" s="13">
        <f t="shared" si="98"/>
        <v>0</v>
      </c>
      <c r="R1254" s="13">
        <f>L1254*Assumptions!$B$11+M1254*Assumptions!$B$12+N1254*Assumptions!$B$13+O1254*Assumptions!$B$14+P1254*Assumptions!$B$15+Q1254*Assumptions!$B$16</f>
        <v>0</v>
      </c>
      <c r="S1254" s="13" t="str">
        <f>IF(R1254&gt;=Assumptions!$B$20,"High",IF(R1254&gt;=Assumptions!$B$21,"Medium",IF(R1254&gt;=1,"Low","Clear")))</f>
        <v>Clear</v>
      </c>
      <c r="T1254" s="13" t="str">
        <f t="shared" si="99"/>
        <v/>
      </c>
    </row>
    <row r="1255" spans="1:20" x14ac:dyDescent="0.35">
      <c r="A1255" s="13" t="s">
        <v>5039</v>
      </c>
      <c r="B1255" s="13" t="s">
        <v>138</v>
      </c>
      <c r="C1255" s="13" t="s">
        <v>139</v>
      </c>
      <c r="D1255" s="13" t="s">
        <v>5040</v>
      </c>
      <c r="E1255" s="14">
        <v>46050</v>
      </c>
      <c r="F1255" s="14">
        <v>46080</v>
      </c>
      <c r="G1255" s="15">
        <v>406537.81</v>
      </c>
      <c r="H1255" s="13" t="s">
        <v>5041</v>
      </c>
      <c r="I1255" s="13" t="s">
        <v>5042</v>
      </c>
      <c r="J1255" s="13" t="s">
        <v>91</v>
      </c>
      <c r="K1255" s="13">
        <f t="shared" si="95"/>
        <v>4</v>
      </c>
      <c r="L1255" s="13">
        <f t="shared" si="96"/>
        <v>0</v>
      </c>
      <c r="M1255" s="13">
        <f>IF(AND(L1255=0,COUNTIFS($B$2:$B$1534,B1255,$G$2:$G$1534,G1255,$E$2:$E$1534,"&gt;="&amp;(E1255-Assumptions!$B$5),$E$2:$E$1534,"&lt;="&amp;(E1255+Assumptions!$B$5))&gt;1),1,0)</f>
        <v>0</v>
      </c>
      <c r="N1255" s="13">
        <f>IF(AND(G1255&gt;=Assumptions!$B$4*(1-Assumptions!$B$6),G1255&lt;Assumptions!$B$4),1,0)</f>
        <v>0</v>
      </c>
      <c r="O1255" s="13">
        <f>IF(AND(G1255&gt;=Assumptions!$B$7,MOD(G1255,Assumptions!$B$7)=0),1,0)</f>
        <v>0</v>
      </c>
      <c r="P1255" s="13">
        <f t="shared" si="97"/>
        <v>0</v>
      </c>
      <c r="Q1255" s="13">
        <f t="shared" si="98"/>
        <v>0</v>
      </c>
      <c r="R1255" s="13">
        <f>L1255*Assumptions!$B$11+M1255*Assumptions!$B$12+N1255*Assumptions!$B$13+O1255*Assumptions!$B$14+P1255*Assumptions!$B$15+Q1255*Assumptions!$B$16</f>
        <v>0</v>
      </c>
      <c r="S1255" s="13" t="str">
        <f>IF(R1255&gt;=Assumptions!$B$20,"High",IF(R1255&gt;=Assumptions!$B$21,"Medium",IF(R1255&gt;=1,"Low","Clear")))</f>
        <v>Clear</v>
      </c>
      <c r="T1255" s="13" t="str">
        <f t="shared" si="99"/>
        <v/>
      </c>
    </row>
    <row r="1256" spans="1:20" x14ac:dyDescent="0.35">
      <c r="A1256" s="13" t="s">
        <v>5043</v>
      </c>
      <c r="B1256" s="13" t="s">
        <v>182</v>
      </c>
      <c r="C1256" s="13" t="s">
        <v>183</v>
      </c>
      <c r="D1256" s="13" t="s">
        <v>5044</v>
      </c>
      <c r="E1256" s="14">
        <v>46058</v>
      </c>
      <c r="F1256" s="14">
        <v>46083</v>
      </c>
      <c r="G1256" s="15">
        <v>3401.81</v>
      </c>
      <c r="H1256" s="13" t="s">
        <v>5045</v>
      </c>
      <c r="I1256" s="13" t="s">
        <v>5046</v>
      </c>
      <c r="J1256" s="13" t="s">
        <v>136</v>
      </c>
      <c r="K1256" s="13">
        <f t="shared" si="95"/>
        <v>3</v>
      </c>
      <c r="L1256" s="13">
        <f t="shared" si="96"/>
        <v>0</v>
      </c>
      <c r="M1256" s="13">
        <f>IF(AND(L1256=0,COUNTIFS($B$2:$B$1534,B1256,$G$2:$G$1534,G1256,$E$2:$E$1534,"&gt;="&amp;(E1256-Assumptions!$B$5),$E$2:$E$1534,"&lt;="&amp;(E1256+Assumptions!$B$5))&gt;1),1,0)</f>
        <v>0</v>
      </c>
      <c r="N1256" s="13">
        <f>IF(AND(G1256&gt;=Assumptions!$B$4*(1-Assumptions!$B$6),G1256&lt;Assumptions!$B$4),1,0)</f>
        <v>0</v>
      </c>
      <c r="O1256" s="13">
        <f>IF(AND(G1256&gt;=Assumptions!$B$7,MOD(G1256,Assumptions!$B$7)=0),1,0)</f>
        <v>0</v>
      </c>
      <c r="P1256" s="13">
        <f t="shared" si="97"/>
        <v>0</v>
      </c>
      <c r="Q1256" s="13">
        <f t="shared" si="98"/>
        <v>0</v>
      </c>
      <c r="R1256" s="13">
        <f>L1256*Assumptions!$B$11+M1256*Assumptions!$B$12+N1256*Assumptions!$B$13+O1256*Assumptions!$B$14+P1256*Assumptions!$B$15+Q1256*Assumptions!$B$16</f>
        <v>0</v>
      </c>
      <c r="S1256" s="13" t="str">
        <f>IF(R1256&gt;=Assumptions!$B$20,"High",IF(R1256&gt;=Assumptions!$B$21,"Medium",IF(R1256&gt;=1,"Low","Clear")))</f>
        <v>Clear</v>
      </c>
      <c r="T1256" s="13" t="str">
        <f t="shared" si="99"/>
        <v/>
      </c>
    </row>
    <row r="1257" spans="1:20" x14ac:dyDescent="0.35">
      <c r="A1257" s="13" t="s">
        <v>5047</v>
      </c>
      <c r="B1257" s="13" t="s">
        <v>188</v>
      </c>
      <c r="C1257" s="13" t="s">
        <v>189</v>
      </c>
      <c r="D1257" s="13" t="s">
        <v>5048</v>
      </c>
      <c r="E1257" s="14">
        <v>46046</v>
      </c>
      <c r="F1257" s="14">
        <v>46083</v>
      </c>
      <c r="G1257" s="15">
        <v>3247.4</v>
      </c>
      <c r="H1257" s="13" t="s">
        <v>5049</v>
      </c>
      <c r="I1257" s="13" t="s">
        <v>5050</v>
      </c>
      <c r="J1257" s="13" t="s">
        <v>98</v>
      </c>
      <c r="K1257" s="13">
        <f t="shared" si="95"/>
        <v>3</v>
      </c>
      <c r="L1257" s="13">
        <f t="shared" si="96"/>
        <v>0</v>
      </c>
      <c r="M1257" s="13">
        <f>IF(AND(L1257=0,COUNTIFS($B$2:$B$1534,B1257,$G$2:$G$1534,G1257,$E$2:$E$1534,"&gt;="&amp;(E1257-Assumptions!$B$5),$E$2:$E$1534,"&lt;="&amp;(E1257+Assumptions!$B$5))&gt;1),1,0)</f>
        <v>0</v>
      </c>
      <c r="N1257" s="13">
        <f>IF(AND(G1257&gt;=Assumptions!$B$4*(1-Assumptions!$B$6),G1257&lt;Assumptions!$B$4),1,0)</f>
        <v>0</v>
      </c>
      <c r="O1257" s="13">
        <f>IF(AND(G1257&gt;=Assumptions!$B$7,MOD(G1257,Assumptions!$B$7)=0),1,0)</f>
        <v>0</v>
      </c>
      <c r="P1257" s="13">
        <f t="shared" si="97"/>
        <v>0</v>
      </c>
      <c r="Q1257" s="13">
        <f t="shared" si="98"/>
        <v>0</v>
      </c>
      <c r="R1257" s="13">
        <f>L1257*Assumptions!$B$11+M1257*Assumptions!$B$12+N1257*Assumptions!$B$13+O1257*Assumptions!$B$14+P1257*Assumptions!$B$15+Q1257*Assumptions!$B$16</f>
        <v>0</v>
      </c>
      <c r="S1257" s="13" t="str">
        <f>IF(R1257&gt;=Assumptions!$B$20,"High",IF(R1257&gt;=Assumptions!$B$21,"Medium",IF(R1257&gt;=1,"Low","Clear")))</f>
        <v>Clear</v>
      </c>
      <c r="T1257" s="13" t="str">
        <f t="shared" si="99"/>
        <v/>
      </c>
    </row>
    <row r="1258" spans="1:20" x14ac:dyDescent="0.35">
      <c r="A1258" s="13" t="s">
        <v>5051</v>
      </c>
      <c r="B1258" s="13" t="s">
        <v>228</v>
      </c>
      <c r="C1258" s="13" t="s">
        <v>229</v>
      </c>
      <c r="D1258" s="13" t="s">
        <v>5052</v>
      </c>
      <c r="E1258" s="14">
        <v>46045</v>
      </c>
      <c r="F1258" s="14">
        <v>46083</v>
      </c>
      <c r="G1258" s="15">
        <v>49456.74</v>
      </c>
      <c r="H1258" s="13" t="s">
        <v>5053</v>
      </c>
      <c r="I1258" s="13" t="s">
        <v>5054</v>
      </c>
      <c r="J1258" s="13" t="s">
        <v>143</v>
      </c>
      <c r="K1258" s="13">
        <f t="shared" si="95"/>
        <v>4</v>
      </c>
      <c r="L1258" s="13">
        <f t="shared" si="96"/>
        <v>0</v>
      </c>
      <c r="M1258" s="13">
        <f>IF(AND(L1258=0,COUNTIFS($B$2:$B$1534,B1258,$G$2:$G$1534,G1258,$E$2:$E$1534,"&gt;="&amp;(E1258-Assumptions!$B$5),$E$2:$E$1534,"&lt;="&amp;(E1258+Assumptions!$B$5))&gt;1),1,0)</f>
        <v>0</v>
      </c>
      <c r="N1258" s="13">
        <f>IF(AND(G1258&gt;=Assumptions!$B$4*(1-Assumptions!$B$6),G1258&lt;Assumptions!$B$4),1,0)</f>
        <v>1</v>
      </c>
      <c r="O1258" s="13">
        <f>IF(AND(G1258&gt;=Assumptions!$B$7,MOD(G1258,Assumptions!$B$7)=0),1,0)</f>
        <v>0</v>
      </c>
      <c r="P1258" s="13">
        <f t="shared" si="97"/>
        <v>0</v>
      </c>
      <c r="Q1258" s="13">
        <f t="shared" si="98"/>
        <v>0</v>
      </c>
      <c r="R1258" s="13">
        <f>L1258*Assumptions!$B$11+M1258*Assumptions!$B$12+N1258*Assumptions!$B$13+O1258*Assumptions!$B$14+P1258*Assumptions!$B$15+Q1258*Assumptions!$B$16</f>
        <v>3</v>
      </c>
      <c r="S1258" s="13" t="str">
        <f>IF(R1258&gt;=Assumptions!$B$20,"High",IF(R1258&gt;=Assumptions!$B$21,"Medium",IF(R1258&gt;=1,"Low","Clear")))</f>
        <v>Medium</v>
      </c>
      <c r="T1258" s="13" t="str">
        <f t="shared" si="99"/>
        <v xml:space="preserve">Just below limit; </v>
      </c>
    </row>
    <row r="1259" spans="1:20" x14ac:dyDescent="0.35">
      <c r="A1259" s="13" t="s">
        <v>5055</v>
      </c>
      <c r="B1259" s="13" t="s">
        <v>498</v>
      </c>
      <c r="C1259" s="13" t="s">
        <v>499</v>
      </c>
      <c r="D1259" s="13" t="s">
        <v>5056</v>
      </c>
      <c r="E1259" s="14">
        <v>46061</v>
      </c>
      <c r="F1259" s="14">
        <v>46083</v>
      </c>
      <c r="G1259" s="15">
        <v>1574.87</v>
      </c>
      <c r="H1259" s="13" t="s">
        <v>5057</v>
      </c>
      <c r="I1259" s="13" t="s">
        <v>5058</v>
      </c>
      <c r="J1259" s="13" t="s">
        <v>91</v>
      </c>
      <c r="K1259" s="13">
        <f t="shared" si="95"/>
        <v>1</v>
      </c>
      <c r="L1259" s="13">
        <f t="shared" si="96"/>
        <v>0</v>
      </c>
      <c r="M1259" s="13">
        <f>IF(AND(L1259=0,COUNTIFS($B$2:$B$1534,B1259,$G$2:$G$1534,G1259,$E$2:$E$1534,"&gt;="&amp;(E1259-Assumptions!$B$5),$E$2:$E$1534,"&lt;="&amp;(E1259+Assumptions!$B$5))&gt;1),1,0)</f>
        <v>0</v>
      </c>
      <c r="N1259" s="13">
        <f>IF(AND(G1259&gt;=Assumptions!$B$4*(1-Assumptions!$B$6),G1259&lt;Assumptions!$B$4),1,0)</f>
        <v>0</v>
      </c>
      <c r="O1259" s="13">
        <f>IF(AND(G1259&gt;=Assumptions!$B$7,MOD(G1259,Assumptions!$B$7)=0),1,0)</f>
        <v>0</v>
      </c>
      <c r="P1259" s="13">
        <f t="shared" si="97"/>
        <v>0</v>
      </c>
      <c r="Q1259" s="13">
        <f t="shared" si="98"/>
        <v>0</v>
      </c>
      <c r="R1259" s="13">
        <f>L1259*Assumptions!$B$11+M1259*Assumptions!$B$12+N1259*Assumptions!$B$13+O1259*Assumptions!$B$14+P1259*Assumptions!$B$15+Q1259*Assumptions!$B$16</f>
        <v>0</v>
      </c>
      <c r="S1259" s="13" t="str">
        <f>IF(R1259&gt;=Assumptions!$B$20,"High",IF(R1259&gt;=Assumptions!$B$21,"Medium",IF(R1259&gt;=1,"Low","Clear")))</f>
        <v>Clear</v>
      </c>
      <c r="T1259" s="13" t="str">
        <f t="shared" si="99"/>
        <v/>
      </c>
    </row>
    <row r="1260" spans="1:20" x14ac:dyDescent="0.35">
      <c r="A1260" s="13" t="s">
        <v>5059</v>
      </c>
      <c r="B1260" s="13" t="s">
        <v>200</v>
      </c>
      <c r="C1260" s="13" t="s">
        <v>201</v>
      </c>
      <c r="D1260" s="13" t="s">
        <v>4980</v>
      </c>
      <c r="E1260" s="14">
        <v>46037</v>
      </c>
      <c r="F1260" s="14">
        <v>46083</v>
      </c>
      <c r="G1260" s="15">
        <v>95113.01</v>
      </c>
      <c r="H1260" s="13" t="s">
        <v>4981</v>
      </c>
      <c r="I1260" s="13" t="s">
        <v>4982</v>
      </c>
      <c r="J1260" s="13" t="s">
        <v>170</v>
      </c>
      <c r="K1260" s="13">
        <f t="shared" si="95"/>
        <v>9</v>
      </c>
      <c r="L1260" s="13">
        <f t="shared" si="96"/>
        <v>1</v>
      </c>
      <c r="M1260" s="13">
        <f>IF(AND(L1260=0,COUNTIFS($B$2:$B$1534,B1260,$G$2:$G$1534,G1260,$E$2:$E$1534,"&gt;="&amp;(E1260-Assumptions!$B$5),$E$2:$E$1534,"&lt;="&amp;(E1260+Assumptions!$B$5))&gt;1),1,0)</f>
        <v>0</v>
      </c>
      <c r="N1260" s="13">
        <f>IF(AND(G1260&gt;=Assumptions!$B$4*(1-Assumptions!$B$6),G1260&lt;Assumptions!$B$4),1,0)</f>
        <v>0</v>
      </c>
      <c r="O1260" s="13">
        <f>IF(AND(G1260&gt;=Assumptions!$B$7,MOD(G1260,Assumptions!$B$7)=0),1,0)</f>
        <v>0</v>
      </c>
      <c r="P1260" s="13">
        <f t="shared" si="97"/>
        <v>0</v>
      </c>
      <c r="Q1260" s="13">
        <f t="shared" si="98"/>
        <v>0</v>
      </c>
      <c r="R1260" s="13">
        <f>L1260*Assumptions!$B$11+M1260*Assumptions!$B$12+N1260*Assumptions!$B$13+O1260*Assumptions!$B$14+P1260*Assumptions!$B$15+Q1260*Assumptions!$B$16</f>
        <v>5</v>
      </c>
      <c r="S1260" s="13" t="str">
        <f>IF(R1260&gt;=Assumptions!$B$20,"High",IF(R1260&gt;=Assumptions!$B$21,"Medium",IF(R1260&gt;=1,"Low","Clear")))</f>
        <v>High</v>
      </c>
      <c r="T1260" s="13" t="str">
        <f t="shared" si="99"/>
        <v xml:space="preserve">Duplicate invoice; </v>
      </c>
    </row>
    <row r="1261" spans="1:20" x14ac:dyDescent="0.35">
      <c r="A1261" s="13" t="s">
        <v>5060</v>
      </c>
      <c r="B1261" s="13" t="s">
        <v>93</v>
      </c>
      <c r="C1261" s="13" t="s">
        <v>94</v>
      </c>
      <c r="D1261" s="13" t="s">
        <v>5061</v>
      </c>
      <c r="E1261" s="14">
        <v>46043</v>
      </c>
      <c r="F1261" s="14">
        <v>46083</v>
      </c>
      <c r="G1261" s="15">
        <v>89042.32</v>
      </c>
      <c r="H1261" s="13" t="s">
        <v>5062</v>
      </c>
      <c r="I1261" s="13" t="s">
        <v>5063</v>
      </c>
      <c r="J1261" s="13" t="s">
        <v>170</v>
      </c>
      <c r="K1261" s="13">
        <f t="shared" si="95"/>
        <v>8</v>
      </c>
      <c r="L1261" s="13">
        <f t="shared" si="96"/>
        <v>0</v>
      </c>
      <c r="M1261" s="13">
        <f>IF(AND(L1261=0,COUNTIFS($B$2:$B$1534,B1261,$G$2:$G$1534,G1261,$E$2:$E$1534,"&gt;="&amp;(E1261-Assumptions!$B$5),$E$2:$E$1534,"&lt;="&amp;(E1261+Assumptions!$B$5))&gt;1),1,0)</f>
        <v>0</v>
      </c>
      <c r="N1261" s="13">
        <f>IF(AND(G1261&gt;=Assumptions!$B$4*(1-Assumptions!$B$6),G1261&lt;Assumptions!$B$4),1,0)</f>
        <v>0</v>
      </c>
      <c r="O1261" s="13">
        <f>IF(AND(G1261&gt;=Assumptions!$B$7,MOD(G1261,Assumptions!$B$7)=0),1,0)</f>
        <v>0</v>
      </c>
      <c r="P1261" s="13">
        <f t="shared" si="97"/>
        <v>0</v>
      </c>
      <c r="Q1261" s="13">
        <f t="shared" si="98"/>
        <v>0</v>
      </c>
      <c r="R1261" s="13">
        <f>L1261*Assumptions!$B$11+M1261*Assumptions!$B$12+N1261*Assumptions!$B$13+O1261*Assumptions!$B$14+P1261*Assumptions!$B$15+Q1261*Assumptions!$B$16</f>
        <v>0</v>
      </c>
      <c r="S1261" s="13" t="str">
        <f>IF(R1261&gt;=Assumptions!$B$20,"High",IF(R1261&gt;=Assumptions!$B$21,"Medium",IF(R1261&gt;=1,"Low","Clear")))</f>
        <v>Clear</v>
      </c>
      <c r="T1261" s="13" t="str">
        <f t="shared" si="99"/>
        <v/>
      </c>
    </row>
    <row r="1262" spans="1:20" x14ac:dyDescent="0.35">
      <c r="A1262" s="13" t="s">
        <v>5064</v>
      </c>
      <c r="B1262" s="13" t="s">
        <v>93</v>
      </c>
      <c r="C1262" s="13" t="s">
        <v>94</v>
      </c>
      <c r="D1262" s="13" t="s">
        <v>5065</v>
      </c>
      <c r="E1262" s="14">
        <v>46046</v>
      </c>
      <c r="F1262" s="14">
        <v>46083</v>
      </c>
      <c r="G1262" s="15">
        <v>4639.08</v>
      </c>
      <c r="H1262" s="13" t="s">
        <v>5066</v>
      </c>
      <c r="I1262" s="13" t="s">
        <v>5067</v>
      </c>
      <c r="J1262" s="13" t="s">
        <v>111</v>
      </c>
      <c r="K1262" s="13">
        <f t="shared" si="95"/>
        <v>4</v>
      </c>
      <c r="L1262" s="13">
        <f t="shared" si="96"/>
        <v>0</v>
      </c>
      <c r="M1262" s="13">
        <f>IF(AND(L1262=0,COUNTIFS($B$2:$B$1534,B1262,$G$2:$G$1534,G1262,$E$2:$E$1534,"&gt;="&amp;(E1262-Assumptions!$B$5),$E$2:$E$1534,"&lt;="&amp;(E1262+Assumptions!$B$5))&gt;1),1,0)</f>
        <v>0</v>
      </c>
      <c r="N1262" s="13">
        <f>IF(AND(G1262&gt;=Assumptions!$B$4*(1-Assumptions!$B$6),G1262&lt;Assumptions!$B$4),1,0)</f>
        <v>0</v>
      </c>
      <c r="O1262" s="13">
        <f>IF(AND(G1262&gt;=Assumptions!$B$7,MOD(G1262,Assumptions!$B$7)=0),1,0)</f>
        <v>0</v>
      </c>
      <c r="P1262" s="13">
        <f t="shared" si="97"/>
        <v>0</v>
      </c>
      <c r="Q1262" s="13">
        <f t="shared" si="98"/>
        <v>0</v>
      </c>
      <c r="R1262" s="13">
        <f>L1262*Assumptions!$B$11+M1262*Assumptions!$B$12+N1262*Assumptions!$B$13+O1262*Assumptions!$B$14+P1262*Assumptions!$B$15+Q1262*Assumptions!$B$16</f>
        <v>0</v>
      </c>
      <c r="S1262" s="13" t="str">
        <f>IF(R1262&gt;=Assumptions!$B$20,"High",IF(R1262&gt;=Assumptions!$B$21,"Medium",IF(R1262&gt;=1,"Low","Clear")))</f>
        <v>Clear</v>
      </c>
      <c r="T1262" s="13" t="str">
        <f t="shared" si="99"/>
        <v/>
      </c>
    </row>
    <row r="1263" spans="1:20" x14ac:dyDescent="0.35">
      <c r="A1263" s="13" t="s">
        <v>5068</v>
      </c>
      <c r="B1263" s="13" t="s">
        <v>680</v>
      </c>
      <c r="C1263" s="13" t="s">
        <v>681</v>
      </c>
      <c r="D1263" s="13" t="s">
        <v>5069</v>
      </c>
      <c r="E1263" s="14">
        <v>46046</v>
      </c>
      <c r="F1263" s="14">
        <v>46083</v>
      </c>
      <c r="G1263" s="15">
        <v>1874.24</v>
      </c>
      <c r="H1263" s="13" t="s">
        <v>5070</v>
      </c>
      <c r="I1263" s="13" t="s">
        <v>5071</v>
      </c>
      <c r="J1263" s="13" t="s">
        <v>111</v>
      </c>
      <c r="K1263" s="13">
        <f t="shared" si="95"/>
        <v>1</v>
      </c>
      <c r="L1263" s="13">
        <f t="shared" si="96"/>
        <v>0</v>
      </c>
      <c r="M1263" s="13">
        <f>IF(AND(L1263=0,COUNTIFS($B$2:$B$1534,B1263,$G$2:$G$1534,G1263,$E$2:$E$1534,"&gt;="&amp;(E1263-Assumptions!$B$5),$E$2:$E$1534,"&lt;="&amp;(E1263+Assumptions!$B$5))&gt;1),1,0)</f>
        <v>0</v>
      </c>
      <c r="N1263" s="13">
        <f>IF(AND(G1263&gt;=Assumptions!$B$4*(1-Assumptions!$B$6),G1263&lt;Assumptions!$B$4),1,0)</f>
        <v>0</v>
      </c>
      <c r="O1263" s="13">
        <f>IF(AND(G1263&gt;=Assumptions!$B$7,MOD(G1263,Assumptions!$B$7)=0),1,0)</f>
        <v>0</v>
      </c>
      <c r="P1263" s="13">
        <f t="shared" si="97"/>
        <v>0</v>
      </c>
      <c r="Q1263" s="13">
        <f t="shared" si="98"/>
        <v>0</v>
      </c>
      <c r="R1263" s="13">
        <f>L1263*Assumptions!$B$11+M1263*Assumptions!$B$12+N1263*Assumptions!$B$13+O1263*Assumptions!$B$14+P1263*Assumptions!$B$15+Q1263*Assumptions!$B$16</f>
        <v>0</v>
      </c>
      <c r="S1263" s="13" t="str">
        <f>IF(R1263&gt;=Assumptions!$B$20,"High",IF(R1263&gt;=Assumptions!$B$21,"Medium",IF(R1263&gt;=1,"Low","Clear")))</f>
        <v>Clear</v>
      </c>
      <c r="T1263" s="13" t="str">
        <f t="shared" si="99"/>
        <v/>
      </c>
    </row>
    <row r="1264" spans="1:20" x14ac:dyDescent="0.35">
      <c r="A1264" s="13" t="s">
        <v>5072</v>
      </c>
      <c r="B1264" s="13" t="s">
        <v>680</v>
      </c>
      <c r="C1264" s="13" t="s">
        <v>681</v>
      </c>
      <c r="D1264" s="13" t="s">
        <v>5073</v>
      </c>
      <c r="E1264" s="14">
        <v>46061</v>
      </c>
      <c r="F1264" s="14">
        <v>46083</v>
      </c>
      <c r="G1264" s="15">
        <v>2127.6799999999998</v>
      </c>
      <c r="H1264" s="13" t="s">
        <v>5074</v>
      </c>
      <c r="I1264" s="13" t="s">
        <v>5075</v>
      </c>
      <c r="J1264" s="13" t="s">
        <v>91</v>
      </c>
      <c r="K1264" s="13">
        <f t="shared" si="95"/>
        <v>2</v>
      </c>
      <c r="L1264" s="13">
        <f t="shared" si="96"/>
        <v>0</v>
      </c>
      <c r="M1264" s="13">
        <f>IF(AND(L1264=0,COUNTIFS($B$2:$B$1534,B1264,$G$2:$G$1534,G1264,$E$2:$E$1534,"&gt;="&amp;(E1264-Assumptions!$B$5),$E$2:$E$1534,"&lt;="&amp;(E1264+Assumptions!$B$5))&gt;1),1,0)</f>
        <v>0</v>
      </c>
      <c r="N1264" s="13">
        <f>IF(AND(G1264&gt;=Assumptions!$B$4*(1-Assumptions!$B$6),G1264&lt;Assumptions!$B$4),1,0)</f>
        <v>0</v>
      </c>
      <c r="O1264" s="13">
        <f>IF(AND(G1264&gt;=Assumptions!$B$7,MOD(G1264,Assumptions!$B$7)=0),1,0)</f>
        <v>0</v>
      </c>
      <c r="P1264" s="13">
        <f t="shared" si="97"/>
        <v>0</v>
      </c>
      <c r="Q1264" s="13">
        <f t="shared" si="98"/>
        <v>0</v>
      </c>
      <c r="R1264" s="13">
        <f>L1264*Assumptions!$B$11+M1264*Assumptions!$B$12+N1264*Assumptions!$B$13+O1264*Assumptions!$B$14+P1264*Assumptions!$B$15+Q1264*Assumptions!$B$16</f>
        <v>0</v>
      </c>
      <c r="S1264" s="13" t="str">
        <f>IF(R1264&gt;=Assumptions!$B$20,"High",IF(R1264&gt;=Assumptions!$B$21,"Medium",IF(R1264&gt;=1,"Low","Clear")))</f>
        <v>Clear</v>
      </c>
      <c r="T1264" s="13" t="str">
        <f t="shared" si="99"/>
        <v/>
      </c>
    </row>
    <row r="1265" spans="1:20" x14ac:dyDescent="0.35">
      <c r="A1265" s="13" t="s">
        <v>5076</v>
      </c>
      <c r="B1265" s="13" t="s">
        <v>131</v>
      </c>
      <c r="C1265" s="13" t="s">
        <v>132</v>
      </c>
      <c r="D1265" s="13" t="s">
        <v>5077</v>
      </c>
      <c r="E1265" s="14">
        <v>46053</v>
      </c>
      <c r="F1265" s="14">
        <v>46083</v>
      </c>
      <c r="G1265" s="15">
        <v>46491.45</v>
      </c>
      <c r="H1265" s="13" t="s">
        <v>5078</v>
      </c>
      <c r="I1265" s="13" t="s">
        <v>5079</v>
      </c>
      <c r="J1265" s="13" t="s">
        <v>111</v>
      </c>
      <c r="K1265" s="13">
        <f t="shared" si="95"/>
        <v>4</v>
      </c>
      <c r="L1265" s="13">
        <f t="shared" si="96"/>
        <v>0</v>
      </c>
      <c r="M1265" s="13">
        <f>IF(AND(L1265=0,COUNTIFS($B$2:$B$1534,B1265,$G$2:$G$1534,G1265,$E$2:$E$1534,"&gt;="&amp;(E1265-Assumptions!$B$5),$E$2:$E$1534,"&lt;="&amp;(E1265+Assumptions!$B$5))&gt;1),1,0)</f>
        <v>0</v>
      </c>
      <c r="N1265" s="13">
        <f>IF(AND(G1265&gt;=Assumptions!$B$4*(1-Assumptions!$B$6),G1265&lt;Assumptions!$B$4),1,0)</f>
        <v>0</v>
      </c>
      <c r="O1265" s="13">
        <f>IF(AND(G1265&gt;=Assumptions!$B$7,MOD(G1265,Assumptions!$B$7)=0),1,0)</f>
        <v>0</v>
      </c>
      <c r="P1265" s="13">
        <f t="shared" si="97"/>
        <v>0</v>
      </c>
      <c r="Q1265" s="13">
        <f t="shared" si="98"/>
        <v>0</v>
      </c>
      <c r="R1265" s="13">
        <f>L1265*Assumptions!$B$11+M1265*Assumptions!$B$12+N1265*Assumptions!$B$13+O1265*Assumptions!$B$14+P1265*Assumptions!$B$15+Q1265*Assumptions!$B$16</f>
        <v>0</v>
      </c>
      <c r="S1265" s="13" t="str">
        <f>IF(R1265&gt;=Assumptions!$B$20,"High",IF(R1265&gt;=Assumptions!$B$21,"Medium",IF(R1265&gt;=1,"Low","Clear")))</f>
        <v>Clear</v>
      </c>
      <c r="T1265" s="13" t="str">
        <f t="shared" si="99"/>
        <v/>
      </c>
    </row>
    <row r="1266" spans="1:20" x14ac:dyDescent="0.35">
      <c r="A1266" s="13" t="s">
        <v>5080</v>
      </c>
      <c r="B1266" s="13" t="s">
        <v>307</v>
      </c>
      <c r="C1266" s="13" t="s">
        <v>308</v>
      </c>
      <c r="D1266" s="13" t="s">
        <v>5081</v>
      </c>
      <c r="E1266" s="14">
        <v>46044</v>
      </c>
      <c r="F1266" s="14">
        <v>46083</v>
      </c>
      <c r="G1266" s="15">
        <v>774809.02</v>
      </c>
      <c r="H1266" s="13" t="s">
        <v>5082</v>
      </c>
      <c r="I1266" s="13" t="s">
        <v>5083</v>
      </c>
      <c r="J1266" s="13" t="s">
        <v>98</v>
      </c>
      <c r="K1266" s="13">
        <f t="shared" si="95"/>
        <v>7</v>
      </c>
      <c r="L1266" s="13">
        <f t="shared" si="96"/>
        <v>0</v>
      </c>
      <c r="M1266" s="13">
        <f>IF(AND(L1266=0,COUNTIFS($B$2:$B$1534,B1266,$G$2:$G$1534,G1266,$E$2:$E$1534,"&gt;="&amp;(E1266-Assumptions!$B$5),$E$2:$E$1534,"&lt;="&amp;(E1266+Assumptions!$B$5))&gt;1),1,0)</f>
        <v>0</v>
      </c>
      <c r="N1266" s="13">
        <f>IF(AND(G1266&gt;=Assumptions!$B$4*(1-Assumptions!$B$6),G1266&lt;Assumptions!$B$4),1,0)</f>
        <v>0</v>
      </c>
      <c r="O1266" s="13">
        <f>IF(AND(G1266&gt;=Assumptions!$B$7,MOD(G1266,Assumptions!$B$7)=0),1,0)</f>
        <v>0</v>
      </c>
      <c r="P1266" s="13">
        <f t="shared" si="97"/>
        <v>0</v>
      </c>
      <c r="Q1266" s="13">
        <f t="shared" si="98"/>
        <v>0</v>
      </c>
      <c r="R1266" s="13">
        <f>L1266*Assumptions!$B$11+M1266*Assumptions!$B$12+N1266*Assumptions!$B$13+O1266*Assumptions!$B$14+P1266*Assumptions!$B$15+Q1266*Assumptions!$B$16</f>
        <v>0</v>
      </c>
      <c r="S1266" s="13" t="str">
        <f>IF(R1266&gt;=Assumptions!$B$20,"High",IF(R1266&gt;=Assumptions!$B$21,"Medium",IF(R1266&gt;=1,"Low","Clear")))</f>
        <v>Clear</v>
      </c>
      <c r="T1266" s="13" t="str">
        <f t="shared" si="99"/>
        <v/>
      </c>
    </row>
    <row r="1267" spans="1:20" x14ac:dyDescent="0.35">
      <c r="A1267" s="13" t="s">
        <v>5084</v>
      </c>
      <c r="B1267" s="13" t="s">
        <v>323</v>
      </c>
      <c r="C1267" s="13" t="s">
        <v>324</v>
      </c>
      <c r="D1267" s="13" t="s">
        <v>5085</v>
      </c>
      <c r="E1267" s="14">
        <v>46062</v>
      </c>
      <c r="F1267" s="14">
        <v>46083</v>
      </c>
      <c r="G1267" s="15">
        <v>5272.29</v>
      </c>
      <c r="H1267" s="13" t="s">
        <v>5086</v>
      </c>
      <c r="I1267" s="13" t="s">
        <v>5087</v>
      </c>
      <c r="J1267" s="13" t="s">
        <v>91</v>
      </c>
      <c r="K1267" s="13">
        <f t="shared" si="95"/>
        <v>5</v>
      </c>
      <c r="L1267" s="13">
        <f t="shared" si="96"/>
        <v>0</v>
      </c>
      <c r="M1267" s="13">
        <f>IF(AND(L1267=0,COUNTIFS($B$2:$B$1534,B1267,$G$2:$G$1534,G1267,$E$2:$E$1534,"&gt;="&amp;(E1267-Assumptions!$B$5),$E$2:$E$1534,"&lt;="&amp;(E1267+Assumptions!$B$5))&gt;1),1,0)</f>
        <v>0</v>
      </c>
      <c r="N1267" s="13">
        <f>IF(AND(G1267&gt;=Assumptions!$B$4*(1-Assumptions!$B$6),G1267&lt;Assumptions!$B$4),1,0)</f>
        <v>0</v>
      </c>
      <c r="O1267" s="13">
        <f>IF(AND(G1267&gt;=Assumptions!$B$7,MOD(G1267,Assumptions!$B$7)=0),1,0)</f>
        <v>0</v>
      </c>
      <c r="P1267" s="13">
        <f t="shared" si="97"/>
        <v>0</v>
      </c>
      <c r="Q1267" s="13">
        <f t="shared" si="98"/>
        <v>0</v>
      </c>
      <c r="R1267" s="13">
        <f>L1267*Assumptions!$B$11+M1267*Assumptions!$B$12+N1267*Assumptions!$B$13+O1267*Assumptions!$B$14+P1267*Assumptions!$B$15+Q1267*Assumptions!$B$16</f>
        <v>0</v>
      </c>
      <c r="S1267" s="13" t="str">
        <f>IF(R1267&gt;=Assumptions!$B$20,"High",IF(R1267&gt;=Assumptions!$B$21,"Medium",IF(R1267&gt;=1,"Low","Clear")))</f>
        <v>Clear</v>
      </c>
      <c r="T1267" s="13" t="str">
        <f t="shared" si="99"/>
        <v/>
      </c>
    </row>
    <row r="1268" spans="1:20" x14ac:dyDescent="0.35">
      <c r="A1268" s="13" t="s">
        <v>5088</v>
      </c>
      <c r="B1268" s="13" t="s">
        <v>329</v>
      </c>
      <c r="C1268" s="13" t="s">
        <v>330</v>
      </c>
      <c r="D1268" s="13" t="s">
        <v>5089</v>
      </c>
      <c r="E1268" s="14">
        <v>46044</v>
      </c>
      <c r="F1268" s="14">
        <v>46083</v>
      </c>
      <c r="G1268" s="15">
        <v>92069.73</v>
      </c>
      <c r="H1268" s="13" t="s">
        <v>5090</v>
      </c>
      <c r="I1268" s="13" t="s">
        <v>5091</v>
      </c>
      <c r="J1268" s="13" t="s">
        <v>98</v>
      </c>
      <c r="K1268" s="13">
        <f t="shared" si="95"/>
        <v>9</v>
      </c>
      <c r="L1268" s="13">
        <f t="shared" si="96"/>
        <v>0</v>
      </c>
      <c r="M1268" s="13">
        <f>IF(AND(L1268=0,COUNTIFS($B$2:$B$1534,B1268,$G$2:$G$1534,G1268,$E$2:$E$1534,"&gt;="&amp;(E1268-Assumptions!$B$5),$E$2:$E$1534,"&lt;="&amp;(E1268+Assumptions!$B$5))&gt;1),1,0)</f>
        <v>0</v>
      </c>
      <c r="N1268" s="13">
        <f>IF(AND(G1268&gt;=Assumptions!$B$4*(1-Assumptions!$B$6),G1268&lt;Assumptions!$B$4),1,0)</f>
        <v>0</v>
      </c>
      <c r="O1268" s="13">
        <f>IF(AND(G1268&gt;=Assumptions!$B$7,MOD(G1268,Assumptions!$B$7)=0),1,0)</f>
        <v>0</v>
      </c>
      <c r="P1268" s="13">
        <f t="shared" si="97"/>
        <v>0</v>
      </c>
      <c r="Q1268" s="13">
        <f t="shared" si="98"/>
        <v>0</v>
      </c>
      <c r="R1268" s="13">
        <f>L1268*Assumptions!$B$11+M1268*Assumptions!$B$12+N1268*Assumptions!$B$13+O1268*Assumptions!$B$14+P1268*Assumptions!$B$15+Q1268*Assumptions!$B$16</f>
        <v>0</v>
      </c>
      <c r="S1268" s="13" t="str">
        <f>IF(R1268&gt;=Assumptions!$B$20,"High",IF(R1268&gt;=Assumptions!$B$21,"Medium",IF(R1268&gt;=1,"Low","Clear")))</f>
        <v>Clear</v>
      </c>
      <c r="T1268" s="13" t="str">
        <f t="shared" si="99"/>
        <v/>
      </c>
    </row>
    <row r="1269" spans="1:20" x14ac:dyDescent="0.35">
      <c r="A1269" s="13" t="s">
        <v>5092</v>
      </c>
      <c r="B1269" s="13" t="s">
        <v>438</v>
      </c>
      <c r="C1269" s="13" t="s">
        <v>439</v>
      </c>
      <c r="D1269" s="13" t="s">
        <v>5093</v>
      </c>
      <c r="E1269" s="14">
        <v>46056</v>
      </c>
      <c r="F1269" s="14">
        <v>46083</v>
      </c>
      <c r="G1269" s="15">
        <v>29153.35</v>
      </c>
      <c r="H1269" s="13" t="s">
        <v>5094</v>
      </c>
      <c r="I1269" s="13" t="s">
        <v>5095</v>
      </c>
      <c r="J1269" s="13" t="s">
        <v>98</v>
      </c>
      <c r="K1269" s="13">
        <f t="shared" si="95"/>
        <v>2</v>
      </c>
      <c r="L1269" s="13">
        <f t="shared" si="96"/>
        <v>0</v>
      </c>
      <c r="M1269" s="13">
        <f>IF(AND(L1269=0,COUNTIFS($B$2:$B$1534,B1269,$G$2:$G$1534,G1269,$E$2:$E$1534,"&gt;="&amp;(E1269-Assumptions!$B$5),$E$2:$E$1534,"&lt;="&amp;(E1269+Assumptions!$B$5))&gt;1),1,0)</f>
        <v>0</v>
      </c>
      <c r="N1269" s="13">
        <f>IF(AND(G1269&gt;=Assumptions!$B$4*(1-Assumptions!$B$6),G1269&lt;Assumptions!$B$4),1,0)</f>
        <v>0</v>
      </c>
      <c r="O1269" s="13">
        <f>IF(AND(G1269&gt;=Assumptions!$B$7,MOD(G1269,Assumptions!$B$7)=0),1,0)</f>
        <v>0</v>
      </c>
      <c r="P1269" s="13">
        <f t="shared" si="97"/>
        <v>0</v>
      </c>
      <c r="Q1269" s="13">
        <f t="shared" si="98"/>
        <v>0</v>
      </c>
      <c r="R1269" s="13">
        <f>L1269*Assumptions!$B$11+M1269*Assumptions!$B$12+N1269*Assumptions!$B$13+O1269*Assumptions!$B$14+P1269*Assumptions!$B$15+Q1269*Assumptions!$B$16</f>
        <v>0</v>
      </c>
      <c r="S1269" s="13" t="str">
        <f>IF(R1269&gt;=Assumptions!$B$20,"High",IF(R1269&gt;=Assumptions!$B$21,"Medium",IF(R1269&gt;=1,"Low","Clear")))</f>
        <v>Clear</v>
      </c>
      <c r="T1269" s="13" t="str">
        <f t="shared" si="99"/>
        <v/>
      </c>
    </row>
    <row r="1270" spans="1:20" x14ac:dyDescent="0.35">
      <c r="A1270" s="13" t="s">
        <v>5096</v>
      </c>
      <c r="B1270" s="13" t="s">
        <v>106</v>
      </c>
      <c r="C1270" s="13" t="s">
        <v>107</v>
      </c>
      <c r="D1270" s="13" t="s">
        <v>5097</v>
      </c>
      <c r="E1270" s="14">
        <v>46061</v>
      </c>
      <c r="F1270" s="14">
        <v>46083</v>
      </c>
      <c r="G1270" s="15">
        <v>1083.76</v>
      </c>
      <c r="H1270" s="13" t="s">
        <v>5098</v>
      </c>
      <c r="I1270" s="13" t="s">
        <v>5099</v>
      </c>
      <c r="J1270" s="13" t="s">
        <v>98</v>
      </c>
      <c r="K1270" s="13">
        <f t="shared" si="95"/>
        <v>1</v>
      </c>
      <c r="L1270" s="13">
        <f t="shared" si="96"/>
        <v>0</v>
      </c>
      <c r="M1270" s="13">
        <f>IF(AND(L1270=0,COUNTIFS($B$2:$B$1534,B1270,$G$2:$G$1534,G1270,$E$2:$E$1534,"&gt;="&amp;(E1270-Assumptions!$B$5),$E$2:$E$1534,"&lt;="&amp;(E1270+Assumptions!$B$5))&gt;1),1,0)</f>
        <v>0</v>
      </c>
      <c r="N1270" s="13">
        <f>IF(AND(G1270&gt;=Assumptions!$B$4*(1-Assumptions!$B$6),G1270&lt;Assumptions!$B$4),1,0)</f>
        <v>0</v>
      </c>
      <c r="O1270" s="13">
        <f>IF(AND(G1270&gt;=Assumptions!$B$7,MOD(G1270,Assumptions!$B$7)=0),1,0)</f>
        <v>0</v>
      </c>
      <c r="P1270" s="13">
        <f t="shared" si="97"/>
        <v>0</v>
      </c>
      <c r="Q1270" s="13">
        <f t="shared" si="98"/>
        <v>0</v>
      </c>
      <c r="R1270" s="13">
        <f>L1270*Assumptions!$B$11+M1270*Assumptions!$B$12+N1270*Assumptions!$B$13+O1270*Assumptions!$B$14+P1270*Assumptions!$B$15+Q1270*Assumptions!$B$16</f>
        <v>0</v>
      </c>
      <c r="S1270" s="13" t="str">
        <f>IF(R1270&gt;=Assumptions!$B$20,"High",IF(R1270&gt;=Assumptions!$B$21,"Medium",IF(R1270&gt;=1,"Low","Clear")))</f>
        <v>Clear</v>
      </c>
      <c r="T1270" s="13" t="str">
        <f t="shared" si="99"/>
        <v/>
      </c>
    </row>
    <row r="1271" spans="1:20" x14ac:dyDescent="0.35">
      <c r="A1271" s="13" t="s">
        <v>5100</v>
      </c>
      <c r="B1271" s="13" t="s">
        <v>409</v>
      </c>
      <c r="C1271" s="13" t="s">
        <v>410</v>
      </c>
      <c r="D1271" s="13" t="s">
        <v>5101</v>
      </c>
      <c r="E1271" s="14">
        <v>46046</v>
      </c>
      <c r="F1271" s="14">
        <v>46084</v>
      </c>
      <c r="G1271" s="15">
        <v>5976.71</v>
      </c>
      <c r="H1271" s="13" t="s">
        <v>5102</v>
      </c>
      <c r="I1271" s="13" t="s">
        <v>5103</v>
      </c>
      <c r="J1271" s="13" t="s">
        <v>111</v>
      </c>
      <c r="K1271" s="13">
        <f t="shared" si="95"/>
        <v>5</v>
      </c>
      <c r="L1271" s="13">
        <f t="shared" si="96"/>
        <v>0</v>
      </c>
      <c r="M1271" s="13">
        <f>IF(AND(L1271=0,COUNTIFS($B$2:$B$1534,B1271,$G$2:$G$1534,G1271,$E$2:$E$1534,"&gt;="&amp;(E1271-Assumptions!$B$5),$E$2:$E$1534,"&lt;="&amp;(E1271+Assumptions!$B$5))&gt;1),1,0)</f>
        <v>0</v>
      </c>
      <c r="N1271" s="13">
        <f>IF(AND(G1271&gt;=Assumptions!$B$4*(1-Assumptions!$B$6),G1271&lt;Assumptions!$B$4),1,0)</f>
        <v>0</v>
      </c>
      <c r="O1271" s="13">
        <f>IF(AND(G1271&gt;=Assumptions!$B$7,MOD(G1271,Assumptions!$B$7)=0),1,0)</f>
        <v>0</v>
      </c>
      <c r="P1271" s="13">
        <f t="shared" si="97"/>
        <v>0</v>
      </c>
      <c r="Q1271" s="13">
        <f t="shared" si="98"/>
        <v>0</v>
      </c>
      <c r="R1271" s="13">
        <f>L1271*Assumptions!$B$11+M1271*Assumptions!$B$12+N1271*Assumptions!$B$13+O1271*Assumptions!$B$14+P1271*Assumptions!$B$15+Q1271*Assumptions!$B$16</f>
        <v>0</v>
      </c>
      <c r="S1271" s="13" t="str">
        <f>IF(R1271&gt;=Assumptions!$B$20,"High",IF(R1271&gt;=Assumptions!$B$21,"Medium",IF(R1271&gt;=1,"Low","Clear")))</f>
        <v>Clear</v>
      </c>
      <c r="T1271" s="13" t="str">
        <f t="shared" si="99"/>
        <v/>
      </c>
    </row>
    <row r="1272" spans="1:20" x14ac:dyDescent="0.35">
      <c r="A1272" s="13" t="s">
        <v>5104</v>
      </c>
      <c r="B1272" s="13" t="s">
        <v>317</v>
      </c>
      <c r="C1272" s="13" t="s">
        <v>318</v>
      </c>
      <c r="D1272" s="13" t="s">
        <v>5105</v>
      </c>
      <c r="E1272" s="14">
        <v>46057</v>
      </c>
      <c r="F1272" s="14">
        <v>46084</v>
      </c>
      <c r="G1272" s="15">
        <v>37806.76</v>
      </c>
      <c r="H1272" s="13" t="s">
        <v>5106</v>
      </c>
      <c r="I1272" s="13" t="s">
        <v>5107</v>
      </c>
      <c r="J1272" s="13" t="s">
        <v>98</v>
      </c>
      <c r="K1272" s="13">
        <f t="shared" si="95"/>
        <v>3</v>
      </c>
      <c r="L1272" s="13">
        <f t="shared" si="96"/>
        <v>0</v>
      </c>
      <c r="M1272" s="13">
        <f>IF(AND(L1272=0,COUNTIFS($B$2:$B$1534,B1272,$G$2:$G$1534,G1272,$E$2:$E$1534,"&gt;="&amp;(E1272-Assumptions!$B$5),$E$2:$E$1534,"&lt;="&amp;(E1272+Assumptions!$B$5))&gt;1),1,0)</f>
        <v>0</v>
      </c>
      <c r="N1272" s="13">
        <f>IF(AND(G1272&gt;=Assumptions!$B$4*(1-Assumptions!$B$6),G1272&lt;Assumptions!$B$4),1,0)</f>
        <v>0</v>
      </c>
      <c r="O1272" s="13">
        <f>IF(AND(G1272&gt;=Assumptions!$B$7,MOD(G1272,Assumptions!$B$7)=0),1,0)</f>
        <v>0</v>
      </c>
      <c r="P1272" s="13">
        <f t="shared" si="97"/>
        <v>0</v>
      </c>
      <c r="Q1272" s="13">
        <f t="shared" si="98"/>
        <v>0</v>
      </c>
      <c r="R1272" s="13">
        <f>L1272*Assumptions!$B$11+M1272*Assumptions!$B$12+N1272*Assumptions!$B$13+O1272*Assumptions!$B$14+P1272*Assumptions!$B$15+Q1272*Assumptions!$B$16</f>
        <v>0</v>
      </c>
      <c r="S1272" s="13" t="str">
        <f>IF(R1272&gt;=Assumptions!$B$20,"High",IF(R1272&gt;=Assumptions!$B$21,"Medium",IF(R1272&gt;=1,"Low","Clear")))</f>
        <v>Clear</v>
      </c>
      <c r="T1272" s="13" t="str">
        <f t="shared" si="99"/>
        <v/>
      </c>
    </row>
    <row r="1273" spans="1:20" x14ac:dyDescent="0.35">
      <c r="A1273" s="13" t="s">
        <v>5108</v>
      </c>
      <c r="B1273" s="13" t="s">
        <v>476</v>
      </c>
      <c r="C1273" s="13" t="s">
        <v>477</v>
      </c>
      <c r="D1273" s="13" t="s">
        <v>5109</v>
      </c>
      <c r="E1273" s="14">
        <v>46046</v>
      </c>
      <c r="F1273" s="14">
        <v>46084</v>
      </c>
      <c r="G1273" s="15">
        <v>673009.13</v>
      </c>
      <c r="H1273" s="13" t="s">
        <v>5110</v>
      </c>
      <c r="I1273" s="13" t="s">
        <v>5111</v>
      </c>
      <c r="J1273" s="13" t="s">
        <v>136</v>
      </c>
      <c r="K1273" s="13">
        <f t="shared" si="95"/>
        <v>6</v>
      </c>
      <c r="L1273" s="13">
        <f t="shared" si="96"/>
        <v>0</v>
      </c>
      <c r="M1273" s="13">
        <f>IF(AND(L1273=0,COUNTIFS($B$2:$B$1534,B1273,$G$2:$G$1534,G1273,$E$2:$E$1534,"&gt;="&amp;(E1273-Assumptions!$B$5),$E$2:$E$1534,"&lt;="&amp;(E1273+Assumptions!$B$5))&gt;1),1,0)</f>
        <v>0</v>
      </c>
      <c r="N1273" s="13">
        <f>IF(AND(G1273&gt;=Assumptions!$B$4*(1-Assumptions!$B$6),G1273&lt;Assumptions!$B$4),1,0)</f>
        <v>0</v>
      </c>
      <c r="O1273" s="13">
        <f>IF(AND(G1273&gt;=Assumptions!$B$7,MOD(G1273,Assumptions!$B$7)=0),1,0)</f>
        <v>0</v>
      </c>
      <c r="P1273" s="13">
        <f t="shared" si="97"/>
        <v>0</v>
      </c>
      <c r="Q1273" s="13">
        <f t="shared" si="98"/>
        <v>0</v>
      </c>
      <c r="R1273" s="13">
        <f>L1273*Assumptions!$B$11+M1273*Assumptions!$B$12+N1273*Assumptions!$B$13+O1273*Assumptions!$B$14+P1273*Assumptions!$B$15+Q1273*Assumptions!$B$16</f>
        <v>0</v>
      </c>
      <c r="S1273" s="13" t="str">
        <f>IF(R1273&gt;=Assumptions!$B$20,"High",IF(R1273&gt;=Assumptions!$B$21,"Medium",IF(R1273&gt;=1,"Low","Clear")))</f>
        <v>Clear</v>
      </c>
      <c r="T1273" s="13" t="str">
        <f t="shared" si="99"/>
        <v/>
      </c>
    </row>
    <row r="1274" spans="1:20" x14ac:dyDescent="0.35">
      <c r="A1274" s="13" t="s">
        <v>5112</v>
      </c>
      <c r="B1274" s="13" t="s">
        <v>145</v>
      </c>
      <c r="C1274" s="13" t="s">
        <v>146</v>
      </c>
      <c r="D1274" s="13" t="s">
        <v>5113</v>
      </c>
      <c r="E1274" s="14">
        <v>46054</v>
      </c>
      <c r="F1274" s="14">
        <v>46084</v>
      </c>
      <c r="G1274" s="15">
        <v>5137.03</v>
      </c>
      <c r="H1274" s="13" t="s">
        <v>5114</v>
      </c>
      <c r="I1274" s="13" t="s">
        <v>5115</v>
      </c>
      <c r="J1274" s="13" t="s">
        <v>91</v>
      </c>
      <c r="K1274" s="13">
        <f t="shared" si="95"/>
        <v>5</v>
      </c>
      <c r="L1274" s="13">
        <f t="shared" si="96"/>
        <v>0</v>
      </c>
      <c r="M1274" s="13">
        <f>IF(AND(L1274=0,COUNTIFS($B$2:$B$1534,B1274,$G$2:$G$1534,G1274,$E$2:$E$1534,"&gt;="&amp;(E1274-Assumptions!$B$5),$E$2:$E$1534,"&lt;="&amp;(E1274+Assumptions!$B$5))&gt;1),1,0)</f>
        <v>0</v>
      </c>
      <c r="N1274" s="13">
        <f>IF(AND(G1274&gt;=Assumptions!$B$4*(1-Assumptions!$B$6),G1274&lt;Assumptions!$B$4),1,0)</f>
        <v>0</v>
      </c>
      <c r="O1274" s="13">
        <f>IF(AND(G1274&gt;=Assumptions!$B$7,MOD(G1274,Assumptions!$B$7)=0),1,0)</f>
        <v>0</v>
      </c>
      <c r="P1274" s="13">
        <f t="shared" si="97"/>
        <v>0</v>
      </c>
      <c r="Q1274" s="13">
        <f t="shared" si="98"/>
        <v>0</v>
      </c>
      <c r="R1274" s="13">
        <f>L1274*Assumptions!$B$11+M1274*Assumptions!$B$12+N1274*Assumptions!$B$13+O1274*Assumptions!$B$14+P1274*Assumptions!$B$15+Q1274*Assumptions!$B$16</f>
        <v>0</v>
      </c>
      <c r="S1274" s="13" t="str">
        <f>IF(R1274&gt;=Assumptions!$B$20,"High",IF(R1274&gt;=Assumptions!$B$21,"Medium",IF(R1274&gt;=1,"Low","Clear")))</f>
        <v>Clear</v>
      </c>
      <c r="T1274" s="13" t="str">
        <f t="shared" si="99"/>
        <v/>
      </c>
    </row>
    <row r="1275" spans="1:20" x14ac:dyDescent="0.35">
      <c r="A1275" s="13" t="s">
        <v>5116</v>
      </c>
      <c r="B1275" s="13" t="s">
        <v>182</v>
      </c>
      <c r="C1275" s="13" t="s">
        <v>183</v>
      </c>
      <c r="D1275" s="13" t="s">
        <v>5117</v>
      </c>
      <c r="E1275" s="14">
        <v>46049</v>
      </c>
      <c r="F1275" s="14">
        <v>46085</v>
      </c>
      <c r="G1275" s="15">
        <v>3213.32</v>
      </c>
      <c r="H1275" s="13" t="s">
        <v>5118</v>
      </c>
      <c r="I1275" s="13" t="s">
        <v>5119</v>
      </c>
      <c r="J1275" s="13" t="s">
        <v>111</v>
      </c>
      <c r="K1275" s="13">
        <f t="shared" si="95"/>
        <v>3</v>
      </c>
      <c r="L1275" s="13">
        <f t="shared" si="96"/>
        <v>0</v>
      </c>
      <c r="M1275" s="13">
        <f>IF(AND(L1275=0,COUNTIFS($B$2:$B$1534,B1275,$G$2:$G$1534,G1275,$E$2:$E$1534,"&gt;="&amp;(E1275-Assumptions!$B$5),$E$2:$E$1534,"&lt;="&amp;(E1275+Assumptions!$B$5))&gt;1),1,0)</f>
        <v>0</v>
      </c>
      <c r="N1275" s="13">
        <f>IF(AND(G1275&gt;=Assumptions!$B$4*(1-Assumptions!$B$6),G1275&lt;Assumptions!$B$4),1,0)</f>
        <v>0</v>
      </c>
      <c r="O1275" s="13">
        <f>IF(AND(G1275&gt;=Assumptions!$B$7,MOD(G1275,Assumptions!$B$7)=0),1,0)</f>
        <v>0</v>
      </c>
      <c r="P1275" s="13">
        <f t="shared" si="97"/>
        <v>0</v>
      </c>
      <c r="Q1275" s="13">
        <f t="shared" si="98"/>
        <v>0</v>
      </c>
      <c r="R1275" s="13">
        <f>L1275*Assumptions!$B$11+M1275*Assumptions!$B$12+N1275*Assumptions!$B$13+O1275*Assumptions!$B$14+P1275*Assumptions!$B$15+Q1275*Assumptions!$B$16</f>
        <v>0</v>
      </c>
      <c r="S1275" s="13" t="str">
        <f>IF(R1275&gt;=Assumptions!$B$20,"High",IF(R1275&gt;=Assumptions!$B$21,"Medium",IF(R1275&gt;=1,"Low","Clear")))</f>
        <v>Clear</v>
      </c>
      <c r="T1275" s="13" t="str">
        <f t="shared" si="99"/>
        <v/>
      </c>
    </row>
    <row r="1276" spans="1:20" x14ac:dyDescent="0.35">
      <c r="A1276" s="13" t="s">
        <v>5120</v>
      </c>
      <c r="B1276" s="13" t="s">
        <v>409</v>
      </c>
      <c r="C1276" s="13" t="s">
        <v>410</v>
      </c>
      <c r="D1276" s="13" t="s">
        <v>5121</v>
      </c>
      <c r="E1276" s="14">
        <v>46057</v>
      </c>
      <c r="F1276" s="14">
        <v>46085</v>
      </c>
      <c r="G1276" s="15">
        <v>411952.73</v>
      </c>
      <c r="H1276" s="13" t="s">
        <v>5122</v>
      </c>
      <c r="I1276" s="13" t="s">
        <v>5123</v>
      </c>
      <c r="J1276" s="13" t="s">
        <v>91</v>
      </c>
      <c r="K1276" s="13">
        <f t="shared" si="95"/>
        <v>4</v>
      </c>
      <c r="L1276" s="13">
        <f t="shared" si="96"/>
        <v>0</v>
      </c>
      <c r="M1276" s="13">
        <f>IF(AND(L1276=0,COUNTIFS($B$2:$B$1534,B1276,$G$2:$G$1534,G1276,$E$2:$E$1534,"&gt;="&amp;(E1276-Assumptions!$B$5),$E$2:$E$1534,"&lt;="&amp;(E1276+Assumptions!$B$5))&gt;1),1,0)</f>
        <v>0</v>
      </c>
      <c r="N1276" s="13">
        <f>IF(AND(G1276&gt;=Assumptions!$B$4*(1-Assumptions!$B$6),G1276&lt;Assumptions!$B$4),1,0)</f>
        <v>0</v>
      </c>
      <c r="O1276" s="13">
        <f>IF(AND(G1276&gt;=Assumptions!$B$7,MOD(G1276,Assumptions!$B$7)=0),1,0)</f>
        <v>0</v>
      </c>
      <c r="P1276" s="13">
        <f t="shared" si="97"/>
        <v>0</v>
      </c>
      <c r="Q1276" s="13">
        <f t="shared" si="98"/>
        <v>0</v>
      </c>
      <c r="R1276" s="13">
        <f>L1276*Assumptions!$B$11+M1276*Assumptions!$B$12+N1276*Assumptions!$B$13+O1276*Assumptions!$B$14+P1276*Assumptions!$B$15+Q1276*Assumptions!$B$16</f>
        <v>0</v>
      </c>
      <c r="S1276" s="13" t="str">
        <f>IF(R1276&gt;=Assumptions!$B$20,"High",IF(R1276&gt;=Assumptions!$B$21,"Medium",IF(R1276&gt;=1,"Low","Clear")))</f>
        <v>Clear</v>
      </c>
      <c r="T1276" s="13" t="str">
        <f t="shared" si="99"/>
        <v/>
      </c>
    </row>
    <row r="1277" spans="1:20" x14ac:dyDescent="0.35">
      <c r="A1277" s="13" t="s">
        <v>5124</v>
      </c>
      <c r="B1277" s="13" t="s">
        <v>323</v>
      </c>
      <c r="C1277" s="13" t="s">
        <v>324</v>
      </c>
      <c r="D1277" s="13" t="s">
        <v>5125</v>
      </c>
      <c r="E1277" s="14">
        <v>46050</v>
      </c>
      <c r="F1277" s="14">
        <v>46085</v>
      </c>
      <c r="G1277" s="15">
        <v>255149.28</v>
      </c>
      <c r="H1277" s="13" t="s">
        <v>5126</v>
      </c>
      <c r="I1277" s="13" t="s">
        <v>5127</v>
      </c>
      <c r="J1277" s="13" t="s">
        <v>143</v>
      </c>
      <c r="K1277" s="13">
        <f t="shared" si="95"/>
        <v>2</v>
      </c>
      <c r="L1277" s="13">
        <f t="shared" si="96"/>
        <v>0</v>
      </c>
      <c r="M1277" s="13">
        <f>IF(AND(L1277=0,COUNTIFS($B$2:$B$1534,B1277,$G$2:$G$1534,G1277,$E$2:$E$1534,"&gt;="&amp;(E1277-Assumptions!$B$5),$E$2:$E$1534,"&lt;="&amp;(E1277+Assumptions!$B$5))&gt;1),1,0)</f>
        <v>0</v>
      </c>
      <c r="N1277" s="13">
        <f>IF(AND(G1277&gt;=Assumptions!$B$4*(1-Assumptions!$B$6),G1277&lt;Assumptions!$B$4),1,0)</f>
        <v>0</v>
      </c>
      <c r="O1277" s="13">
        <f>IF(AND(G1277&gt;=Assumptions!$B$7,MOD(G1277,Assumptions!$B$7)=0),1,0)</f>
        <v>0</v>
      </c>
      <c r="P1277" s="13">
        <f t="shared" si="97"/>
        <v>0</v>
      </c>
      <c r="Q1277" s="13">
        <f t="shared" si="98"/>
        <v>0</v>
      </c>
      <c r="R1277" s="13">
        <f>L1277*Assumptions!$B$11+M1277*Assumptions!$B$12+N1277*Assumptions!$B$13+O1277*Assumptions!$B$14+P1277*Assumptions!$B$15+Q1277*Assumptions!$B$16</f>
        <v>0</v>
      </c>
      <c r="S1277" s="13" t="str">
        <f>IF(R1277&gt;=Assumptions!$B$20,"High",IF(R1277&gt;=Assumptions!$B$21,"Medium",IF(R1277&gt;=1,"Low","Clear")))</f>
        <v>Clear</v>
      </c>
      <c r="T1277" s="13" t="str">
        <f t="shared" si="99"/>
        <v/>
      </c>
    </row>
    <row r="1278" spans="1:20" x14ac:dyDescent="0.35">
      <c r="A1278" s="13" t="s">
        <v>5128</v>
      </c>
      <c r="B1278" s="13" t="s">
        <v>138</v>
      </c>
      <c r="C1278" s="13" t="s">
        <v>139</v>
      </c>
      <c r="D1278" s="13" t="s">
        <v>5129</v>
      </c>
      <c r="E1278" s="14">
        <v>46059</v>
      </c>
      <c r="F1278" s="14">
        <v>46085</v>
      </c>
      <c r="G1278" s="15">
        <v>2874.21</v>
      </c>
      <c r="H1278" s="13" t="s">
        <v>5130</v>
      </c>
      <c r="I1278" s="13" t="s">
        <v>5131</v>
      </c>
      <c r="J1278" s="13" t="s">
        <v>91</v>
      </c>
      <c r="K1278" s="13">
        <f t="shared" si="95"/>
        <v>2</v>
      </c>
      <c r="L1278" s="13">
        <f t="shared" si="96"/>
        <v>0</v>
      </c>
      <c r="M1278" s="13">
        <f>IF(AND(L1278=0,COUNTIFS($B$2:$B$1534,B1278,$G$2:$G$1534,G1278,$E$2:$E$1534,"&gt;="&amp;(E1278-Assumptions!$B$5),$E$2:$E$1534,"&lt;="&amp;(E1278+Assumptions!$B$5))&gt;1),1,0)</f>
        <v>0</v>
      </c>
      <c r="N1278" s="13">
        <f>IF(AND(G1278&gt;=Assumptions!$B$4*(1-Assumptions!$B$6),G1278&lt;Assumptions!$B$4),1,0)</f>
        <v>0</v>
      </c>
      <c r="O1278" s="13">
        <f>IF(AND(G1278&gt;=Assumptions!$B$7,MOD(G1278,Assumptions!$B$7)=0),1,0)</f>
        <v>0</v>
      </c>
      <c r="P1278" s="13">
        <f t="shared" si="97"/>
        <v>0</v>
      </c>
      <c r="Q1278" s="13">
        <f t="shared" si="98"/>
        <v>0</v>
      </c>
      <c r="R1278" s="13">
        <f>L1278*Assumptions!$B$11+M1278*Assumptions!$B$12+N1278*Assumptions!$B$13+O1278*Assumptions!$B$14+P1278*Assumptions!$B$15+Q1278*Assumptions!$B$16</f>
        <v>0</v>
      </c>
      <c r="S1278" s="13" t="str">
        <f>IF(R1278&gt;=Assumptions!$B$20,"High",IF(R1278&gt;=Assumptions!$B$21,"Medium",IF(R1278&gt;=1,"Low","Clear")))</f>
        <v>Clear</v>
      </c>
      <c r="T1278" s="13" t="str">
        <f t="shared" si="99"/>
        <v/>
      </c>
    </row>
    <row r="1279" spans="1:20" x14ac:dyDescent="0.35">
      <c r="A1279" s="13" t="s">
        <v>5132</v>
      </c>
      <c r="B1279" s="13" t="s">
        <v>182</v>
      </c>
      <c r="C1279" s="13" t="s">
        <v>183</v>
      </c>
      <c r="D1279" s="13" t="s">
        <v>5133</v>
      </c>
      <c r="E1279" s="14">
        <v>46063</v>
      </c>
      <c r="F1279" s="14">
        <v>46086</v>
      </c>
      <c r="G1279" s="15">
        <v>100000</v>
      </c>
      <c r="H1279" s="13" t="s">
        <v>5134</v>
      </c>
      <c r="I1279" s="13" t="s">
        <v>5135</v>
      </c>
      <c r="J1279" s="13" t="s">
        <v>143</v>
      </c>
      <c r="K1279" s="13">
        <f t="shared" si="95"/>
        <v>1</v>
      </c>
      <c r="L1279" s="13">
        <f t="shared" si="96"/>
        <v>0</v>
      </c>
      <c r="M1279" s="13">
        <f>IF(AND(L1279=0,COUNTIFS($B$2:$B$1534,B1279,$G$2:$G$1534,G1279,$E$2:$E$1534,"&gt;="&amp;(E1279-Assumptions!$B$5),$E$2:$E$1534,"&lt;="&amp;(E1279+Assumptions!$B$5))&gt;1),1,0)</f>
        <v>0</v>
      </c>
      <c r="N1279" s="13">
        <f>IF(AND(G1279&gt;=Assumptions!$B$4*(1-Assumptions!$B$6),G1279&lt;Assumptions!$B$4),1,0)</f>
        <v>0</v>
      </c>
      <c r="O1279" s="13">
        <f>IF(AND(G1279&gt;=Assumptions!$B$7,MOD(G1279,Assumptions!$B$7)=0),1,0)</f>
        <v>1</v>
      </c>
      <c r="P1279" s="13">
        <f t="shared" si="97"/>
        <v>0</v>
      </c>
      <c r="Q1279" s="13">
        <f t="shared" si="98"/>
        <v>0</v>
      </c>
      <c r="R1279" s="13">
        <f>L1279*Assumptions!$B$11+M1279*Assumptions!$B$12+N1279*Assumptions!$B$13+O1279*Assumptions!$B$14+P1279*Assumptions!$B$15+Q1279*Assumptions!$B$16</f>
        <v>1</v>
      </c>
      <c r="S1279" s="13" t="str">
        <f>IF(R1279&gt;=Assumptions!$B$20,"High",IF(R1279&gt;=Assumptions!$B$21,"Medium",IF(R1279&gt;=1,"Low","Clear")))</f>
        <v>Low</v>
      </c>
      <c r="T1279" s="13" t="str">
        <f t="shared" si="99"/>
        <v xml:space="preserve">Round amount; </v>
      </c>
    </row>
    <row r="1280" spans="1:20" x14ac:dyDescent="0.35">
      <c r="A1280" s="13" t="s">
        <v>5136</v>
      </c>
      <c r="B1280" s="13" t="s">
        <v>234</v>
      </c>
      <c r="C1280" s="13" t="s">
        <v>235</v>
      </c>
      <c r="D1280" s="13" t="s">
        <v>5137</v>
      </c>
      <c r="E1280" s="14">
        <v>46060</v>
      </c>
      <c r="F1280" s="14">
        <v>46086</v>
      </c>
      <c r="G1280" s="15">
        <v>3652.84</v>
      </c>
      <c r="H1280" s="13" t="s">
        <v>5138</v>
      </c>
      <c r="I1280" s="13" t="s">
        <v>5139</v>
      </c>
      <c r="J1280" s="13" t="s">
        <v>98</v>
      </c>
      <c r="K1280" s="13">
        <f t="shared" si="95"/>
        <v>3</v>
      </c>
      <c r="L1280" s="13">
        <f t="shared" si="96"/>
        <v>0</v>
      </c>
      <c r="M1280" s="13">
        <f>IF(AND(L1280=0,COUNTIFS($B$2:$B$1534,B1280,$G$2:$G$1534,G1280,$E$2:$E$1534,"&gt;="&amp;(E1280-Assumptions!$B$5),$E$2:$E$1534,"&lt;="&amp;(E1280+Assumptions!$B$5))&gt;1),1,0)</f>
        <v>0</v>
      </c>
      <c r="N1280" s="13">
        <f>IF(AND(G1280&gt;=Assumptions!$B$4*(1-Assumptions!$B$6),G1280&lt;Assumptions!$B$4),1,0)</f>
        <v>0</v>
      </c>
      <c r="O1280" s="13">
        <f>IF(AND(G1280&gt;=Assumptions!$B$7,MOD(G1280,Assumptions!$B$7)=0),1,0)</f>
        <v>0</v>
      </c>
      <c r="P1280" s="13">
        <f t="shared" si="97"/>
        <v>0</v>
      </c>
      <c r="Q1280" s="13">
        <f t="shared" si="98"/>
        <v>0</v>
      </c>
      <c r="R1280" s="13">
        <f>L1280*Assumptions!$B$11+M1280*Assumptions!$B$12+N1280*Assumptions!$B$13+O1280*Assumptions!$B$14+P1280*Assumptions!$B$15+Q1280*Assumptions!$B$16</f>
        <v>0</v>
      </c>
      <c r="S1280" s="13" t="str">
        <f>IF(R1280&gt;=Assumptions!$B$20,"High",IF(R1280&gt;=Assumptions!$B$21,"Medium",IF(R1280&gt;=1,"Low","Clear")))</f>
        <v>Clear</v>
      </c>
      <c r="T1280" s="13" t="str">
        <f t="shared" si="99"/>
        <v/>
      </c>
    </row>
    <row r="1281" spans="1:20" x14ac:dyDescent="0.35">
      <c r="A1281" s="13" t="s">
        <v>5140</v>
      </c>
      <c r="B1281" s="13" t="s">
        <v>212</v>
      </c>
      <c r="C1281" s="13" t="s">
        <v>213</v>
      </c>
      <c r="D1281" s="13" t="s">
        <v>5141</v>
      </c>
      <c r="E1281" s="14">
        <v>46049</v>
      </c>
      <c r="F1281" s="14">
        <v>46086</v>
      </c>
      <c r="G1281" s="15">
        <v>164191.28</v>
      </c>
      <c r="H1281" s="13" t="s">
        <v>5142</v>
      </c>
      <c r="I1281" s="13" t="s">
        <v>5143</v>
      </c>
      <c r="J1281" s="13" t="s">
        <v>170</v>
      </c>
      <c r="K1281" s="13">
        <f t="shared" si="95"/>
        <v>1</v>
      </c>
      <c r="L1281" s="13">
        <f t="shared" si="96"/>
        <v>0</v>
      </c>
      <c r="M1281" s="13">
        <f>IF(AND(L1281=0,COUNTIFS($B$2:$B$1534,B1281,$G$2:$G$1534,G1281,$E$2:$E$1534,"&gt;="&amp;(E1281-Assumptions!$B$5),$E$2:$E$1534,"&lt;="&amp;(E1281+Assumptions!$B$5))&gt;1),1,0)</f>
        <v>0</v>
      </c>
      <c r="N1281" s="13">
        <f>IF(AND(G1281&gt;=Assumptions!$B$4*(1-Assumptions!$B$6),G1281&lt;Assumptions!$B$4),1,0)</f>
        <v>0</v>
      </c>
      <c r="O1281" s="13">
        <f>IF(AND(G1281&gt;=Assumptions!$B$7,MOD(G1281,Assumptions!$B$7)=0),1,0)</f>
        <v>0</v>
      </c>
      <c r="P1281" s="13">
        <f t="shared" si="97"/>
        <v>0</v>
      </c>
      <c r="Q1281" s="13">
        <f t="shared" si="98"/>
        <v>0</v>
      </c>
      <c r="R1281" s="13">
        <f>L1281*Assumptions!$B$11+M1281*Assumptions!$B$12+N1281*Assumptions!$B$13+O1281*Assumptions!$B$14+P1281*Assumptions!$B$15+Q1281*Assumptions!$B$16</f>
        <v>0</v>
      </c>
      <c r="S1281" s="13" t="str">
        <f>IF(R1281&gt;=Assumptions!$B$20,"High",IF(R1281&gt;=Assumptions!$B$21,"Medium",IF(R1281&gt;=1,"Low","Clear")))</f>
        <v>Clear</v>
      </c>
      <c r="T1281" s="13" t="str">
        <f t="shared" si="99"/>
        <v/>
      </c>
    </row>
    <row r="1282" spans="1:20" x14ac:dyDescent="0.35">
      <c r="A1282" s="13" t="s">
        <v>5144</v>
      </c>
      <c r="B1282" s="13" t="s">
        <v>323</v>
      </c>
      <c r="C1282" s="13" t="s">
        <v>324</v>
      </c>
      <c r="D1282" s="13" t="s">
        <v>5145</v>
      </c>
      <c r="E1282" s="14">
        <v>46059</v>
      </c>
      <c r="F1282" s="14">
        <v>46086</v>
      </c>
      <c r="G1282" s="15">
        <v>6618.93</v>
      </c>
      <c r="H1282" s="13" t="s">
        <v>5146</v>
      </c>
      <c r="I1282" s="13" t="s">
        <v>5147</v>
      </c>
      <c r="J1282" s="13" t="s">
        <v>98</v>
      </c>
      <c r="K1282" s="13">
        <f t="shared" ref="K1282:K1345" si="100">VALUE(LEFT(TEXT(G1282,"0"),1))</f>
        <v>6</v>
      </c>
      <c r="L1282" s="13">
        <f t="shared" ref="L1282:L1345" si="101">IF(COUNTIFS($B$2:$B$1534,B1282,$D$2:$D$1534,D1282)&gt;1,1,0)</f>
        <v>0</v>
      </c>
      <c r="M1282" s="13">
        <f>IF(AND(L1282=0,COUNTIFS($B$2:$B$1534,B1282,$G$2:$G$1534,G1282,$E$2:$E$1534,"&gt;="&amp;(E1282-Assumptions!$B$5),$E$2:$E$1534,"&lt;="&amp;(E1282+Assumptions!$B$5))&gt;1),1,0)</f>
        <v>0</v>
      </c>
      <c r="N1282" s="13">
        <f>IF(AND(G1282&gt;=Assumptions!$B$4*(1-Assumptions!$B$6),G1282&lt;Assumptions!$B$4),1,0)</f>
        <v>0</v>
      </c>
      <c r="O1282" s="13">
        <f>IF(AND(G1282&gt;=Assumptions!$B$7,MOD(G1282,Assumptions!$B$7)=0),1,0)</f>
        <v>0</v>
      </c>
      <c r="P1282" s="13">
        <f t="shared" ref="P1282:P1345" si="102">IF(OR(H1282="",I1282=""),1,0)</f>
        <v>0</v>
      </c>
      <c r="Q1282" s="13">
        <f t="shared" ref="Q1282:Q1345" si="103">IF(WEEKDAY(F1282,2)&gt;5,1,0)</f>
        <v>0</v>
      </c>
      <c r="R1282" s="13">
        <f>L1282*Assumptions!$B$11+M1282*Assumptions!$B$12+N1282*Assumptions!$B$13+O1282*Assumptions!$B$14+P1282*Assumptions!$B$15+Q1282*Assumptions!$B$16</f>
        <v>0</v>
      </c>
      <c r="S1282" s="13" t="str">
        <f>IF(R1282&gt;=Assumptions!$B$20,"High",IF(R1282&gt;=Assumptions!$B$21,"Medium",IF(R1282&gt;=1,"Low","Clear")))</f>
        <v>Clear</v>
      </c>
      <c r="T1282" s="13" t="str">
        <f t="shared" ref="T1282:T1345" si="104">IF(R1282=0,"",IF(L1282=1,"Duplicate invoice; ","")&amp;IF(M1282=1,"Near-duplicate; ","")&amp;IF(N1282=1,"Just below limit; ","")&amp;IF(O1282=1,"Round amount; ","")&amp;IF(P1282=1,"No PO/GRN; ","")&amp;IF(Q1282=1,"Weekend payment; ",""))</f>
        <v/>
      </c>
    </row>
    <row r="1283" spans="1:20" x14ac:dyDescent="0.35">
      <c r="A1283" s="13" t="s">
        <v>5148</v>
      </c>
      <c r="B1283" s="13" t="s">
        <v>86</v>
      </c>
      <c r="C1283" s="13" t="s">
        <v>87</v>
      </c>
      <c r="D1283" s="13" t="s">
        <v>5149</v>
      </c>
      <c r="E1283" s="14">
        <v>46063</v>
      </c>
      <c r="F1283" s="14">
        <v>46087</v>
      </c>
      <c r="G1283" s="15">
        <v>226228.82</v>
      </c>
      <c r="H1283" s="13" t="s">
        <v>5150</v>
      </c>
      <c r="I1283" s="13" t="s">
        <v>5151</v>
      </c>
      <c r="J1283" s="13" t="s">
        <v>91</v>
      </c>
      <c r="K1283" s="13">
        <f t="shared" si="100"/>
        <v>2</v>
      </c>
      <c r="L1283" s="13">
        <f t="shared" si="101"/>
        <v>0</v>
      </c>
      <c r="M1283" s="13">
        <f>IF(AND(L1283=0,COUNTIFS($B$2:$B$1534,B1283,$G$2:$G$1534,G1283,$E$2:$E$1534,"&gt;="&amp;(E1283-Assumptions!$B$5),$E$2:$E$1534,"&lt;="&amp;(E1283+Assumptions!$B$5))&gt;1),1,0)</f>
        <v>0</v>
      </c>
      <c r="N1283" s="13">
        <f>IF(AND(G1283&gt;=Assumptions!$B$4*(1-Assumptions!$B$6),G1283&lt;Assumptions!$B$4),1,0)</f>
        <v>0</v>
      </c>
      <c r="O1283" s="13">
        <f>IF(AND(G1283&gt;=Assumptions!$B$7,MOD(G1283,Assumptions!$B$7)=0),1,0)</f>
        <v>0</v>
      </c>
      <c r="P1283" s="13">
        <f t="shared" si="102"/>
        <v>0</v>
      </c>
      <c r="Q1283" s="13">
        <f t="shared" si="103"/>
        <v>0</v>
      </c>
      <c r="R1283" s="13">
        <f>L1283*Assumptions!$B$11+M1283*Assumptions!$B$12+N1283*Assumptions!$B$13+O1283*Assumptions!$B$14+P1283*Assumptions!$B$15+Q1283*Assumptions!$B$16</f>
        <v>0</v>
      </c>
      <c r="S1283" s="13" t="str">
        <f>IF(R1283&gt;=Assumptions!$B$20,"High",IF(R1283&gt;=Assumptions!$B$21,"Medium",IF(R1283&gt;=1,"Low","Clear")))</f>
        <v>Clear</v>
      </c>
      <c r="T1283" s="13" t="str">
        <f t="shared" si="104"/>
        <v/>
      </c>
    </row>
    <row r="1284" spans="1:20" x14ac:dyDescent="0.35">
      <c r="A1284" s="13" t="s">
        <v>5152</v>
      </c>
      <c r="B1284" s="13" t="s">
        <v>200</v>
      </c>
      <c r="C1284" s="13" t="s">
        <v>201</v>
      </c>
      <c r="D1284" s="13" t="s">
        <v>5153</v>
      </c>
      <c r="E1284" s="14">
        <v>46060</v>
      </c>
      <c r="F1284" s="14">
        <v>46087</v>
      </c>
      <c r="G1284" s="15">
        <v>133586.07999999999</v>
      </c>
      <c r="H1284" s="13" t="s">
        <v>5154</v>
      </c>
      <c r="I1284" s="13" t="s">
        <v>5155</v>
      </c>
      <c r="J1284" s="13" t="s">
        <v>111</v>
      </c>
      <c r="K1284" s="13">
        <f t="shared" si="100"/>
        <v>1</v>
      </c>
      <c r="L1284" s="13">
        <f t="shared" si="101"/>
        <v>0</v>
      </c>
      <c r="M1284" s="13">
        <f>IF(AND(L1284=0,COUNTIFS($B$2:$B$1534,B1284,$G$2:$G$1534,G1284,$E$2:$E$1534,"&gt;="&amp;(E1284-Assumptions!$B$5),$E$2:$E$1534,"&lt;="&amp;(E1284+Assumptions!$B$5))&gt;1),1,0)</f>
        <v>0</v>
      </c>
      <c r="N1284" s="13">
        <f>IF(AND(G1284&gt;=Assumptions!$B$4*(1-Assumptions!$B$6),G1284&lt;Assumptions!$B$4),1,0)</f>
        <v>0</v>
      </c>
      <c r="O1284" s="13">
        <f>IF(AND(G1284&gt;=Assumptions!$B$7,MOD(G1284,Assumptions!$B$7)=0),1,0)</f>
        <v>0</v>
      </c>
      <c r="P1284" s="13">
        <f t="shared" si="102"/>
        <v>0</v>
      </c>
      <c r="Q1284" s="13">
        <f t="shared" si="103"/>
        <v>0</v>
      </c>
      <c r="R1284" s="13">
        <f>L1284*Assumptions!$B$11+M1284*Assumptions!$B$12+N1284*Assumptions!$B$13+O1284*Assumptions!$B$14+P1284*Assumptions!$B$15+Q1284*Assumptions!$B$16</f>
        <v>0</v>
      </c>
      <c r="S1284" s="13" t="str">
        <f>IF(R1284&gt;=Assumptions!$B$20,"High",IF(R1284&gt;=Assumptions!$B$21,"Medium",IF(R1284&gt;=1,"Low","Clear")))</f>
        <v>Clear</v>
      </c>
      <c r="T1284" s="13" t="str">
        <f t="shared" si="104"/>
        <v/>
      </c>
    </row>
    <row r="1285" spans="1:20" x14ac:dyDescent="0.35">
      <c r="A1285" s="13" t="s">
        <v>5156</v>
      </c>
      <c r="B1285" s="13" t="s">
        <v>774</v>
      </c>
      <c r="C1285" s="13" t="s">
        <v>775</v>
      </c>
      <c r="D1285" s="13" t="s">
        <v>5157</v>
      </c>
      <c r="E1285" s="14">
        <v>46062</v>
      </c>
      <c r="F1285" s="14">
        <v>46087</v>
      </c>
      <c r="G1285" s="15">
        <v>186903.84</v>
      </c>
      <c r="H1285" s="13" t="s">
        <v>5158</v>
      </c>
      <c r="I1285" s="13" t="s">
        <v>5159</v>
      </c>
      <c r="J1285" s="13" t="s">
        <v>143</v>
      </c>
      <c r="K1285" s="13">
        <f t="shared" si="100"/>
        <v>1</v>
      </c>
      <c r="L1285" s="13">
        <f t="shared" si="101"/>
        <v>0</v>
      </c>
      <c r="M1285" s="13">
        <f>IF(AND(L1285=0,COUNTIFS($B$2:$B$1534,B1285,$G$2:$G$1534,G1285,$E$2:$E$1534,"&gt;="&amp;(E1285-Assumptions!$B$5),$E$2:$E$1534,"&lt;="&amp;(E1285+Assumptions!$B$5))&gt;1),1,0)</f>
        <v>0</v>
      </c>
      <c r="N1285" s="13">
        <f>IF(AND(G1285&gt;=Assumptions!$B$4*(1-Assumptions!$B$6),G1285&lt;Assumptions!$B$4),1,0)</f>
        <v>0</v>
      </c>
      <c r="O1285" s="13">
        <f>IF(AND(G1285&gt;=Assumptions!$B$7,MOD(G1285,Assumptions!$B$7)=0),1,0)</f>
        <v>0</v>
      </c>
      <c r="P1285" s="13">
        <f t="shared" si="102"/>
        <v>0</v>
      </c>
      <c r="Q1285" s="13">
        <f t="shared" si="103"/>
        <v>0</v>
      </c>
      <c r="R1285" s="13">
        <f>L1285*Assumptions!$B$11+M1285*Assumptions!$B$12+N1285*Assumptions!$B$13+O1285*Assumptions!$B$14+P1285*Assumptions!$B$15+Q1285*Assumptions!$B$16</f>
        <v>0</v>
      </c>
      <c r="S1285" s="13" t="str">
        <f>IF(R1285&gt;=Assumptions!$B$20,"High",IF(R1285&gt;=Assumptions!$B$21,"Medium",IF(R1285&gt;=1,"Low","Clear")))</f>
        <v>Clear</v>
      </c>
      <c r="T1285" s="13" t="str">
        <f t="shared" si="104"/>
        <v/>
      </c>
    </row>
    <row r="1286" spans="1:20" x14ac:dyDescent="0.35">
      <c r="A1286" s="13" t="s">
        <v>5160</v>
      </c>
      <c r="B1286" s="13" t="s">
        <v>466</v>
      </c>
      <c r="C1286" s="13" t="s">
        <v>467</v>
      </c>
      <c r="D1286" s="13" t="s">
        <v>5161</v>
      </c>
      <c r="E1286" s="14">
        <v>46067</v>
      </c>
      <c r="F1286" s="14">
        <v>46087</v>
      </c>
      <c r="G1286" s="15">
        <v>7251.82</v>
      </c>
      <c r="H1286" s="13" t="s">
        <v>5162</v>
      </c>
      <c r="I1286" s="13" t="s">
        <v>5163</v>
      </c>
      <c r="J1286" s="13" t="s">
        <v>91</v>
      </c>
      <c r="K1286" s="13">
        <f t="shared" si="100"/>
        <v>7</v>
      </c>
      <c r="L1286" s="13">
        <f t="shared" si="101"/>
        <v>0</v>
      </c>
      <c r="M1286" s="13">
        <f>IF(AND(L1286=0,COUNTIFS($B$2:$B$1534,B1286,$G$2:$G$1534,G1286,$E$2:$E$1534,"&gt;="&amp;(E1286-Assumptions!$B$5),$E$2:$E$1534,"&lt;="&amp;(E1286+Assumptions!$B$5))&gt;1),1,0)</f>
        <v>0</v>
      </c>
      <c r="N1286" s="13">
        <f>IF(AND(G1286&gt;=Assumptions!$B$4*(1-Assumptions!$B$6),G1286&lt;Assumptions!$B$4),1,0)</f>
        <v>0</v>
      </c>
      <c r="O1286" s="13">
        <f>IF(AND(G1286&gt;=Assumptions!$B$7,MOD(G1286,Assumptions!$B$7)=0),1,0)</f>
        <v>0</v>
      </c>
      <c r="P1286" s="13">
        <f t="shared" si="102"/>
        <v>0</v>
      </c>
      <c r="Q1286" s="13">
        <f t="shared" si="103"/>
        <v>0</v>
      </c>
      <c r="R1286" s="13">
        <f>L1286*Assumptions!$B$11+M1286*Assumptions!$B$12+N1286*Assumptions!$B$13+O1286*Assumptions!$B$14+P1286*Assumptions!$B$15+Q1286*Assumptions!$B$16</f>
        <v>0</v>
      </c>
      <c r="S1286" s="13" t="str">
        <f>IF(R1286&gt;=Assumptions!$B$20,"High",IF(R1286&gt;=Assumptions!$B$21,"Medium",IF(R1286&gt;=1,"Low","Clear")))</f>
        <v>Clear</v>
      </c>
      <c r="T1286" s="13" t="str">
        <f t="shared" si="104"/>
        <v/>
      </c>
    </row>
    <row r="1287" spans="1:20" x14ac:dyDescent="0.35">
      <c r="A1287" s="13" t="s">
        <v>5164</v>
      </c>
      <c r="B1287" s="13" t="s">
        <v>113</v>
      </c>
      <c r="C1287" s="13" t="s">
        <v>114</v>
      </c>
      <c r="D1287" s="13" t="s">
        <v>5165</v>
      </c>
      <c r="E1287" s="14">
        <v>46057</v>
      </c>
      <c r="F1287" s="14">
        <v>46087</v>
      </c>
      <c r="G1287" s="15">
        <v>22259.1</v>
      </c>
      <c r="H1287" s="13" t="s">
        <v>5166</v>
      </c>
      <c r="I1287" s="13" t="s">
        <v>5167</v>
      </c>
      <c r="J1287" s="13" t="s">
        <v>136</v>
      </c>
      <c r="K1287" s="13">
        <f t="shared" si="100"/>
        <v>2</v>
      </c>
      <c r="L1287" s="13">
        <f t="shared" si="101"/>
        <v>0</v>
      </c>
      <c r="M1287" s="13">
        <f>IF(AND(L1287=0,COUNTIFS($B$2:$B$1534,B1287,$G$2:$G$1534,G1287,$E$2:$E$1534,"&gt;="&amp;(E1287-Assumptions!$B$5),$E$2:$E$1534,"&lt;="&amp;(E1287+Assumptions!$B$5))&gt;1),1,0)</f>
        <v>0</v>
      </c>
      <c r="N1287" s="13">
        <f>IF(AND(G1287&gt;=Assumptions!$B$4*(1-Assumptions!$B$6),G1287&lt;Assumptions!$B$4),1,0)</f>
        <v>0</v>
      </c>
      <c r="O1287" s="13">
        <f>IF(AND(G1287&gt;=Assumptions!$B$7,MOD(G1287,Assumptions!$B$7)=0),1,0)</f>
        <v>0</v>
      </c>
      <c r="P1287" s="13">
        <f t="shared" si="102"/>
        <v>0</v>
      </c>
      <c r="Q1287" s="13">
        <f t="shared" si="103"/>
        <v>0</v>
      </c>
      <c r="R1287" s="13">
        <f>L1287*Assumptions!$B$11+M1287*Assumptions!$B$12+N1287*Assumptions!$B$13+O1287*Assumptions!$B$14+P1287*Assumptions!$B$15+Q1287*Assumptions!$B$16</f>
        <v>0</v>
      </c>
      <c r="S1287" s="13" t="str">
        <f>IF(R1287&gt;=Assumptions!$B$20,"High",IF(R1287&gt;=Assumptions!$B$21,"Medium",IF(R1287&gt;=1,"Low","Clear")))</f>
        <v>Clear</v>
      </c>
      <c r="T1287" s="13" t="str">
        <f t="shared" si="104"/>
        <v/>
      </c>
    </row>
    <row r="1288" spans="1:20" x14ac:dyDescent="0.35">
      <c r="A1288" s="13" t="s">
        <v>5168</v>
      </c>
      <c r="B1288" s="13" t="s">
        <v>138</v>
      </c>
      <c r="C1288" s="13" t="s">
        <v>139</v>
      </c>
      <c r="D1288" s="13" t="s">
        <v>5169</v>
      </c>
      <c r="E1288" s="14">
        <v>46064</v>
      </c>
      <c r="F1288" s="14">
        <v>46087</v>
      </c>
      <c r="G1288" s="15">
        <v>7048.88</v>
      </c>
      <c r="H1288" s="13" t="s">
        <v>5170</v>
      </c>
      <c r="I1288" s="13" t="s">
        <v>5171</v>
      </c>
      <c r="J1288" s="13" t="s">
        <v>143</v>
      </c>
      <c r="K1288" s="13">
        <f t="shared" si="100"/>
        <v>7</v>
      </c>
      <c r="L1288" s="13">
        <f t="shared" si="101"/>
        <v>0</v>
      </c>
      <c r="M1288" s="13">
        <f>IF(AND(L1288=0,COUNTIFS($B$2:$B$1534,B1288,$G$2:$G$1534,G1288,$E$2:$E$1534,"&gt;="&amp;(E1288-Assumptions!$B$5),$E$2:$E$1534,"&lt;="&amp;(E1288+Assumptions!$B$5))&gt;1),1,0)</f>
        <v>0</v>
      </c>
      <c r="N1288" s="13">
        <f>IF(AND(G1288&gt;=Assumptions!$B$4*(1-Assumptions!$B$6),G1288&lt;Assumptions!$B$4),1,0)</f>
        <v>0</v>
      </c>
      <c r="O1288" s="13">
        <f>IF(AND(G1288&gt;=Assumptions!$B$7,MOD(G1288,Assumptions!$B$7)=0),1,0)</f>
        <v>0</v>
      </c>
      <c r="P1288" s="13">
        <f t="shared" si="102"/>
        <v>0</v>
      </c>
      <c r="Q1288" s="13">
        <f t="shared" si="103"/>
        <v>0</v>
      </c>
      <c r="R1288" s="13">
        <f>L1288*Assumptions!$B$11+M1288*Assumptions!$B$12+N1288*Assumptions!$B$13+O1288*Assumptions!$B$14+P1288*Assumptions!$B$15+Q1288*Assumptions!$B$16</f>
        <v>0</v>
      </c>
      <c r="S1288" s="13" t="str">
        <f>IF(R1288&gt;=Assumptions!$B$20,"High",IF(R1288&gt;=Assumptions!$B$21,"Medium",IF(R1288&gt;=1,"Low","Clear")))</f>
        <v>Clear</v>
      </c>
      <c r="T1288" s="13" t="str">
        <f t="shared" si="104"/>
        <v/>
      </c>
    </row>
    <row r="1289" spans="1:20" x14ac:dyDescent="0.35">
      <c r="A1289" s="13" t="s">
        <v>5172</v>
      </c>
      <c r="B1289" s="13" t="s">
        <v>556</v>
      </c>
      <c r="C1289" s="13" t="s">
        <v>557</v>
      </c>
      <c r="D1289" s="13" t="s">
        <v>5173</v>
      </c>
      <c r="E1289" s="14">
        <v>46053</v>
      </c>
      <c r="F1289" s="14">
        <v>46087</v>
      </c>
      <c r="G1289" s="15">
        <v>78188.44</v>
      </c>
      <c r="H1289" s="13" t="s">
        <v>5174</v>
      </c>
      <c r="I1289" s="13" t="s">
        <v>5175</v>
      </c>
      <c r="J1289" s="13" t="s">
        <v>98</v>
      </c>
      <c r="K1289" s="13">
        <f t="shared" si="100"/>
        <v>7</v>
      </c>
      <c r="L1289" s="13">
        <f t="shared" si="101"/>
        <v>0</v>
      </c>
      <c r="M1289" s="13">
        <f>IF(AND(L1289=0,COUNTIFS($B$2:$B$1534,B1289,$G$2:$G$1534,G1289,$E$2:$E$1534,"&gt;="&amp;(E1289-Assumptions!$B$5),$E$2:$E$1534,"&lt;="&amp;(E1289+Assumptions!$B$5))&gt;1),1,0)</f>
        <v>0</v>
      </c>
      <c r="N1289" s="13">
        <f>IF(AND(G1289&gt;=Assumptions!$B$4*(1-Assumptions!$B$6),G1289&lt;Assumptions!$B$4),1,0)</f>
        <v>0</v>
      </c>
      <c r="O1289" s="13">
        <f>IF(AND(G1289&gt;=Assumptions!$B$7,MOD(G1289,Assumptions!$B$7)=0),1,0)</f>
        <v>0</v>
      </c>
      <c r="P1289" s="13">
        <f t="shared" si="102"/>
        <v>0</v>
      </c>
      <c r="Q1289" s="13">
        <f t="shared" si="103"/>
        <v>0</v>
      </c>
      <c r="R1289" s="13">
        <f>L1289*Assumptions!$B$11+M1289*Assumptions!$B$12+N1289*Assumptions!$B$13+O1289*Assumptions!$B$14+P1289*Assumptions!$B$15+Q1289*Assumptions!$B$16</f>
        <v>0</v>
      </c>
      <c r="S1289" s="13" t="str">
        <f>IF(R1289&gt;=Assumptions!$B$20,"High",IF(R1289&gt;=Assumptions!$B$21,"Medium",IF(R1289&gt;=1,"Low","Clear")))</f>
        <v>Clear</v>
      </c>
      <c r="T1289" s="13" t="str">
        <f t="shared" si="104"/>
        <v/>
      </c>
    </row>
    <row r="1290" spans="1:20" x14ac:dyDescent="0.35">
      <c r="A1290" s="13" t="s">
        <v>5176</v>
      </c>
      <c r="B1290" s="13" t="s">
        <v>182</v>
      </c>
      <c r="C1290" s="13" t="s">
        <v>183</v>
      </c>
      <c r="D1290" s="13" t="s">
        <v>5177</v>
      </c>
      <c r="E1290" s="14">
        <v>46062</v>
      </c>
      <c r="F1290" s="14">
        <v>46090</v>
      </c>
      <c r="G1290" s="15">
        <v>22321.59</v>
      </c>
      <c r="H1290" s="13" t="s">
        <v>5178</v>
      </c>
      <c r="I1290" s="13" t="s">
        <v>5179</v>
      </c>
      <c r="J1290" s="13" t="s">
        <v>111</v>
      </c>
      <c r="K1290" s="13">
        <f t="shared" si="100"/>
        <v>2</v>
      </c>
      <c r="L1290" s="13">
        <f t="shared" si="101"/>
        <v>0</v>
      </c>
      <c r="M1290" s="13">
        <f>IF(AND(L1290=0,COUNTIFS($B$2:$B$1534,B1290,$G$2:$G$1534,G1290,$E$2:$E$1534,"&gt;="&amp;(E1290-Assumptions!$B$5),$E$2:$E$1534,"&lt;="&amp;(E1290+Assumptions!$B$5))&gt;1),1,0)</f>
        <v>0</v>
      </c>
      <c r="N1290" s="13">
        <f>IF(AND(G1290&gt;=Assumptions!$B$4*(1-Assumptions!$B$6),G1290&lt;Assumptions!$B$4),1,0)</f>
        <v>0</v>
      </c>
      <c r="O1290" s="13">
        <f>IF(AND(G1290&gt;=Assumptions!$B$7,MOD(G1290,Assumptions!$B$7)=0),1,0)</f>
        <v>0</v>
      </c>
      <c r="P1290" s="13">
        <f t="shared" si="102"/>
        <v>0</v>
      </c>
      <c r="Q1290" s="13">
        <f t="shared" si="103"/>
        <v>0</v>
      </c>
      <c r="R1290" s="13">
        <f>L1290*Assumptions!$B$11+M1290*Assumptions!$B$12+N1290*Assumptions!$B$13+O1290*Assumptions!$B$14+P1290*Assumptions!$B$15+Q1290*Assumptions!$B$16</f>
        <v>0</v>
      </c>
      <c r="S1290" s="13" t="str">
        <f>IF(R1290&gt;=Assumptions!$B$20,"High",IF(R1290&gt;=Assumptions!$B$21,"Medium",IF(R1290&gt;=1,"Low","Clear")))</f>
        <v>Clear</v>
      </c>
      <c r="T1290" s="13" t="str">
        <f t="shared" si="104"/>
        <v/>
      </c>
    </row>
    <row r="1291" spans="1:20" x14ac:dyDescent="0.35">
      <c r="A1291" s="13" t="s">
        <v>5180</v>
      </c>
      <c r="B1291" s="13" t="s">
        <v>293</v>
      </c>
      <c r="C1291" s="13" t="s">
        <v>294</v>
      </c>
      <c r="D1291" s="13" t="s">
        <v>5181</v>
      </c>
      <c r="E1291" s="14">
        <v>46054</v>
      </c>
      <c r="F1291" s="14">
        <v>46090</v>
      </c>
      <c r="G1291" s="15">
        <v>35272.879999999997</v>
      </c>
      <c r="H1291" s="13" t="s">
        <v>5182</v>
      </c>
      <c r="I1291" s="13" t="s">
        <v>5183</v>
      </c>
      <c r="J1291" s="13" t="s">
        <v>143</v>
      </c>
      <c r="K1291" s="13">
        <f t="shared" si="100"/>
        <v>3</v>
      </c>
      <c r="L1291" s="13">
        <f t="shared" si="101"/>
        <v>0</v>
      </c>
      <c r="M1291" s="13">
        <f>IF(AND(L1291=0,COUNTIFS($B$2:$B$1534,B1291,$G$2:$G$1534,G1291,$E$2:$E$1534,"&gt;="&amp;(E1291-Assumptions!$B$5),$E$2:$E$1534,"&lt;="&amp;(E1291+Assumptions!$B$5))&gt;1),1,0)</f>
        <v>0</v>
      </c>
      <c r="N1291" s="13">
        <f>IF(AND(G1291&gt;=Assumptions!$B$4*(1-Assumptions!$B$6),G1291&lt;Assumptions!$B$4),1,0)</f>
        <v>0</v>
      </c>
      <c r="O1291" s="13">
        <f>IF(AND(G1291&gt;=Assumptions!$B$7,MOD(G1291,Assumptions!$B$7)=0),1,0)</f>
        <v>0</v>
      </c>
      <c r="P1291" s="13">
        <f t="shared" si="102"/>
        <v>0</v>
      </c>
      <c r="Q1291" s="13">
        <f t="shared" si="103"/>
        <v>0</v>
      </c>
      <c r="R1291" s="13">
        <f>L1291*Assumptions!$B$11+M1291*Assumptions!$B$12+N1291*Assumptions!$B$13+O1291*Assumptions!$B$14+P1291*Assumptions!$B$15+Q1291*Assumptions!$B$16</f>
        <v>0</v>
      </c>
      <c r="S1291" s="13" t="str">
        <f>IF(R1291&gt;=Assumptions!$B$20,"High",IF(R1291&gt;=Assumptions!$B$21,"Medium",IF(R1291&gt;=1,"Low","Clear")))</f>
        <v>Clear</v>
      </c>
      <c r="T1291" s="13" t="str">
        <f t="shared" si="104"/>
        <v/>
      </c>
    </row>
    <row r="1292" spans="1:20" x14ac:dyDescent="0.35">
      <c r="A1292" s="13" t="s">
        <v>5184</v>
      </c>
      <c r="B1292" s="13" t="s">
        <v>86</v>
      </c>
      <c r="C1292" s="13" t="s">
        <v>87</v>
      </c>
      <c r="D1292" s="13" t="s">
        <v>5185</v>
      </c>
      <c r="E1292" s="14">
        <v>46051</v>
      </c>
      <c r="F1292" s="14">
        <v>46090</v>
      </c>
      <c r="G1292" s="15">
        <v>2901.23</v>
      </c>
      <c r="H1292" s="13" t="s">
        <v>5186</v>
      </c>
      <c r="I1292" s="13" t="s">
        <v>5187</v>
      </c>
      <c r="J1292" s="13" t="s">
        <v>136</v>
      </c>
      <c r="K1292" s="13">
        <f t="shared" si="100"/>
        <v>2</v>
      </c>
      <c r="L1292" s="13">
        <f t="shared" si="101"/>
        <v>0</v>
      </c>
      <c r="M1292" s="13">
        <f>IF(AND(L1292=0,COUNTIFS($B$2:$B$1534,B1292,$G$2:$G$1534,G1292,$E$2:$E$1534,"&gt;="&amp;(E1292-Assumptions!$B$5),$E$2:$E$1534,"&lt;="&amp;(E1292+Assumptions!$B$5))&gt;1),1,0)</f>
        <v>0</v>
      </c>
      <c r="N1292" s="13">
        <f>IF(AND(G1292&gt;=Assumptions!$B$4*(1-Assumptions!$B$6),G1292&lt;Assumptions!$B$4),1,0)</f>
        <v>0</v>
      </c>
      <c r="O1292" s="13">
        <f>IF(AND(G1292&gt;=Assumptions!$B$7,MOD(G1292,Assumptions!$B$7)=0),1,0)</f>
        <v>0</v>
      </c>
      <c r="P1292" s="13">
        <f t="shared" si="102"/>
        <v>0</v>
      </c>
      <c r="Q1292" s="13">
        <f t="shared" si="103"/>
        <v>0</v>
      </c>
      <c r="R1292" s="13">
        <f>L1292*Assumptions!$B$11+M1292*Assumptions!$B$12+N1292*Assumptions!$B$13+O1292*Assumptions!$B$14+P1292*Assumptions!$B$15+Q1292*Assumptions!$B$16</f>
        <v>0</v>
      </c>
      <c r="S1292" s="13" t="str">
        <f>IF(R1292&gt;=Assumptions!$B$20,"High",IF(R1292&gt;=Assumptions!$B$21,"Medium",IF(R1292&gt;=1,"Low","Clear")))</f>
        <v>Clear</v>
      </c>
      <c r="T1292" s="13" t="str">
        <f t="shared" si="104"/>
        <v/>
      </c>
    </row>
    <row r="1293" spans="1:20" x14ac:dyDescent="0.35">
      <c r="A1293" s="13" t="s">
        <v>5188</v>
      </c>
      <c r="B1293" s="13" t="s">
        <v>279</v>
      </c>
      <c r="C1293" s="13" t="s">
        <v>280</v>
      </c>
      <c r="D1293" s="13" t="s">
        <v>5189</v>
      </c>
      <c r="E1293" s="14">
        <v>46058</v>
      </c>
      <c r="F1293" s="14">
        <v>46090</v>
      </c>
      <c r="G1293" s="15">
        <v>70000</v>
      </c>
      <c r="H1293" s="13" t="s">
        <v>5190</v>
      </c>
      <c r="I1293" s="13" t="s">
        <v>5191</v>
      </c>
      <c r="J1293" s="13" t="s">
        <v>170</v>
      </c>
      <c r="K1293" s="13">
        <f t="shared" si="100"/>
        <v>7</v>
      </c>
      <c r="L1293" s="13">
        <f t="shared" si="101"/>
        <v>0</v>
      </c>
      <c r="M1293" s="13">
        <f>IF(AND(L1293=0,COUNTIFS($B$2:$B$1534,B1293,$G$2:$G$1534,G1293,$E$2:$E$1534,"&gt;="&amp;(E1293-Assumptions!$B$5),$E$2:$E$1534,"&lt;="&amp;(E1293+Assumptions!$B$5))&gt;1),1,0)</f>
        <v>0</v>
      </c>
      <c r="N1293" s="13">
        <f>IF(AND(G1293&gt;=Assumptions!$B$4*(1-Assumptions!$B$6),G1293&lt;Assumptions!$B$4),1,0)</f>
        <v>0</v>
      </c>
      <c r="O1293" s="13">
        <f>IF(AND(G1293&gt;=Assumptions!$B$7,MOD(G1293,Assumptions!$B$7)=0),1,0)</f>
        <v>1</v>
      </c>
      <c r="P1293" s="13">
        <f t="shared" si="102"/>
        <v>0</v>
      </c>
      <c r="Q1293" s="13">
        <f t="shared" si="103"/>
        <v>0</v>
      </c>
      <c r="R1293" s="13">
        <f>L1293*Assumptions!$B$11+M1293*Assumptions!$B$12+N1293*Assumptions!$B$13+O1293*Assumptions!$B$14+P1293*Assumptions!$B$15+Q1293*Assumptions!$B$16</f>
        <v>1</v>
      </c>
      <c r="S1293" s="13" t="str">
        <f>IF(R1293&gt;=Assumptions!$B$20,"High",IF(R1293&gt;=Assumptions!$B$21,"Medium",IF(R1293&gt;=1,"Low","Clear")))</f>
        <v>Low</v>
      </c>
      <c r="T1293" s="13" t="str">
        <f t="shared" si="104"/>
        <v xml:space="preserve">Round amount; </v>
      </c>
    </row>
    <row r="1294" spans="1:20" x14ac:dyDescent="0.35">
      <c r="A1294" s="13" t="s">
        <v>5192</v>
      </c>
      <c r="B1294" s="13" t="s">
        <v>113</v>
      </c>
      <c r="C1294" s="13" t="s">
        <v>114</v>
      </c>
      <c r="D1294" s="13" t="s">
        <v>5193</v>
      </c>
      <c r="E1294" s="14">
        <v>46054</v>
      </c>
      <c r="F1294" s="14">
        <v>46090</v>
      </c>
      <c r="G1294" s="15">
        <v>889830.89</v>
      </c>
      <c r="H1294" s="13" t="s">
        <v>5194</v>
      </c>
      <c r="I1294" s="13" t="s">
        <v>5195</v>
      </c>
      <c r="J1294" s="13" t="s">
        <v>91</v>
      </c>
      <c r="K1294" s="13">
        <f t="shared" si="100"/>
        <v>8</v>
      </c>
      <c r="L1294" s="13">
        <f t="shared" si="101"/>
        <v>0</v>
      </c>
      <c r="M1294" s="13">
        <f>IF(AND(L1294=0,COUNTIFS($B$2:$B$1534,B1294,$G$2:$G$1534,G1294,$E$2:$E$1534,"&gt;="&amp;(E1294-Assumptions!$B$5),$E$2:$E$1534,"&lt;="&amp;(E1294+Assumptions!$B$5))&gt;1),1,0)</f>
        <v>0</v>
      </c>
      <c r="N1294" s="13">
        <f>IF(AND(G1294&gt;=Assumptions!$B$4*(1-Assumptions!$B$6),G1294&lt;Assumptions!$B$4),1,0)</f>
        <v>0</v>
      </c>
      <c r="O1294" s="13">
        <f>IF(AND(G1294&gt;=Assumptions!$B$7,MOD(G1294,Assumptions!$B$7)=0),1,0)</f>
        <v>0</v>
      </c>
      <c r="P1294" s="13">
        <f t="shared" si="102"/>
        <v>0</v>
      </c>
      <c r="Q1294" s="13">
        <f t="shared" si="103"/>
        <v>0</v>
      </c>
      <c r="R1294" s="13">
        <f>L1294*Assumptions!$B$11+M1294*Assumptions!$B$12+N1294*Assumptions!$B$13+O1294*Assumptions!$B$14+P1294*Assumptions!$B$15+Q1294*Assumptions!$B$16</f>
        <v>0</v>
      </c>
      <c r="S1294" s="13" t="str">
        <f>IF(R1294&gt;=Assumptions!$B$20,"High",IF(R1294&gt;=Assumptions!$B$21,"Medium",IF(R1294&gt;=1,"Low","Clear")))</f>
        <v>Clear</v>
      </c>
      <c r="T1294" s="13" t="str">
        <f t="shared" si="104"/>
        <v/>
      </c>
    </row>
    <row r="1295" spans="1:20" x14ac:dyDescent="0.35">
      <c r="A1295" s="13" t="s">
        <v>5196</v>
      </c>
      <c r="B1295" s="13" t="s">
        <v>113</v>
      </c>
      <c r="C1295" s="13" t="s">
        <v>114</v>
      </c>
      <c r="D1295" s="13" t="s">
        <v>5197</v>
      </c>
      <c r="E1295" s="14">
        <v>46052</v>
      </c>
      <c r="F1295" s="14">
        <v>46090</v>
      </c>
      <c r="G1295" s="15">
        <v>2873.4</v>
      </c>
      <c r="H1295" s="13" t="s">
        <v>5198</v>
      </c>
      <c r="I1295" s="13" t="s">
        <v>5199</v>
      </c>
      <c r="J1295" s="13" t="s">
        <v>170</v>
      </c>
      <c r="K1295" s="13">
        <f t="shared" si="100"/>
        <v>2</v>
      </c>
      <c r="L1295" s="13">
        <f t="shared" si="101"/>
        <v>0</v>
      </c>
      <c r="M1295" s="13">
        <f>IF(AND(L1295=0,COUNTIFS($B$2:$B$1534,B1295,$G$2:$G$1534,G1295,$E$2:$E$1534,"&gt;="&amp;(E1295-Assumptions!$B$5),$E$2:$E$1534,"&lt;="&amp;(E1295+Assumptions!$B$5))&gt;1),1,0)</f>
        <v>0</v>
      </c>
      <c r="N1295" s="13">
        <f>IF(AND(G1295&gt;=Assumptions!$B$4*(1-Assumptions!$B$6),G1295&lt;Assumptions!$B$4),1,0)</f>
        <v>0</v>
      </c>
      <c r="O1295" s="13">
        <f>IF(AND(G1295&gt;=Assumptions!$B$7,MOD(G1295,Assumptions!$B$7)=0),1,0)</f>
        <v>0</v>
      </c>
      <c r="P1295" s="13">
        <f t="shared" si="102"/>
        <v>0</v>
      </c>
      <c r="Q1295" s="13">
        <f t="shared" si="103"/>
        <v>0</v>
      </c>
      <c r="R1295" s="13">
        <f>L1295*Assumptions!$B$11+M1295*Assumptions!$B$12+N1295*Assumptions!$B$13+O1295*Assumptions!$B$14+P1295*Assumptions!$B$15+Q1295*Assumptions!$B$16</f>
        <v>0</v>
      </c>
      <c r="S1295" s="13" t="str">
        <f>IF(R1295&gt;=Assumptions!$B$20,"High",IF(R1295&gt;=Assumptions!$B$21,"Medium",IF(R1295&gt;=1,"Low","Clear")))</f>
        <v>Clear</v>
      </c>
      <c r="T1295" s="13" t="str">
        <f t="shared" si="104"/>
        <v/>
      </c>
    </row>
    <row r="1296" spans="1:20" x14ac:dyDescent="0.35">
      <c r="A1296" s="13" t="s">
        <v>5200</v>
      </c>
      <c r="B1296" s="13" t="s">
        <v>307</v>
      </c>
      <c r="C1296" s="13" t="s">
        <v>308</v>
      </c>
      <c r="D1296" s="13" t="s">
        <v>5201</v>
      </c>
      <c r="E1296" s="14">
        <v>46062</v>
      </c>
      <c r="F1296" s="14">
        <v>46090</v>
      </c>
      <c r="G1296" s="15">
        <v>262625.11</v>
      </c>
      <c r="H1296" s="13" t="s">
        <v>5202</v>
      </c>
      <c r="I1296" s="13" t="s">
        <v>5203</v>
      </c>
      <c r="J1296" s="13" t="s">
        <v>170</v>
      </c>
      <c r="K1296" s="13">
        <f t="shared" si="100"/>
        <v>2</v>
      </c>
      <c r="L1296" s="13">
        <f t="shared" si="101"/>
        <v>0</v>
      </c>
      <c r="M1296" s="13">
        <f>IF(AND(L1296=0,COUNTIFS($B$2:$B$1534,B1296,$G$2:$G$1534,G1296,$E$2:$E$1534,"&gt;="&amp;(E1296-Assumptions!$B$5),$E$2:$E$1534,"&lt;="&amp;(E1296+Assumptions!$B$5))&gt;1),1,0)</f>
        <v>0</v>
      </c>
      <c r="N1296" s="13">
        <f>IF(AND(G1296&gt;=Assumptions!$B$4*(1-Assumptions!$B$6),G1296&lt;Assumptions!$B$4),1,0)</f>
        <v>0</v>
      </c>
      <c r="O1296" s="13">
        <f>IF(AND(G1296&gt;=Assumptions!$B$7,MOD(G1296,Assumptions!$B$7)=0),1,0)</f>
        <v>0</v>
      </c>
      <c r="P1296" s="13">
        <f t="shared" si="102"/>
        <v>0</v>
      </c>
      <c r="Q1296" s="13">
        <f t="shared" si="103"/>
        <v>0</v>
      </c>
      <c r="R1296" s="13">
        <f>L1296*Assumptions!$B$11+M1296*Assumptions!$B$12+N1296*Assumptions!$B$13+O1296*Assumptions!$B$14+P1296*Assumptions!$B$15+Q1296*Assumptions!$B$16</f>
        <v>0</v>
      </c>
      <c r="S1296" s="13" t="str">
        <f>IF(R1296&gt;=Assumptions!$B$20,"High",IF(R1296&gt;=Assumptions!$B$21,"Medium",IF(R1296&gt;=1,"Low","Clear")))</f>
        <v>Clear</v>
      </c>
      <c r="T1296" s="13" t="str">
        <f t="shared" si="104"/>
        <v/>
      </c>
    </row>
    <row r="1297" spans="1:20" x14ac:dyDescent="0.35">
      <c r="A1297" s="13" t="s">
        <v>5204</v>
      </c>
      <c r="B1297" s="13" t="s">
        <v>476</v>
      </c>
      <c r="C1297" s="13" t="s">
        <v>477</v>
      </c>
      <c r="D1297" s="13" t="s">
        <v>5205</v>
      </c>
      <c r="E1297" s="14">
        <v>46055</v>
      </c>
      <c r="F1297" s="14">
        <v>46090</v>
      </c>
      <c r="G1297" s="15">
        <v>1838.32</v>
      </c>
      <c r="H1297" s="13" t="s">
        <v>5206</v>
      </c>
      <c r="I1297" s="13" t="s">
        <v>5207</v>
      </c>
      <c r="J1297" s="13" t="s">
        <v>170</v>
      </c>
      <c r="K1297" s="13">
        <f t="shared" si="100"/>
        <v>1</v>
      </c>
      <c r="L1297" s="13">
        <f t="shared" si="101"/>
        <v>0</v>
      </c>
      <c r="M1297" s="13">
        <f>IF(AND(L1297=0,COUNTIFS($B$2:$B$1534,B1297,$G$2:$G$1534,G1297,$E$2:$E$1534,"&gt;="&amp;(E1297-Assumptions!$B$5),$E$2:$E$1534,"&lt;="&amp;(E1297+Assumptions!$B$5))&gt;1),1,0)</f>
        <v>0</v>
      </c>
      <c r="N1297" s="13">
        <f>IF(AND(G1297&gt;=Assumptions!$B$4*(1-Assumptions!$B$6),G1297&lt;Assumptions!$B$4),1,0)</f>
        <v>0</v>
      </c>
      <c r="O1297" s="13">
        <f>IF(AND(G1297&gt;=Assumptions!$B$7,MOD(G1297,Assumptions!$B$7)=0),1,0)</f>
        <v>0</v>
      </c>
      <c r="P1297" s="13">
        <f t="shared" si="102"/>
        <v>0</v>
      </c>
      <c r="Q1297" s="13">
        <f t="shared" si="103"/>
        <v>0</v>
      </c>
      <c r="R1297" s="13">
        <f>L1297*Assumptions!$B$11+M1297*Assumptions!$B$12+N1297*Assumptions!$B$13+O1297*Assumptions!$B$14+P1297*Assumptions!$B$15+Q1297*Assumptions!$B$16</f>
        <v>0</v>
      </c>
      <c r="S1297" s="13" t="str">
        <f>IF(R1297&gt;=Assumptions!$B$20,"High",IF(R1297&gt;=Assumptions!$B$21,"Medium",IF(R1297&gt;=1,"Low","Clear")))</f>
        <v>Clear</v>
      </c>
      <c r="T1297" s="13" t="str">
        <f t="shared" si="104"/>
        <v/>
      </c>
    </row>
    <row r="1298" spans="1:20" x14ac:dyDescent="0.35">
      <c r="A1298" s="13" t="s">
        <v>5208</v>
      </c>
      <c r="B1298" s="13" t="s">
        <v>476</v>
      </c>
      <c r="C1298" s="13" t="s">
        <v>477</v>
      </c>
      <c r="D1298" s="13" t="s">
        <v>5209</v>
      </c>
      <c r="E1298" s="14">
        <v>46066</v>
      </c>
      <c r="F1298" s="14">
        <v>46090</v>
      </c>
      <c r="G1298" s="15">
        <v>121678.38</v>
      </c>
      <c r="H1298" s="13" t="s">
        <v>5210</v>
      </c>
      <c r="I1298" s="13" t="s">
        <v>5211</v>
      </c>
      <c r="J1298" s="13" t="s">
        <v>98</v>
      </c>
      <c r="K1298" s="13">
        <f t="shared" si="100"/>
        <v>1</v>
      </c>
      <c r="L1298" s="13">
        <f t="shared" si="101"/>
        <v>0</v>
      </c>
      <c r="M1298" s="13">
        <f>IF(AND(L1298=0,COUNTIFS($B$2:$B$1534,B1298,$G$2:$G$1534,G1298,$E$2:$E$1534,"&gt;="&amp;(E1298-Assumptions!$B$5),$E$2:$E$1534,"&lt;="&amp;(E1298+Assumptions!$B$5))&gt;1),1,0)</f>
        <v>0</v>
      </c>
      <c r="N1298" s="13">
        <f>IF(AND(G1298&gt;=Assumptions!$B$4*(1-Assumptions!$B$6),G1298&lt;Assumptions!$B$4),1,0)</f>
        <v>0</v>
      </c>
      <c r="O1298" s="13">
        <f>IF(AND(G1298&gt;=Assumptions!$B$7,MOD(G1298,Assumptions!$B$7)=0),1,0)</f>
        <v>0</v>
      </c>
      <c r="P1298" s="13">
        <f t="shared" si="102"/>
        <v>0</v>
      </c>
      <c r="Q1298" s="13">
        <f t="shared" si="103"/>
        <v>0</v>
      </c>
      <c r="R1298" s="13">
        <f>L1298*Assumptions!$B$11+M1298*Assumptions!$B$12+N1298*Assumptions!$B$13+O1298*Assumptions!$B$14+P1298*Assumptions!$B$15+Q1298*Assumptions!$B$16</f>
        <v>0</v>
      </c>
      <c r="S1298" s="13" t="str">
        <f>IF(R1298&gt;=Assumptions!$B$20,"High",IF(R1298&gt;=Assumptions!$B$21,"Medium",IF(R1298&gt;=1,"Low","Clear")))</f>
        <v>Clear</v>
      </c>
      <c r="T1298" s="13" t="str">
        <f t="shared" si="104"/>
        <v/>
      </c>
    </row>
    <row r="1299" spans="1:20" x14ac:dyDescent="0.35">
      <c r="A1299" s="13" t="s">
        <v>5212</v>
      </c>
      <c r="B1299" s="13" t="s">
        <v>339</v>
      </c>
      <c r="C1299" s="13" t="s">
        <v>340</v>
      </c>
      <c r="D1299" s="13" t="s">
        <v>5213</v>
      </c>
      <c r="E1299" s="14">
        <v>46061</v>
      </c>
      <c r="F1299" s="14">
        <v>46090</v>
      </c>
      <c r="G1299" s="15">
        <v>7145.47</v>
      </c>
      <c r="H1299" s="13" t="s">
        <v>5214</v>
      </c>
      <c r="I1299" s="13" t="s">
        <v>5215</v>
      </c>
      <c r="J1299" s="13" t="s">
        <v>170</v>
      </c>
      <c r="K1299" s="13">
        <f t="shared" si="100"/>
        <v>7</v>
      </c>
      <c r="L1299" s="13">
        <f t="shared" si="101"/>
        <v>0</v>
      </c>
      <c r="M1299" s="13">
        <f>IF(AND(L1299=0,COUNTIFS($B$2:$B$1534,B1299,$G$2:$G$1534,G1299,$E$2:$E$1534,"&gt;="&amp;(E1299-Assumptions!$B$5),$E$2:$E$1534,"&lt;="&amp;(E1299+Assumptions!$B$5))&gt;1),1,0)</f>
        <v>0</v>
      </c>
      <c r="N1299" s="13">
        <f>IF(AND(G1299&gt;=Assumptions!$B$4*(1-Assumptions!$B$6),G1299&lt;Assumptions!$B$4),1,0)</f>
        <v>0</v>
      </c>
      <c r="O1299" s="13">
        <f>IF(AND(G1299&gt;=Assumptions!$B$7,MOD(G1299,Assumptions!$B$7)=0),1,0)</f>
        <v>0</v>
      </c>
      <c r="P1299" s="13">
        <f t="shared" si="102"/>
        <v>0</v>
      </c>
      <c r="Q1299" s="13">
        <f t="shared" si="103"/>
        <v>0</v>
      </c>
      <c r="R1299" s="13">
        <f>L1299*Assumptions!$B$11+M1299*Assumptions!$B$12+N1299*Assumptions!$B$13+O1299*Assumptions!$B$14+P1299*Assumptions!$B$15+Q1299*Assumptions!$B$16</f>
        <v>0</v>
      </c>
      <c r="S1299" s="13" t="str">
        <f>IF(R1299&gt;=Assumptions!$B$20,"High",IF(R1299&gt;=Assumptions!$B$21,"Medium",IF(R1299&gt;=1,"Low","Clear")))</f>
        <v>Clear</v>
      </c>
      <c r="T1299" s="13" t="str">
        <f t="shared" si="104"/>
        <v/>
      </c>
    </row>
    <row r="1300" spans="1:20" x14ac:dyDescent="0.35">
      <c r="A1300" s="13" t="s">
        <v>5216</v>
      </c>
      <c r="B1300" s="13" t="s">
        <v>438</v>
      </c>
      <c r="C1300" s="13" t="s">
        <v>439</v>
      </c>
      <c r="D1300" s="13" t="s">
        <v>5217</v>
      </c>
      <c r="E1300" s="14">
        <v>46058</v>
      </c>
      <c r="F1300" s="14">
        <v>46090</v>
      </c>
      <c r="G1300" s="15">
        <v>16046.99</v>
      </c>
      <c r="H1300" s="13" t="s">
        <v>5218</v>
      </c>
      <c r="I1300" s="13" t="s">
        <v>5219</v>
      </c>
      <c r="J1300" s="13" t="s">
        <v>111</v>
      </c>
      <c r="K1300" s="13">
        <f t="shared" si="100"/>
        <v>1</v>
      </c>
      <c r="L1300" s="13">
        <f t="shared" si="101"/>
        <v>0</v>
      </c>
      <c r="M1300" s="13">
        <f>IF(AND(L1300=0,COUNTIFS($B$2:$B$1534,B1300,$G$2:$G$1534,G1300,$E$2:$E$1534,"&gt;="&amp;(E1300-Assumptions!$B$5),$E$2:$E$1534,"&lt;="&amp;(E1300+Assumptions!$B$5))&gt;1),1,0)</f>
        <v>0</v>
      </c>
      <c r="N1300" s="13">
        <f>IF(AND(G1300&gt;=Assumptions!$B$4*(1-Assumptions!$B$6),G1300&lt;Assumptions!$B$4),1,0)</f>
        <v>0</v>
      </c>
      <c r="O1300" s="13">
        <f>IF(AND(G1300&gt;=Assumptions!$B$7,MOD(G1300,Assumptions!$B$7)=0),1,0)</f>
        <v>0</v>
      </c>
      <c r="P1300" s="13">
        <f t="shared" si="102"/>
        <v>0</v>
      </c>
      <c r="Q1300" s="13">
        <f t="shared" si="103"/>
        <v>0</v>
      </c>
      <c r="R1300" s="13">
        <f>L1300*Assumptions!$B$11+M1300*Assumptions!$B$12+N1300*Assumptions!$B$13+O1300*Assumptions!$B$14+P1300*Assumptions!$B$15+Q1300*Assumptions!$B$16</f>
        <v>0</v>
      </c>
      <c r="S1300" s="13" t="str">
        <f>IF(R1300&gt;=Assumptions!$B$20,"High",IF(R1300&gt;=Assumptions!$B$21,"Medium",IF(R1300&gt;=1,"Low","Clear")))</f>
        <v>Clear</v>
      </c>
      <c r="T1300" s="13" t="str">
        <f t="shared" si="104"/>
        <v/>
      </c>
    </row>
    <row r="1301" spans="1:20" x14ac:dyDescent="0.35">
      <c r="A1301" s="13" t="s">
        <v>5220</v>
      </c>
      <c r="B1301" s="13" t="s">
        <v>556</v>
      </c>
      <c r="C1301" s="13" t="s">
        <v>557</v>
      </c>
      <c r="D1301" s="13" t="s">
        <v>5221</v>
      </c>
      <c r="E1301" s="14">
        <v>46053</v>
      </c>
      <c r="F1301" s="14">
        <v>46090</v>
      </c>
      <c r="G1301" s="15">
        <v>993296.95</v>
      </c>
      <c r="H1301" s="13" t="s">
        <v>5222</v>
      </c>
      <c r="I1301" s="13" t="s">
        <v>5223</v>
      </c>
      <c r="J1301" s="13" t="s">
        <v>98</v>
      </c>
      <c r="K1301" s="13">
        <f t="shared" si="100"/>
        <v>9</v>
      </c>
      <c r="L1301" s="13">
        <f t="shared" si="101"/>
        <v>0</v>
      </c>
      <c r="M1301" s="13">
        <f>IF(AND(L1301=0,COUNTIFS($B$2:$B$1534,B1301,$G$2:$G$1534,G1301,$E$2:$E$1534,"&gt;="&amp;(E1301-Assumptions!$B$5),$E$2:$E$1534,"&lt;="&amp;(E1301+Assumptions!$B$5))&gt;1),1,0)</f>
        <v>0</v>
      </c>
      <c r="N1301" s="13">
        <f>IF(AND(G1301&gt;=Assumptions!$B$4*(1-Assumptions!$B$6),G1301&lt;Assumptions!$B$4),1,0)</f>
        <v>0</v>
      </c>
      <c r="O1301" s="13">
        <f>IF(AND(G1301&gt;=Assumptions!$B$7,MOD(G1301,Assumptions!$B$7)=0),1,0)</f>
        <v>0</v>
      </c>
      <c r="P1301" s="13">
        <f t="shared" si="102"/>
        <v>0</v>
      </c>
      <c r="Q1301" s="13">
        <f t="shared" si="103"/>
        <v>0</v>
      </c>
      <c r="R1301" s="13">
        <f>L1301*Assumptions!$B$11+M1301*Assumptions!$B$12+N1301*Assumptions!$B$13+O1301*Assumptions!$B$14+P1301*Assumptions!$B$15+Q1301*Assumptions!$B$16</f>
        <v>0</v>
      </c>
      <c r="S1301" s="13" t="str">
        <f>IF(R1301&gt;=Assumptions!$B$20,"High",IF(R1301&gt;=Assumptions!$B$21,"Medium",IF(R1301&gt;=1,"Low","Clear")))</f>
        <v>Clear</v>
      </c>
      <c r="T1301" s="13" t="str">
        <f t="shared" si="104"/>
        <v/>
      </c>
    </row>
    <row r="1302" spans="1:20" x14ac:dyDescent="0.35">
      <c r="A1302" s="13" t="s">
        <v>5224</v>
      </c>
      <c r="B1302" s="13" t="s">
        <v>125</v>
      </c>
      <c r="C1302" s="13" t="s">
        <v>126</v>
      </c>
      <c r="D1302" s="13" t="s">
        <v>5225</v>
      </c>
      <c r="E1302" s="14">
        <v>46063</v>
      </c>
      <c r="F1302" s="14">
        <v>46090</v>
      </c>
      <c r="G1302" s="15">
        <v>1546.43</v>
      </c>
      <c r="H1302" s="13" t="s">
        <v>5226</v>
      </c>
      <c r="I1302" s="13" t="s">
        <v>5227</v>
      </c>
      <c r="J1302" s="13" t="s">
        <v>170</v>
      </c>
      <c r="K1302" s="13">
        <f t="shared" si="100"/>
        <v>1</v>
      </c>
      <c r="L1302" s="13">
        <f t="shared" si="101"/>
        <v>0</v>
      </c>
      <c r="M1302" s="13">
        <f>IF(AND(L1302=0,COUNTIFS($B$2:$B$1534,B1302,$G$2:$G$1534,G1302,$E$2:$E$1534,"&gt;="&amp;(E1302-Assumptions!$B$5),$E$2:$E$1534,"&lt;="&amp;(E1302+Assumptions!$B$5))&gt;1),1,0)</f>
        <v>0</v>
      </c>
      <c r="N1302" s="13">
        <f>IF(AND(G1302&gt;=Assumptions!$B$4*(1-Assumptions!$B$6),G1302&lt;Assumptions!$B$4),1,0)</f>
        <v>0</v>
      </c>
      <c r="O1302" s="13">
        <f>IF(AND(G1302&gt;=Assumptions!$B$7,MOD(G1302,Assumptions!$B$7)=0),1,0)</f>
        <v>0</v>
      </c>
      <c r="P1302" s="13">
        <f t="shared" si="102"/>
        <v>0</v>
      </c>
      <c r="Q1302" s="13">
        <f t="shared" si="103"/>
        <v>0</v>
      </c>
      <c r="R1302" s="13">
        <f>L1302*Assumptions!$B$11+M1302*Assumptions!$B$12+N1302*Assumptions!$B$13+O1302*Assumptions!$B$14+P1302*Assumptions!$B$15+Q1302*Assumptions!$B$16</f>
        <v>0</v>
      </c>
      <c r="S1302" s="13" t="str">
        <f>IF(R1302&gt;=Assumptions!$B$20,"High",IF(R1302&gt;=Assumptions!$B$21,"Medium",IF(R1302&gt;=1,"Low","Clear")))</f>
        <v>Clear</v>
      </c>
      <c r="T1302" s="13" t="str">
        <f t="shared" si="104"/>
        <v/>
      </c>
    </row>
    <row r="1303" spans="1:20" x14ac:dyDescent="0.35">
      <c r="A1303" s="13" t="s">
        <v>5228</v>
      </c>
      <c r="B1303" s="13" t="s">
        <v>357</v>
      </c>
      <c r="C1303" s="13" t="s">
        <v>358</v>
      </c>
      <c r="D1303" s="13" t="s">
        <v>5229</v>
      </c>
      <c r="E1303" s="14">
        <v>46063</v>
      </c>
      <c r="F1303" s="14">
        <v>46090</v>
      </c>
      <c r="G1303" s="15">
        <v>87465.18</v>
      </c>
      <c r="H1303" s="13" t="s">
        <v>5230</v>
      </c>
      <c r="I1303" s="13" t="s">
        <v>5231</v>
      </c>
      <c r="J1303" s="13" t="s">
        <v>91</v>
      </c>
      <c r="K1303" s="13">
        <f t="shared" si="100"/>
        <v>8</v>
      </c>
      <c r="L1303" s="13">
        <f t="shared" si="101"/>
        <v>0</v>
      </c>
      <c r="M1303" s="13">
        <f>IF(AND(L1303=0,COUNTIFS($B$2:$B$1534,B1303,$G$2:$G$1534,G1303,$E$2:$E$1534,"&gt;="&amp;(E1303-Assumptions!$B$5),$E$2:$E$1534,"&lt;="&amp;(E1303+Assumptions!$B$5))&gt;1),1,0)</f>
        <v>0</v>
      </c>
      <c r="N1303" s="13">
        <f>IF(AND(G1303&gt;=Assumptions!$B$4*(1-Assumptions!$B$6),G1303&lt;Assumptions!$B$4),1,0)</f>
        <v>0</v>
      </c>
      <c r="O1303" s="13">
        <f>IF(AND(G1303&gt;=Assumptions!$B$7,MOD(G1303,Assumptions!$B$7)=0),1,0)</f>
        <v>0</v>
      </c>
      <c r="P1303" s="13">
        <f t="shared" si="102"/>
        <v>0</v>
      </c>
      <c r="Q1303" s="13">
        <f t="shared" si="103"/>
        <v>0</v>
      </c>
      <c r="R1303" s="13">
        <f>L1303*Assumptions!$B$11+M1303*Assumptions!$B$12+N1303*Assumptions!$B$13+O1303*Assumptions!$B$14+P1303*Assumptions!$B$15+Q1303*Assumptions!$B$16</f>
        <v>0</v>
      </c>
      <c r="S1303" s="13" t="str">
        <f>IF(R1303&gt;=Assumptions!$B$20,"High",IF(R1303&gt;=Assumptions!$B$21,"Medium",IF(R1303&gt;=1,"Low","Clear")))</f>
        <v>Clear</v>
      </c>
      <c r="T1303" s="13" t="str">
        <f t="shared" si="104"/>
        <v/>
      </c>
    </row>
    <row r="1304" spans="1:20" x14ac:dyDescent="0.35">
      <c r="A1304" s="13" t="s">
        <v>5232</v>
      </c>
      <c r="B1304" s="13" t="s">
        <v>188</v>
      </c>
      <c r="C1304" s="13" t="s">
        <v>189</v>
      </c>
      <c r="D1304" s="13" t="s">
        <v>5233</v>
      </c>
      <c r="E1304" s="14">
        <v>46063</v>
      </c>
      <c r="F1304" s="14">
        <v>46091</v>
      </c>
      <c r="G1304" s="15">
        <v>38642.26</v>
      </c>
      <c r="H1304" s="13" t="s">
        <v>5234</v>
      </c>
      <c r="I1304" s="13" t="s">
        <v>5235</v>
      </c>
      <c r="J1304" s="13" t="s">
        <v>170</v>
      </c>
      <c r="K1304" s="13">
        <f t="shared" si="100"/>
        <v>3</v>
      </c>
      <c r="L1304" s="13">
        <f t="shared" si="101"/>
        <v>0</v>
      </c>
      <c r="M1304" s="13">
        <f>IF(AND(L1304=0,COUNTIFS($B$2:$B$1534,B1304,$G$2:$G$1534,G1304,$E$2:$E$1534,"&gt;="&amp;(E1304-Assumptions!$B$5),$E$2:$E$1534,"&lt;="&amp;(E1304+Assumptions!$B$5))&gt;1),1,0)</f>
        <v>0</v>
      </c>
      <c r="N1304" s="13">
        <f>IF(AND(G1304&gt;=Assumptions!$B$4*(1-Assumptions!$B$6),G1304&lt;Assumptions!$B$4),1,0)</f>
        <v>0</v>
      </c>
      <c r="O1304" s="13">
        <f>IF(AND(G1304&gt;=Assumptions!$B$7,MOD(G1304,Assumptions!$B$7)=0),1,0)</f>
        <v>0</v>
      </c>
      <c r="P1304" s="13">
        <f t="shared" si="102"/>
        <v>0</v>
      </c>
      <c r="Q1304" s="13">
        <f t="shared" si="103"/>
        <v>0</v>
      </c>
      <c r="R1304" s="13">
        <f>L1304*Assumptions!$B$11+M1304*Assumptions!$B$12+N1304*Assumptions!$B$13+O1304*Assumptions!$B$14+P1304*Assumptions!$B$15+Q1304*Assumptions!$B$16</f>
        <v>0</v>
      </c>
      <c r="S1304" s="13" t="str">
        <f>IF(R1304&gt;=Assumptions!$B$20,"High",IF(R1304&gt;=Assumptions!$B$21,"Medium",IF(R1304&gt;=1,"Low","Clear")))</f>
        <v>Clear</v>
      </c>
      <c r="T1304" s="13" t="str">
        <f t="shared" si="104"/>
        <v/>
      </c>
    </row>
    <row r="1305" spans="1:20" x14ac:dyDescent="0.35">
      <c r="A1305" s="13" t="s">
        <v>5236</v>
      </c>
      <c r="B1305" s="13" t="s">
        <v>86</v>
      </c>
      <c r="C1305" s="13" t="s">
        <v>87</v>
      </c>
      <c r="D1305" s="13" t="s">
        <v>5237</v>
      </c>
      <c r="E1305" s="14">
        <v>46070</v>
      </c>
      <c r="F1305" s="14">
        <v>46091</v>
      </c>
      <c r="G1305" s="15">
        <v>171464.31</v>
      </c>
      <c r="H1305" s="13" t="s">
        <v>5238</v>
      </c>
      <c r="I1305" s="13" t="s">
        <v>5239</v>
      </c>
      <c r="J1305" s="13" t="s">
        <v>111</v>
      </c>
      <c r="K1305" s="13">
        <f t="shared" si="100"/>
        <v>1</v>
      </c>
      <c r="L1305" s="13">
        <f t="shared" si="101"/>
        <v>0</v>
      </c>
      <c r="M1305" s="13">
        <f>IF(AND(L1305=0,COUNTIFS($B$2:$B$1534,B1305,$G$2:$G$1534,G1305,$E$2:$E$1534,"&gt;="&amp;(E1305-Assumptions!$B$5),$E$2:$E$1534,"&lt;="&amp;(E1305+Assumptions!$B$5))&gt;1),1,0)</f>
        <v>0</v>
      </c>
      <c r="N1305" s="13">
        <f>IF(AND(G1305&gt;=Assumptions!$B$4*(1-Assumptions!$B$6),G1305&lt;Assumptions!$B$4),1,0)</f>
        <v>0</v>
      </c>
      <c r="O1305" s="13">
        <f>IF(AND(G1305&gt;=Assumptions!$B$7,MOD(G1305,Assumptions!$B$7)=0),1,0)</f>
        <v>0</v>
      </c>
      <c r="P1305" s="13">
        <f t="shared" si="102"/>
        <v>0</v>
      </c>
      <c r="Q1305" s="13">
        <f t="shared" si="103"/>
        <v>0</v>
      </c>
      <c r="R1305" s="13">
        <f>L1305*Assumptions!$B$11+M1305*Assumptions!$B$12+N1305*Assumptions!$B$13+O1305*Assumptions!$B$14+P1305*Assumptions!$B$15+Q1305*Assumptions!$B$16</f>
        <v>0</v>
      </c>
      <c r="S1305" s="13" t="str">
        <f>IF(R1305&gt;=Assumptions!$B$20,"High",IF(R1305&gt;=Assumptions!$B$21,"Medium",IF(R1305&gt;=1,"Low","Clear")))</f>
        <v>Clear</v>
      </c>
      <c r="T1305" s="13" t="str">
        <f t="shared" si="104"/>
        <v/>
      </c>
    </row>
    <row r="1306" spans="1:20" x14ac:dyDescent="0.35">
      <c r="A1306" s="13" t="s">
        <v>5240</v>
      </c>
      <c r="B1306" s="13" t="s">
        <v>279</v>
      </c>
      <c r="C1306" s="13" t="s">
        <v>280</v>
      </c>
      <c r="D1306" s="13" t="s">
        <v>5241</v>
      </c>
      <c r="E1306" s="14">
        <v>46059</v>
      </c>
      <c r="F1306" s="14">
        <v>46091</v>
      </c>
      <c r="G1306" s="15">
        <v>36678.86</v>
      </c>
      <c r="H1306" s="13" t="s">
        <v>5242</v>
      </c>
      <c r="I1306" s="13" t="s">
        <v>5243</v>
      </c>
      <c r="J1306" s="13" t="s">
        <v>136</v>
      </c>
      <c r="K1306" s="13">
        <f t="shared" si="100"/>
        <v>3</v>
      </c>
      <c r="L1306" s="13">
        <f t="shared" si="101"/>
        <v>0</v>
      </c>
      <c r="M1306" s="13">
        <f>IF(AND(L1306=0,COUNTIFS($B$2:$B$1534,B1306,$G$2:$G$1534,G1306,$E$2:$E$1534,"&gt;="&amp;(E1306-Assumptions!$B$5),$E$2:$E$1534,"&lt;="&amp;(E1306+Assumptions!$B$5))&gt;1),1,0)</f>
        <v>0</v>
      </c>
      <c r="N1306" s="13">
        <f>IF(AND(G1306&gt;=Assumptions!$B$4*(1-Assumptions!$B$6),G1306&lt;Assumptions!$B$4),1,0)</f>
        <v>0</v>
      </c>
      <c r="O1306" s="13">
        <f>IF(AND(G1306&gt;=Assumptions!$B$7,MOD(G1306,Assumptions!$B$7)=0),1,0)</f>
        <v>0</v>
      </c>
      <c r="P1306" s="13">
        <f t="shared" si="102"/>
        <v>0</v>
      </c>
      <c r="Q1306" s="13">
        <f t="shared" si="103"/>
        <v>0</v>
      </c>
      <c r="R1306" s="13">
        <f>L1306*Assumptions!$B$11+M1306*Assumptions!$B$12+N1306*Assumptions!$B$13+O1306*Assumptions!$B$14+P1306*Assumptions!$B$15+Q1306*Assumptions!$B$16</f>
        <v>0</v>
      </c>
      <c r="S1306" s="13" t="str">
        <f>IF(R1306&gt;=Assumptions!$B$20,"High",IF(R1306&gt;=Assumptions!$B$21,"Medium",IF(R1306&gt;=1,"Low","Clear")))</f>
        <v>Clear</v>
      </c>
      <c r="T1306" s="13" t="str">
        <f t="shared" si="104"/>
        <v/>
      </c>
    </row>
    <row r="1307" spans="1:20" x14ac:dyDescent="0.35">
      <c r="A1307" s="13" t="s">
        <v>5244</v>
      </c>
      <c r="B1307" s="13" t="s">
        <v>279</v>
      </c>
      <c r="C1307" s="13" t="s">
        <v>280</v>
      </c>
      <c r="D1307" s="13" t="s">
        <v>5245</v>
      </c>
      <c r="E1307" s="14">
        <v>46070</v>
      </c>
      <c r="F1307" s="14">
        <v>46091</v>
      </c>
      <c r="G1307" s="15">
        <v>1227.92</v>
      </c>
      <c r="H1307" s="13" t="s">
        <v>5246</v>
      </c>
      <c r="I1307" s="13" t="s">
        <v>5247</v>
      </c>
      <c r="J1307" s="13" t="s">
        <v>111</v>
      </c>
      <c r="K1307" s="13">
        <f t="shared" si="100"/>
        <v>1</v>
      </c>
      <c r="L1307" s="13">
        <f t="shared" si="101"/>
        <v>0</v>
      </c>
      <c r="M1307" s="13">
        <f>IF(AND(L1307=0,COUNTIFS($B$2:$B$1534,B1307,$G$2:$G$1534,G1307,$E$2:$E$1534,"&gt;="&amp;(E1307-Assumptions!$B$5),$E$2:$E$1534,"&lt;="&amp;(E1307+Assumptions!$B$5))&gt;1),1,0)</f>
        <v>1</v>
      </c>
      <c r="N1307" s="13">
        <f>IF(AND(G1307&gt;=Assumptions!$B$4*(1-Assumptions!$B$6),G1307&lt;Assumptions!$B$4),1,0)</f>
        <v>0</v>
      </c>
      <c r="O1307" s="13">
        <f>IF(AND(G1307&gt;=Assumptions!$B$7,MOD(G1307,Assumptions!$B$7)=0),1,0)</f>
        <v>0</v>
      </c>
      <c r="P1307" s="13">
        <f t="shared" si="102"/>
        <v>0</v>
      </c>
      <c r="Q1307" s="13">
        <f t="shared" si="103"/>
        <v>0</v>
      </c>
      <c r="R1307" s="13">
        <f>L1307*Assumptions!$B$11+M1307*Assumptions!$B$12+N1307*Assumptions!$B$13+O1307*Assumptions!$B$14+P1307*Assumptions!$B$15+Q1307*Assumptions!$B$16</f>
        <v>3</v>
      </c>
      <c r="S1307" s="13" t="str">
        <f>IF(R1307&gt;=Assumptions!$B$20,"High",IF(R1307&gt;=Assumptions!$B$21,"Medium",IF(R1307&gt;=1,"Low","Clear")))</f>
        <v>Medium</v>
      </c>
      <c r="T1307" s="13" t="str">
        <f t="shared" si="104"/>
        <v xml:space="preserve">Near-duplicate; </v>
      </c>
    </row>
    <row r="1308" spans="1:20" x14ac:dyDescent="0.35">
      <c r="A1308" s="13" t="s">
        <v>5248</v>
      </c>
      <c r="B1308" s="13" t="s">
        <v>218</v>
      </c>
      <c r="C1308" s="13" t="s">
        <v>219</v>
      </c>
      <c r="D1308" s="13" t="s">
        <v>5249</v>
      </c>
      <c r="E1308" s="14">
        <v>46062</v>
      </c>
      <c r="F1308" s="14">
        <v>46091</v>
      </c>
      <c r="G1308" s="15">
        <v>24618.2</v>
      </c>
      <c r="H1308" s="13" t="s">
        <v>5250</v>
      </c>
      <c r="I1308" s="13" t="s">
        <v>5251</v>
      </c>
      <c r="J1308" s="13" t="s">
        <v>136</v>
      </c>
      <c r="K1308" s="13">
        <f t="shared" si="100"/>
        <v>2</v>
      </c>
      <c r="L1308" s="13">
        <f t="shared" si="101"/>
        <v>0</v>
      </c>
      <c r="M1308" s="13">
        <f>IF(AND(L1308=0,COUNTIFS($B$2:$B$1534,B1308,$G$2:$G$1534,G1308,$E$2:$E$1534,"&gt;="&amp;(E1308-Assumptions!$B$5),$E$2:$E$1534,"&lt;="&amp;(E1308+Assumptions!$B$5))&gt;1),1,0)</f>
        <v>0</v>
      </c>
      <c r="N1308" s="13">
        <f>IF(AND(G1308&gt;=Assumptions!$B$4*(1-Assumptions!$B$6),G1308&lt;Assumptions!$B$4),1,0)</f>
        <v>0</v>
      </c>
      <c r="O1308" s="13">
        <f>IF(AND(G1308&gt;=Assumptions!$B$7,MOD(G1308,Assumptions!$B$7)=0),1,0)</f>
        <v>0</v>
      </c>
      <c r="P1308" s="13">
        <f t="shared" si="102"/>
        <v>0</v>
      </c>
      <c r="Q1308" s="13">
        <f t="shared" si="103"/>
        <v>0</v>
      </c>
      <c r="R1308" s="13">
        <f>L1308*Assumptions!$B$11+M1308*Assumptions!$B$12+N1308*Assumptions!$B$13+O1308*Assumptions!$B$14+P1308*Assumptions!$B$15+Q1308*Assumptions!$B$16</f>
        <v>0</v>
      </c>
      <c r="S1308" s="13" t="str">
        <f>IF(R1308&gt;=Assumptions!$B$20,"High",IF(R1308&gt;=Assumptions!$B$21,"Medium",IF(R1308&gt;=1,"Low","Clear")))</f>
        <v>Clear</v>
      </c>
      <c r="T1308" s="13" t="str">
        <f t="shared" si="104"/>
        <v/>
      </c>
    </row>
    <row r="1309" spans="1:20" x14ac:dyDescent="0.35">
      <c r="A1309" s="13" t="s">
        <v>5252</v>
      </c>
      <c r="B1309" s="13" t="s">
        <v>100</v>
      </c>
      <c r="C1309" s="13" t="s">
        <v>101</v>
      </c>
      <c r="D1309" s="13" t="s">
        <v>5253</v>
      </c>
      <c r="E1309" s="14">
        <v>46052</v>
      </c>
      <c r="F1309" s="14">
        <v>46091</v>
      </c>
      <c r="G1309" s="15">
        <v>3860.51</v>
      </c>
      <c r="H1309" s="13" t="s">
        <v>5254</v>
      </c>
      <c r="I1309" s="13" t="s">
        <v>5255</v>
      </c>
      <c r="J1309" s="13" t="s">
        <v>170</v>
      </c>
      <c r="K1309" s="13">
        <f t="shared" si="100"/>
        <v>3</v>
      </c>
      <c r="L1309" s="13">
        <f t="shared" si="101"/>
        <v>0</v>
      </c>
      <c r="M1309" s="13">
        <f>IF(AND(L1309=0,COUNTIFS($B$2:$B$1534,B1309,$G$2:$G$1534,G1309,$E$2:$E$1534,"&gt;="&amp;(E1309-Assumptions!$B$5),$E$2:$E$1534,"&lt;="&amp;(E1309+Assumptions!$B$5))&gt;1),1,0)</f>
        <v>0</v>
      </c>
      <c r="N1309" s="13">
        <f>IF(AND(G1309&gt;=Assumptions!$B$4*(1-Assumptions!$B$6),G1309&lt;Assumptions!$B$4),1,0)</f>
        <v>0</v>
      </c>
      <c r="O1309" s="13">
        <f>IF(AND(G1309&gt;=Assumptions!$B$7,MOD(G1309,Assumptions!$B$7)=0),1,0)</f>
        <v>0</v>
      </c>
      <c r="P1309" s="13">
        <f t="shared" si="102"/>
        <v>0</v>
      </c>
      <c r="Q1309" s="13">
        <f t="shared" si="103"/>
        <v>0</v>
      </c>
      <c r="R1309" s="13">
        <f>L1309*Assumptions!$B$11+M1309*Assumptions!$B$12+N1309*Assumptions!$B$13+O1309*Assumptions!$B$14+P1309*Assumptions!$B$15+Q1309*Assumptions!$B$16</f>
        <v>0</v>
      </c>
      <c r="S1309" s="13" t="str">
        <f>IF(R1309&gt;=Assumptions!$B$20,"High",IF(R1309&gt;=Assumptions!$B$21,"Medium",IF(R1309&gt;=1,"Low","Clear")))</f>
        <v>Clear</v>
      </c>
      <c r="T1309" s="13" t="str">
        <f t="shared" si="104"/>
        <v/>
      </c>
    </row>
    <row r="1310" spans="1:20" x14ac:dyDescent="0.35">
      <c r="A1310" s="13" t="s">
        <v>5256</v>
      </c>
      <c r="B1310" s="13" t="s">
        <v>125</v>
      </c>
      <c r="C1310" s="13" t="s">
        <v>126</v>
      </c>
      <c r="D1310" s="13" t="s">
        <v>5257</v>
      </c>
      <c r="E1310" s="14">
        <v>46051</v>
      </c>
      <c r="F1310" s="14">
        <v>46091</v>
      </c>
      <c r="G1310" s="15">
        <v>322495.17</v>
      </c>
      <c r="H1310" s="13" t="s">
        <v>5258</v>
      </c>
      <c r="I1310" s="13" t="s">
        <v>5259</v>
      </c>
      <c r="J1310" s="13" t="s">
        <v>91</v>
      </c>
      <c r="K1310" s="13">
        <f t="shared" si="100"/>
        <v>3</v>
      </c>
      <c r="L1310" s="13">
        <f t="shared" si="101"/>
        <v>0</v>
      </c>
      <c r="M1310" s="13">
        <f>IF(AND(L1310=0,COUNTIFS($B$2:$B$1534,B1310,$G$2:$G$1534,G1310,$E$2:$E$1534,"&gt;="&amp;(E1310-Assumptions!$B$5),$E$2:$E$1534,"&lt;="&amp;(E1310+Assumptions!$B$5))&gt;1),1,0)</f>
        <v>0</v>
      </c>
      <c r="N1310" s="13">
        <f>IF(AND(G1310&gt;=Assumptions!$B$4*(1-Assumptions!$B$6),G1310&lt;Assumptions!$B$4),1,0)</f>
        <v>0</v>
      </c>
      <c r="O1310" s="13">
        <f>IF(AND(G1310&gt;=Assumptions!$B$7,MOD(G1310,Assumptions!$B$7)=0),1,0)</f>
        <v>0</v>
      </c>
      <c r="P1310" s="13">
        <f t="shared" si="102"/>
        <v>0</v>
      </c>
      <c r="Q1310" s="13">
        <f t="shared" si="103"/>
        <v>0</v>
      </c>
      <c r="R1310" s="13">
        <f>L1310*Assumptions!$B$11+M1310*Assumptions!$B$12+N1310*Assumptions!$B$13+O1310*Assumptions!$B$14+P1310*Assumptions!$B$15+Q1310*Assumptions!$B$16</f>
        <v>0</v>
      </c>
      <c r="S1310" s="13" t="str">
        <f>IF(R1310&gt;=Assumptions!$B$20,"High",IF(R1310&gt;=Assumptions!$B$21,"Medium",IF(R1310&gt;=1,"Low","Clear")))</f>
        <v>Clear</v>
      </c>
      <c r="T1310" s="13" t="str">
        <f t="shared" si="104"/>
        <v/>
      </c>
    </row>
    <row r="1311" spans="1:20" x14ac:dyDescent="0.35">
      <c r="A1311" s="13" t="s">
        <v>5260</v>
      </c>
      <c r="B1311" s="13" t="s">
        <v>498</v>
      </c>
      <c r="C1311" s="13" t="s">
        <v>499</v>
      </c>
      <c r="D1311" s="13" t="s">
        <v>5261</v>
      </c>
      <c r="E1311" s="14">
        <v>46069</v>
      </c>
      <c r="F1311" s="14">
        <v>46092</v>
      </c>
      <c r="G1311" s="15">
        <v>513110.75</v>
      </c>
      <c r="H1311" s="13" t="s">
        <v>5262</v>
      </c>
      <c r="I1311" s="13" t="s">
        <v>5263</v>
      </c>
      <c r="J1311" s="13" t="s">
        <v>170</v>
      </c>
      <c r="K1311" s="13">
        <f t="shared" si="100"/>
        <v>5</v>
      </c>
      <c r="L1311" s="13">
        <f t="shared" si="101"/>
        <v>0</v>
      </c>
      <c r="M1311" s="13">
        <f>IF(AND(L1311=0,COUNTIFS($B$2:$B$1534,B1311,$G$2:$G$1534,G1311,$E$2:$E$1534,"&gt;="&amp;(E1311-Assumptions!$B$5),$E$2:$E$1534,"&lt;="&amp;(E1311+Assumptions!$B$5))&gt;1),1,0)</f>
        <v>0</v>
      </c>
      <c r="N1311" s="13">
        <f>IF(AND(G1311&gt;=Assumptions!$B$4*(1-Assumptions!$B$6),G1311&lt;Assumptions!$B$4),1,0)</f>
        <v>0</v>
      </c>
      <c r="O1311" s="13">
        <f>IF(AND(G1311&gt;=Assumptions!$B$7,MOD(G1311,Assumptions!$B$7)=0),1,0)</f>
        <v>0</v>
      </c>
      <c r="P1311" s="13">
        <f t="shared" si="102"/>
        <v>0</v>
      </c>
      <c r="Q1311" s="13">
        <f t="shared" si="103"/>
        <v>0</v>
      </c>
      <c r="R1311" s="13">
        <f>L1311*Assumptions!$B$11+M1311*Assumptions!$B$12+N1311*Assumptions!$B$13+O1311*Assumptions!$B$14+P1311*Assumptions!$B$15+Q1311*Assumptions!$B$16</f>
        <v>0</v>
      </c>
      <c r="S1311" s="13" t="str">
        <f>IF(R1311&gt;=Assumptions!$B$20,"High",IF(R1311&gt;=Assumptions!$B$21,"Medium",IF(R1311&gt;=1,"Low","Clear")))</f>
        <v>Clear</v>
      </c>
      <c r="T1311" s="13" t="str">
        <f t="shared" si="104"/>
        <v/>
      </c>
    </row>
    <row r="1312" spans="1:20" x14ac:dyDescent="0.35">
      <c r="A1312" s="13" t="s">
        <v>5264</v>
      </c>
      <c r="B1312" s="13" t="s">
        <v>317</v>
      </c>
      <c r="C1312" s="13" t="s">
        <v>318</v>
      </c>
      <c r="D1312" s="13" t="s">
        <v>5265</v>
      </c>
      <c r="E1312" s="14">
        <v>46063</v>
      </c>
      <c r="F1312" s="14">
        <v>46092</v>
      </c>
      <c r="G1312" s="15">
        <v>60419.06</v>
      </c>
      <c r="H1312" s="13" t="s">
        <v>5266</v>
      </c>
      <c r="I1312" s="13" t="s">
        <v>5267</v>
      </c>
      <c r="J1312" s="13" t="s">
        <v>91</v>
      </c>
      <c r="K1312" s="13">
        <f t="shared" si="100"/>
        <v>6</v>
      </c>
      <c r="L1312" s="13">
        <f t="shared" si="101"/>
        <v>0</v>
      </c>
      <c r="M1312" s="13">
        <f>IF(AND(L1312=0,COUNTIFS($B$2:$B$1534,B1312,$G$2:$G$1534,G1312,$E$2:$E$1534,"&gt;="&amp;(E1312-Assumptions!$B$5),$E$2:$E$1534,"&lt;="&amp;(E1312+Assumptions!$B$5))&gt;1),1,0)</f>
        <v>0</v>
      </c>
      <c r="N1312" s="13">
        <f>IF(AND(G1312&gt;=Assumptions!$B$4*(1-Assumptions!$B$6),G1312&lt;Assumptions!$B$4),1,0)</f>
        <v>0</v>
      </c>
      <c r="O1312" s="13">
        <f>IF(AND(G1312&gt;=Assumptions!$B$7,MOD(G1312,Assumptions!$B$7)=0),1,0)</f>
        <v>0</v>
      </c>
      <c r="P1312" s="13">
        <f t="shared" si="102"/>
        <v>0</v>
      </c>
      <c r="Q1312" s="13">
        <f t="shared" si="103"/>
        <v>0</v>
      </c>
      <c r="R1312" s="13">
        <f>L1312*Assumptions!$B$11+M1312*Assumptions!$B$12+N1312*Assumptions!$B$13+O1312*Assumptions!$B$14+P1312*Assumptions!$B$15+Q1312*Assumptions!$B$16</f>
        <v>0</v>
      </c>
      <c r="S1312" s="13" t="str">
        <f>IF(R1312&gt;=Assumptions!$B$20,"High",IF(R1312&gt;=Assumptions!$B$21,"Medium",IF(R1312&gt;=1,"Low","Clear")))</f>
        <v>Clear</v>
      </c>
      <c r="T1312" s="13" t="str">
        <f t="shared" si="104"/>
        <v/>
      </c>
    </row>
    <row r="1313" spans="1:20" x14ac:dyDescent="0.35">
      <c r="A1313" s="13" t="s">
        <v>5268</v>
      </c>
      <c r="B1313" s="13" t="s">
        <v>317</v>
      </c>
      <c r="C1313" s="13" t="s">
        <v>318</v>
      </c>
      <c r="D1313" s="13" t="s">
        <v>5269</v>
      </c>
      <c r="E1313" s="14">
        <v>46054</v>
      </c>
      <c r="F1313" s="14">
        <v>46092</v>
      </c>
      <c r="G1313" s="15">
        <v>160000</v>
      </c>
      <c r="H1313" s="13" t="s">
        <v>5270</v>
      </c>
      <c r="I1313" s="13" t="s">
        <v>5271</v>
      </c>
      <c r="J1313" s="13" t="s">
        <v>170</v>
      </c>
      <c r="K1313" s="13">
        <f t="shared" si="100"/>
        <v>1</v>
      </c>
      <c r="L1313" s="13">
        <f t="shared" si="101"/>
        <v>0</v>
      </c>
      <c r="M1313" s="13">
        <f>IF(AND(L1313=0,COUNTIFS($B$2:$B$1534,B1313,$G$2:$G$1534,G1313,$E$2:$E$1534,"&gt;="&amp;(E1313-Assumptions!$B$5),$E$2:$E$1534,"&lt;="&amp;(E1313+Assumptions!$B$5))&gt;1),1,0)</f>
        <v>0</v>
      </c>
      <c r="N1313" s="13">
        <f>IF(AND(G1313&gt;=Assumptions!$B$4*(1-Assumptions!$B$6),G1313&lt;Assumptions!$B$4),1,0)</f>
        <v>0</v>
      </c>
      <c r="O1313" s="13">
        <f>IF(AND(G1313&gt;=Assumptions!$B$7,MOD(G1313,Assumptions!$B$7)=0),1,0)</f>
        <v>1</v>
      </c>
      <c r="P1313" s="13">
        <f t="shared" si="102"/>
        <v>0</v>
      </c>
      <c r="Q1313" s="13">
        <f t="shared" si="103"/>
        <v>0</v>
      </c>
      <c r="R1313" s="13">
        <f>L1313*Assumptions!$B$11+M1313*Assumptions!$B$12+N1313*Assumptions!$B$13+O1313*Assumptions!$B$14+P1313*Assumptions!$B$15+Q1313*Assumptions!$B$16</f>
        <v>1</v>
      </c>
      <c r="S1313" s="13" t="str">
        <f>IF(R1313&gt;=Assumptions!$B$20,"High",IF(R1313&gt;=Assumptions!$B$21,"Medium",IF(R1313&gt;=1,"Low","Clear")))</f>
        <v>Low</v>
      </c>
      <c r="T1313" s="13" t="str">
        <f t="shared" si="104"/>
        <v xml:space="preserve">Round amount; </v>
      </c>
    </row>
    <row r="1314" spans="1:20" x14ac:dyDescent="0.35">
      <c r="A1314" s="13" t="s">
        <v>5272</v>
      </c>
      <c r="B1314" s="13" t="s">
        <v>252</v>
      </c>
      <c r="C1314" s="13" t="s">
        <v>253</v>
      </c>
      <c r="D1314" s="13" t="s">
        <v>5273</v>
      </c>
      <c r="E1314" s="14">
        <v>46059</v>
      </c>
      <c r="F1314" s="14">
        <v>46093</v>
      </c>
      <c r="G1314" s="15">
        <v>1271.74</v>
      </c>
      <c r="H1314" s="13" t="s">
        <v>5274</v>
      </c>
      <c r="I1314" s="13" t="s">
        <v>5275</v>
      </c>
      <c r="J1314" s="13" t="s">
        <v>136</v>
      </c>
      <c r="K1314" s="13">
        <f t="shared" si="100"/>
        <v>1</v>
      </c>
      <c r="L1314" s="13">
        <f t="shared" si="101"/>
        <v>0</v>
      </c>
      <c r="M1314" s="13">
        <f>IF(AND(L1314=0,COUNTIFS($B$2:$B$1534,B1314,$G$2:$G$1534,G1314,$E$2:$E$1534,"&gt;="&amp;(E1314-Assumptions!$B$5),$E$2:$E$1534,"&lt;="&amp;(E1314+Assumptions!$B$5))&gt;1),1,0)</f>
        <v>0</v>
      </c>
      <c r="N1314" s="13">
        <f>IF(AND(G1314&gt;=Assumptions!$B$4*(1-Assumptions!$B$6),G1314&lt;Assumptions!$B$4),1,0)</f>
        <v>0</v>
      </c>
      <c r="O1314" s="13">
        <f>IF(AND(G1314&gt;=Assumptions!$B$7,MOD(G1314,Assumptions!$B$7)=0),1,0)</f>
        <v>0</v>
      </c>
      <c r="P1314" s="13">
        <f t="shared" si="102"/>
        <v>0</v>
      </c>
      <c r="Q1314" s="13">
        <f t="shared" si="103"/>
        <v>0</v>
      </c>
      <c r="R1314" s="13">
        <f>L1314*Assumptions!$B$11+M1314*Assumptions!$B$12+N1314*Assumptions!$B$13+O1314*Assumptions!$B$14+P1314*Assumptions!$B$15+Q1314*Assumptions!$B$16</f>
        <v>0</v>
      </c>
      <c r="S1314" s="13" t="str">
        <f>IF(R1314&gt;=Assumptions!$B$20,"High",IF(R1314&gt;=Assumptions!$B$21,"Medium",IF(R1314&gt;=1,"Low","Clear")))</f>
        <v>Clear</v>
      </c>
      <c r="T1314" s="13" t="str">
        <f t="shared" si="104"/>
        <v/>
      </c>
    </row>
    <row r="1315" spans="1:20" x14ac:dyDescent="0.35">
      <c r="A1315" s="13" t="s">
        <v>5276</v>
      </c>
      <c r="B1315" s="13" t="s">
        <v>93</v>
      </c>
      <c r="C1315" s="13" t="s">
        <v>94</v>
      </c>
      <c r="D1315" s="13" t="s">
        <v>5277</v>
      </c>
      <c r="E1315" s="14">
        <v>46067</v>
      </c>
      <c r="F1315" s="14">
        <v>46093</v>
      </c>
      <c r="G1315" s="15">
        <v>635304.75</v>
      </c>
      <c r="H1315" s="13" t="s">
        <v>5278</v>
      </c>
      <c r="I1315" s="13" t="s">
        <v>5279</v>
      </c>
      <c r="J1315" s="13" t="s">
        <v>111</v>
      </c>
      <c r="K1315" s="13">
        <f t="shared" si="100"/>
        <v>6</v>
      </c>
      <c r="L1315" s="13">
        <f t="shared" si="101"/>
        <v>0</v>
      </c>
      <c r="M1315" s="13">
        <f>IF(AND(L1315=0,COUNTIFS($B$2:$B$1534,B1315,$G$2:$G$1534,G1315,$E$2:$E$1534,"&gt;="&amp;(E1315-Assumptions!$B$5),$E$2:$E$1534,"&lt;="&amp;(E1315+Assumptions!$B$5))&gt;1),1,0)</f>
        <v>0</v>
      </c>
      <c r="N1315" s="13">
        <f>IF(AND(G1315&gt;=Assumptions!$B$4*(1-Assumptions!$B$6),G1315&lt;Assumptions!$B$4),1,0)</f>
        <v>0</v>
      </c>
      <c r="O1315" s="13">
        <f>IF(AND(G1315&gt;=Assumptions!$B$7,MOD(G1315,Assumptions!$B$7)=0),1,0)</f>
        <v>0</v>
      </c>
      <c r="P1315" s="13">
        <f t="shared" si="102"/>
        <v>0</v>
      </c>
      <c r="Q1315" s="13">
        <f t="shared" si="103"/>
        <v>0</v>
      </c>
      <c r="R1315" s="13">
        <f>L1315*Assumptions!$B$11+M1315*Assumptions!$B$12+N1315*Assumptions!$B$13+O1315*Assumptions!$B$14+P1315*Assumptions!$B$15+Q1315*Assumptions!$B$16</f>
        <v>0</v>
      </c>
      <c r="S1315" s="13" t="str">
        <f>IF(R1315&gt;=Assumptions!$B$20,"High",IF(R1315&gt;=Assumptions!$B$21,"Medium",IF(R1315&gt;=1,"Low","Clear")))</f>
        <v>Clear</v>
      </c>
      <c r="T1315" s="13" t="str">
        <f t="shared" si="104"/>
        <v/>
      </c>
    </row>
    <row r="1316" spans="1:20" x14ac:dyDescent="0.35">
      <c r="A1316" s="13" t="s">
        <v>5280</v>
      </c>
      <c r="B1316" s="13" t="s">
        <v>680</v>
      </c>
      <c r="C1316" s="13" t="s">
        <v>681</v>
      </c>
      <c r="D1316" s="13" t="s">
        <v>5281</v>
      </c>
      <c r="E1316" s="14">
        <v>46069</v>
      </c>
      <c r="F1316" s="14">
        <v>46093</v>
      </c>
      <c r="G1316" s="15">
        <v>575019.24</v>
      </c>
      <c r="H1316" s="13" t="s">
        <v>5282</v>
      </c>
      <c r="I1316" s="13" t="s">
        <v>5283</v>
      </c>
      <c r="J1316" s="13" t="s">
        <v>98</v>
      </c>
      <c r="K1316" s="13">
        <f t="shared" si="100"/>
        <v>5</v>
      </c>
      <c r="L1316" s="13">
        <f t="shared" si="101"/>
        <v>0</v>
      </c>
      <c r="M1316" s="13">
        <f>IF(AND(L1316=0,COUNTIFS($B$2:$B$1534,B1316,$G$2:$G$1534,G1316,$E$2:$E$1534,"&gt;="&amp;(E1316-Assumptions!$B$5),$E$2:$E$1534,"&lt;="&amp;(E1316+Assumptions!$B$5))&gt;1),1,0)</f>
        <v>0</v>
      </c>
      <c r="N1316" s="13">
        <f>IF(AND(G1316&gt;=Assumptions!$B$4*(1-Assumptions!$B$6),G1316&lt;Assumptions!$B$4),1,0)</f>
        <v>0</v>
      </c>
      <c r="O1316" s="13">
        <f>IF(AND(G1316&gt;=Assumptions!$B$7,MOD(G1316,Assumptions!$B$7)=0),1,0)</f>
        <v>0</v>
      </c>
      <c r="P1316" s="13">
        <f t="shared" si="102"/>
        <v>0</v>
      </c>
      <c r="Q1316" s="13">
        <f t="shared" si="103"/>
        <v>0</v>
      </c>
      <c r="R1316" s="13">
        <f>L1316*Assumptions!$B$11+M1316*Assumptions!$B$12+N1316*Assumptions!$B$13+O1316*Assumptions!$B$14+P1316*Assumptions!$B$15+Q1316*Assumptions!$B$16</f>
        <v>0</v>
      </c>
      <c r="S1316" s="13" t="str">
        <f>IF(R1316&gt;=Assumptions!$B$20,"High",IF(R1316&gt;=Assumptions!$B$21,"Medium",IF(R1316&gt;=1,"Low","Clear")))</f>
        <v>Clear</v>
      </c>
      <c r="T1316" s="13" t="str">
        <f t="shared" si="104"/>
        <v/>
      </c>
    </row>
    <row r="1317" spans="1:20" x14ac:dyDescent="0.35">
      <c r="A1317" s="13" t="s">
        <v>5284</v>
      </c>
      <c r="B1317" s="13" t="s">
        <v>279</v>
      </c>
      <c r="C1317" s="13" t="s">
        <v>280</v>
      </c>
      <c r="D1317" s="13" t="s">
        <v>5285</v>
      </c>
      <c r="E1317" s="14">
        <v>46069</v>
      </c>
      <c r="F1317" s="14">
        <v>46093</v>
      </c>
      <c r="G1317" s="15">
        <v>1227.92</v>
      </c>
      <c r="H1317" s="13" t="s">
        <v>5246</v>
      </c>
      <c r="I1317" s="13" t="s">
        <v>5247</v>
      </c>
      <c r="J1317" s="13" t="s">
        <v>111</v>
      </c>
      <c r="K1317" s="13">
        <f t="shared" si="100"/>
        <v>1</v>
      </c>
      <c r="L1317" s="13">
        <f t="shared" si="101"/>
        <v>0</v>
      </c>
      <c r="M1317" s="13">
        <f>IF(AND(L1317=0,COUNTIFS($B$2:$B$1534,B1317,$G$2:$G$1534,G1317,$E$2:$E$1534,"&gt;="&amp;(E1317-Assumptions!$B$5),$E$2:$E$1534,"&lt;="&amp;(E1317+Assumptions!$B$5))&gt;1),1,0)</f>
        <v>1</v>
      </c>
      <c r="N1317" s="13">
        <f>IF(AND(G1317&gt;=Assumptions!$B$4*(1-Assumptions!$B$6),G1317&lt;Assumptions!$B$4),1,0)</f>
        <v>0</v>
      </c>
      <c r="O1317" s="13">
        <f>IF(AND(G1317&gt;=Assumptions!$B$7,MOD(G1317,Assumptions!$B$7)=0),1,0)</f>
        <v>0</v>
      </c>
      <c r="P1317" s="13">
        <f t="shared" si="102"/>
        <v>0</v>
      </c>
      <c r="Q1317" s="13">
        <f t="shared" si="103"/>
        <v>0</v>
      </c>
      <c r="R1317" s="13">
        <f>L1317*Assumptions!$B$11+M1317*Assumptions!$B$12+N1317*Assumptions!$B$13+O1317*Assumptions!$B$14+P1317*Assumptions!$B$15+Q1317*Assumptions!$B$16</f>
        <v>3</v>
      </c>
      <c r="S1317" s="13" t="str">
        <f>IF(R1317&gt;=Assumptions!$B$20,"High",IF(R1317&gt;=Assumptions!$B$21,"Medium",IF(R1317&gt;=1,"Low","Clear")))</f>
        <v>Medium</v>
      </c>
      <c r="T1317" s="13" t="str">
        <f t="shared" si="104"/>
        <v xml:space="preserve">Near-duplicate; </v>
      </c>
    </row>
    <row r="1318" spans="1:20" x14ac:dyDescent="0.35">
      <c r="A1318" s="13" t="s">
        <v>5286</v>
      </c>
      <c r="B1318" s="13" t="s">
        <v>323</v>
      </c>
      <c r="C1318" s="13" t="s">
        <v>324</v>
      </c>
      <c r="D1318" s="13" t="s">
        <v>5287</v>
      </c>
      <c r="E1318" s="14">
        <v>46056</v>
      </c>
      <c r="F1318" s="14">
        <v>46093</v>
      </c>
      <c r="G1318" s="15">
        <v>163439.32999999999</v>
      </c>
      <c r="H1318" s="13" t="s">
        <v>5288</v>
      </c>
      <c r="I1318" s="13" t="s">
        <v>5289</v>
      </c>
      <c r="J1318" s="13" t="s">
        <v>111</v>
      </c>
      <c r="K1318" s="13">
        <f t="shared" si="100"/>
        <v>1</v>
      </c>
      <c r="L1318" s="13">
        <f t="shared" si="101"/>
        <v>0</v>
      </c>
      <c r="M1318" s="13">
        <f>IF(AND(L1318=0,COUNTIFS($B$2:$B$1534,B1318,$G$2:$G$1534,G1318,$E$2:$E$1534,"&gt;="&amp;(E1318-Assumptions!$B$5),$E$2:$E$1534,"&lt;="&amp;(E1318+Assumptions!$B$5))&gt;1),1,0)</f>
        <v>0</v>
      </c>
      <c r="N1318" s="13">
        <f>IF(AND(G1318&gt;=Assumptions!$B$4*(1-Assumptions!$B$6),G1318&lt;Assumptions!$B$4),1,0)</f>
        <v>0</v>
      </c>
      <c r="O1318" s="13">
        <f>IF(AND(G1318&gt;=Assumptions!$B$7,MOD(G1318,Assumptions!$B$7)=0),1,0)</f>
        <v>0</v>
      </c>
      <c r="P1318" s="13">
        <f t="shared" si="102"/>
        <v>0</v>
      </c>
      <c r="Q1318" s="13">
        <f t="shared" si="103"/>
        <v>0</v>
      </c>
      <c r="R1318" s="13">
        <f>L1318*Assumptions!$B$11+M1318*Assumptions!$B$12+N1318*Assumptions!$B$13+O1318*Assumptions!$B$14+P1318*Assumptions!$B$15+Q1318*Assumptions!$B$16</f>
        <v>0</v>
      </c>
      <c r="S1318" s="13" t="str">
        <f>IF(R1318&gt;=Assumptions!$B$20,"High",IF(R1318&gt;=Assumptions!$B$21,"Medium",IF(R1318&gt;=1,"Low","Clear")))</f>
        <v>Clear</v>
      </c>
      <c r="T1318" s="13" t="str">
        <f t="shared" si="104"/>
        <v/>
      </c>
    </row>
    <row r="1319" spans="1:20" x14ac:dyDescent="0.35">
      <c r="A1319" s="13" t="s">
        <v>5290</v>
      </c>
      <c r="B1319" s="13" t="s">
        <v>176</v>
      </c>
      <c r="C1319" s="13" t="s">
        <v>177</v>
      </c>
      <c r="D1319" s="13" t="s">
        <v>5291</v>
      </c>
      <c r="E1319" s="14">
        <v>46059</v>
      </c>
      <c r="F1319" s="14">
        <v>46094</v>
      </c>
      <c r="G1319" s="15">
        <v>1030</v>
      </c>
      <c r="H1319" s="13" t="s">
        <v>5292</v>
      </c>
      <c r="I1319" s="13" t="s">
        <v>5293</v>
      </c>
      <c r="J1319" s="13" t="s">
        <v>143</v>
      </c>
      <c r="K1319" s="13">
        <f t="shared" si="100"/>
        <v>1</v>
      </c>
      <c r="L1319" s="13">
        <f t="shared" si="101"/>
        <v>0</v>
      </c>
      <c r="M1319" s="13">
        <f>IF(AND(L1319=0,COUNTIFS($B$2:$B$1534,B1319,$G$2:$G$1534,G1319,$E$2:$E$1534,"&gt;="&amp;(E1319-Assumptions!$B$5),$E$2:$E$1534,"&lt;="&amp;(E1319+Assumptions!$B$5))&gt;1),1,0)</f>
        <v>0</v>
      </c>
      <c r="N1319" s="13">
        <f>IF(AND(G1319&gt;=Assumptions!$B$4*(1-Assumptions!$B$6),G1319&lt;Assumptions!$B$4),1,0)</f>
        <v>0</v>
      </c>
      <c r="O1319" s="13">
        <f>IF(AND(G1319&gt;=Assumptions!$B$7,MOD(G1319,Assumptions!$B$7)=0),1,0)</f>
        <v>0</v>
      </c>
      <c r="P1319" s="13">
        <f t="shared" si="102"/>
        <v>0</v>
      </c>
      <c r="Q1319" s="13">
        <f t="shared" si="103"/>
        <v>0</v>
      </c>
      <c r="R1319" s="13">
        <f>L1319*Assumptions!$B$11+M1319*Assumptions!$B$12+N1319*Assumptions!$B$13+O1319*Assumptions!$B$14+P1319*Assumptions!$B$15+Q1319*Assumptions!$B$16</f>
        <v>0</v>
      </c>
      <c r="S1319" s="13" t="str">
        <f>IF(R1319&gt;=Assumptions!$B$20,"High",IF(R1319&gt;=Assumptions!$B$21,"Medium",IF(R1319&gt;=1,"Low","Clear")))</f>
        <v>Clear</v>
      </c>
      <c r="T1319" s="13" t="str">
        <f t="shared" si="104"/>
        <v/>
      </c>
    </row>
    <row r="1320" spans="1:20" x14ac:dyDescent="0.35">
      <c r="A1320" s="13" t="s">
        <v>5294</v>
      </c>
      <c r="B1320" s="13" t="s">
        <v>252</v>
      </c>
      <c r="C1320" s="13" t="s">
        <v>253</v>
      </c>
      <c r="D1320" s="13" t="s">
        <v>5295</v>
      </c>
      <c r="E1320" s="14">
        <v>46069</v>
      </c>
      <c r="F1320" s="14">
        <v>46094</v>
      </c>
      <c r="G1320" s="15">
        <v>237814.37</v>
      </c>
      <c r="H1320" s="13" t="s">
        <v>5296</v>
      </c>
      <c r="I1320" s="13" t="s">
        <v>5297</v>
      </c>
      <c r="J1320" s="13" t="s">
        <v>111</v>
      </c>
      <c r="K1320" s="13">
        <f t="shared" si="100"/>
        <v>2</v>
      </c>
      <c r="L1320" s="13">
        <f t="shared" si="101"/>
        <v>0</v>
      </c>
      <c r="M1320" s="13">
        <f>IF(AND(L1320=0,COUNTIFS($B$2:$B$1534,B1320,$G$2:$G$1534,G1320,$E$2:$E$1534,"&gt;="&amp;(E1320-Assumptions!$B$5),$E$2:$E$1534,"&lt;="&amp;(E1320+Assumptions!$B$5))&gt;1),1,0)</f>
        <v>0</v>
      </c>
      <c r="N1320" s="13">
        <f>IF(AND(G1320&gt;=Assumptions!$B$4*(1-Assumptions!$B$6),G1320&lt;Assumptions!$B$4),1,0)</f>
        <v>0</v>
      </c>
      <c r="O1320" s="13">
        <f>IF(AND(G1320&gt;=Assumptions!$B$7,MOD(G1320,Assumptions!$B$7)=0),1,0)</f>
        <v>0</v>
      </c>
      <c r="P1320" s="13">
        <f t="shared" si="102"/>
        <v>0</v>
      </c>
      <c r="Q1320" s="13">
        <f t="shared" si="103"/>
        <v>0</v>
      </c>
      <c r="R1320" s="13">
        <f>L1320*Assumptions!$B$11+M1320*Assumptions!$B$12+N1320*Assumptions!$B$13+O1320*Assumptions!$B$14+P1320*Assumptions!$B$15+Q1320*Assumptions!$B$16</f>
        <v>0</v>
      </c>
      <c r="S1320" s="13" t="str">
        <f>IF(R1320&gt;=Assumptions!$B$20,"High",IF(R1320&gt;=Assumptions!$B$21,"Medium",IF(R1320&gt;=1,"Low","Clear")))</f>
        <v>Clear</v>
      </c>
      <c r="T1320" s="13" t="str">
        <f t="shared" si="104"/>
        <v/>
      </c>
    </row>
    <row r="1321" spans="1:20" x14ac:dyDescent="0.35">
      <c r="A1321" s="13" t="s">
        <v>5298</v>
      </c>
      <c r="B1321" s="13" t="s">
        <v>680</v>
      </c>
      <c r="C1321" s="13" t="s">
        <v>681</v>
      </c>
      <c r="D1321" s="13" t="s">
        <v>5299</v>
      </c>
      <c r="E1321" s="14">
        <v>46054</v>
      </c>
      <c r="F1321" s="14">
        <v>46094</v>
      </c>
      <c r="G1321" s="15">
        <v>2319.37</v>
      </c>
      <c r="H1321" s="13" t="s">
        <v>5300</v>
      </c>
      <c r="I1321" s="13" t="s">
        <v>5301</v>
      </c>
      <c r="J1321" s="13" t="s">
        <v>91</v>
      </c>
      <c r="K1321" s="13">
        <f t="shared" si="100"/>
        <v>2</v>
      </c>
      <c r="L1321" s="13">
        <f t="shared" si="101"/>
        <v>0</v>
      </c>
      <c r="M1321" s="13">
        <f>IF(AND(L1321=0,COUNTIFS($B$2:$B$1534,B1321,$G$2:$G$1534,G1321,$E$2:$E$1534,"&gt;="&amp;(E1321-Assumptions!$B$5),$E$2:$E$1534,"&lt;="&amp;(E1321+Assumptions!$B$5))&gt;1),1,0)</f>
        <v>0</v>
      </c>
      <c r="N1321" s="13">
        <f>IF(AND(G1321&gt;=Assumptions!$B$4*(1-Assumptions!$B$6),G1321&lt;Assumptions!$B$4),1,0)</f>
        <v>0</v>
      </c>
      <c r="O1321" s="13">
        <f>IF(AND(G1321&gt;=Assumptions!$B$7,MOD(G1321,Assumptions!$B$7)=0),1,0)</f>
        <v>0</v>
      </c>
      <c r="P1321" s="13">
        <f t="shared" si="102"/>
        <v>0</v>
      </c>
      <c r="Q1321" s="13">
        <f t="shared" si="103"/>
        <v>0</v>
      </c>
      <c r="R1321" s="13">
        <f>L1321*Assumptions!$B$11+M1321*Assumptions!$B$12+N1321*Assumptions!$B$13+O1321*Assumptions!$B$14+P1321*Assumptions!$B$15+Q1321*Assumptions!$B$16</f>
        <v>0</v>
      </c>
      <c r="S1321" s="13" t="str">
        <f>IF(R1321&gt;=Assumptions!$B$20,"High",IF(R1321&gt;=Assumptions!$B$21,"Medium",IF(R1321&gt;=1,"Low","Clear")))</f>
        <v>Clear</v>
      </c>
      <c r="T1321" s="13" t="str">
        <f t="shared" si="104"/>
        <v/>
      </c>
    </row>
    <row r="1322" spans="1:20" x14ac:dyDescent="0.35">
      <c r="A1322" s="13" t="s">
        <v>5302</v>
      </c>
      <c r="B1322" s="13" t="s">
        <v>176</v>
      </c>
      <c r="C1322" s="13" t="s">
        <v>177</v>
      </c>
      <c r="D1322" s="13" t="s">
        <v>5303</v>
      </c>
      <c r="E1322" s="14">
        <v>46068</v>
      </c>
      <c r="F1322" s="14">
        <v>46097</v>
      </c>
      <c r="G1322" s="15">
        <v>4773.0600000000004</v>
      </c>
      <c r="H1322" s="13" t="s">
        <v>5304</v>
      </c>
      <c r="I1322" s="13" t="s">
        <v>5305</v>
      </c>
      <c r="J1322" s="13" t="s">
        <v>143</v>
      </c>
      <c r="K1322" s="13">
        <f t="shared" si="100"/>
        <v>4</v>
      </c>
      <c r="L1322" s="13">
        <f t="shared" si="101"/>
        <v>0</v>
      </c>
      <c r="M1322" s="13">
        <f>IF(AND(L1322=0,COUNTIFS($B$2:$B$1534,B1322,$G$2:$G$1534,G1322,$E$2:$E$1534,"&gt;="&amp;(E1322-Assumptions!$B$5),$E$2:$E$1534,"&lt;="&amp;(E1322+Assumptions!$B$5))&gt;1),1,0)</f>
        <v>0</v>
      </c>
      <c r="N1322" s="13">
        <f>IF(AND(G1322&gt;=Assumptions!$B$4*(1-Assumptions!$B$6),G1322&lt;Assumptions!$B$4),1,0)</f>
        <v>0</v>
      </c>
      <c r="O1322" s="13">
        <f>IF(AND(G1322&gt;=Assumptions!$B$7,MOD(G1322,Assumptions!$B$7)=0),1,0)</f>
        <v>0</v>
      </c>
      <c r="P1322" s="13">
        <f t="shared" si="102"/>
        <v>0</v>
      </c>
      <c r="Q1322" s="13">
        <f t="shared" si="103"/>
        <v>0</v>
      </c>
      <c r="R1322" s="13">
        <f>L1322*Assumptions!$B$11+M1322*Assumptions!$B$12+N1322*Assumptions!$B$13+O1322*Assumptions!$B$14+P1322*Assumptions!$B$15+Q1322*Assumptions!$B$16</f>
        <v>0</v>
      </c>
      <c r="S1322" s="13" t="str">
        <f>IF(R1322&gt;=Assumptions!$B$20,"High",IF(R1322&gt;=Assumptions!$B$21,"Medium",IF(R1322&gt;=1,"Low","Clear")))</f>
        <v>Clear</v>
      </c>
      <c r="T1322" s="13" t="str">
        <f t="shared" si="104"/>
        <v/>
      </c>
    </row>
    <row r="1323" spans="1:20" x14ac:dyDescent="0.35">
      <c r="A1323" s="13" t="s">
        <v>5306</v>
      </c>
      <c r="B1323" s="13" t="s">
        <v>498</v>
      </c>
      <c r="C1323" s="13" t="s">
        <v>499</v>
      </c>
      <c r="D1323" s="13" t="s">
        <v>5307</v>
      </c>
      <c r="E1323" s="14">
        <v>46068</v>
      </c>
      <c r="F1323" s="14">
        <v>46097</v>
      </c>
      <c r="G1323" s="15">
        <v>69708.36</v>
      </c>
      <c r="H1323" s="13" t="s">
        <v>5308</v>
      </c>
      <c r="I1323" s="13" t="s">
        <v>5309</v>
      </c>
      <c r="J1323" s="13" t="s">
        <v>136</v>
      </c>
      <c r="K1323" s="13">
        <f t="shared" si="100"/>
        <v>6</v>
      </c>
      <c r="L1323" s="13">
        <f t="shared" si="101"/>
        <v>0</v>
      </c>
      <c r="M1323" s="13">
        <f>IF(AND(L1323=0,COUNTIFS($B$2:$B$1534,B1323,$G$2:$G$1534,G1323,$E$2:$E$1534,"&gt;="&amp;(E1323-Assumptions!$B$5),$E$2:$E$1534,"&lt;="&amp;(E1323+Assumptions!$B$5))&gt;1),1,0)</f>
        <v>0</v>
      </c>
      <c r="N1323" s="13">
        <f>IF(AND(G1323&gt;=Assumptions!$B$4*(1-Assumptions!$B$6),G1323&lt;Assumptions!$B$4),1,0)</f>
        <v>0</v>
      </c>
      <c r="O1323" s="13">
        <f>IF(AND(G1323&gt;=Assumptions!$B$7,MOD(G1323,Assumptions!$B$7)=0),1,0)</f>
        <v>0</v>
      </c>
      <c r="P1323" s="13">
        <f t="shared" si="102"/>
        <v>0</v>
      </c>
      <c r="Q1323" s="13">
        <f t="shared" si="103"/>
        <v>0</v>
      </c>
      <c r="R1323" s="13">
        <f>L1323*Assumptions!$B$11+M1323*Assumptions!$B$12+N1323*Assumptions!$B$13+O1323*Assumptions!$B$14+P1323*Assumptions!$B$15+Q1323*Assumptions!$B$16</f>
        <v>0</v>
      </c>
      <c r="S1323" s="13" t="str">
        <f>IF(R1323&gt;=Assumptions!$B$20,"High",IF(R1323&gt;=Assumptions!$B$21,"Medium",IF(R1323&gt;=1,"Low","Clear")))</f>
        <v>Clear</v>
      </c>
      <c r="T1323" s="13" t="str">
        <f t="shared" si="104"/>
        <v/>
      </c>
    </row>
    <row r="1324" spans="1:20" x14ac:dyDescent="0.35">
      <c r="A1324" s="13" t="s">
        <v>5310</v>
      </c>
      <c r="B1324" s="13" t="s">
        <v>86</v>
      </c>
      <c r="C1324" s="13" t="s">
        <v>87</v>
      </c>
      <c r="D1324" s="13" t="s">
        <v>5311</v>
      </c>
      <c r="E1324" s="14">
        <v>46058</v>
      </c>
      <c r="F1324" s="14">
        <v>46097</v>
      </c>
      <c r="G1324" s="15">
        <v>778402.52</v>
      </c>
      <c r="H1324" s="13"/>
      <c r="I1324" s="13"/>
      <c r="J1324" s="13" t="s">
        <v>143</v>
      </c>
      <c r="K1324" s="13">
        <f t="shared" si="100"/>
        <v>7</v>
      </c>
      <c r="L1324" s="13">
        <f t="shared" si="101"/>
        <v>0</v>
      </c>
      <c r="M1324" s="13">
        <f>IF(AND(L1324=0,COUNTIFS($B$2:$B$1534,B1324,$G$2:$G$1534,G1324,$E$2:$E$1534,"&gt;="&amp;(E1324-Assumptions!$B$5),$E$2:$E$1534,"&lt;="&amp;(E1324+Assumptions!$B$5))&gt;1),1,0)</f>
        <v>0</v>
      </c>
      <c r="N1324" s="13">
        <f>IF(AND(G1324&gt;=Assumptions!$B$4*(1-Assumptions!$B$6),G1324&lt;Assumptions!$B$4),1,0)</f>
        <v>0</v>
      </c>
      <c r="O1324" s="13">
        <f>IF(AND(G1324&gt;=Assumptions!$B$7,MOD(G1324,Assumptions!$B$7)=0),1,0)</f>
        <v>0</v>
      </c>
      <c r="P1324" s="13">
        <f t="shared" si="102"/>
        <v>1</v>
      </c>
      <c r="Q1324" s="13">
        <f t="shared" si="103"/>
        <v>0</v>
      </c>
      <c r="R1324" s="13">
        <f>L1324*Assumptions!$B$11+M1324*Assumptions!$B$12+N1324*Assumptions!$B$13+O1324*Assumptions!$B$14+P1324*Assumptions!$B$15+Q1324*Assumptions!$B$16</f>
        <v>4</v>
      </c>
      <c r="S1324" s="13" t="str">
        <f>IF(R1324&gt;=Assumptions!$B$20,"High",IF(R1324&gt;=Assumptions!$B$21,"Medium",IF(R1324&gt;=1,"Low","Clear")))</f>
        <v>Medium</v>
      </c>
      <c r="T1324" s="13" t="str">
        <f t="shared" si="104"/>
        <v xml:space="preserve">No PO/GRN; </v>
      </c>
    </row>
    <row r="1325" spans="1:20" x14ac:dyDescent="0.35">
      <c r="A1325" s="13" t="s">
        <v>5312</v>
      </c>
      <c r="B1325" s="13" t="s">
        <v>86</v>
      </c>
      <c r="C1325" s="13" t="s">
        <v>87</v>
      </c>
      <c r="D1325" s="13" t="s">
        <v>5313</v>
      </c>
      <c r="E1325" s="14">
        <v>46057</v>
      </c>
      <c r="F1325" s="14">
        <v>46097</v>
      </c>
      <c r="G1325" s="15">
        <v>656844.80000000005</v>
      </c>
      <c r="H1325" s="13" t="s">
        <v>5314</v>
      </c>
      <c r="I1325" s="13" t="s">
        <v>5315</v>
      </c>
      <c r="J1325" s="13" t="s">
        <v>91</v>
      </c>
      <c r="K1325" s="13">
        <f t="shared" si="100"/>
        <v>6</v>
      </c>
      <c r="L1325" s="13">
        <f t="shared" si="101"/>
        <v>0</v>
      </c>
      <c r="M1325" s="13">
        <f>IF(AND(L1325=0,COUNTIFS($B$2:$B$1534,B1325,$G$2:$G$1534,G1325,$E$2:$E$1534,"&gt;="&amp;(E1325-Assumptions!$B$5),$E$2:$E$1534,"&lt;="&amp;(E1325+Assumptions!$B$5))&gt;1),1,0)</f>
        <v>0</v>
      </c>
      <c r="N1325" s="13">
        <f>IF(AND(G1325&gt;=Assumptions!$B$4*(1-Assumptions!$B$6),G1325&lt;Assumptions!$B$4),1,0)</f>
        <v>0</v>
      </c>
      <c r="O1325" s="13">
        <f>IF(AND(G1325&gt;=Assumptions!$B$7,MOD(G1325,Assumptions!$B$7)=0),1,0)</f>
        <v>0</v>
      </c>
      <c r="P1325" s="13">
        <f t="shared" si="102"/>
        <v>0</v>
      </c>
      <c r="Q1325" s="13">
        <f t="shared" si="103"/>
        <v>0</v>
      </c>
      <c r="R1325" s="13">
        <f>L1325*Assumptions!$B$11+M1325*Assumptions!$B$12+N1325*Assumptions!$B$13+O1325*Assumptions!$B$14+P1325*Assumptions!$B$15+Q1325*Assumptions!$B$16</f>
        <v>0</v>
      </c>
      <c r="S1325" s="13" t="str">
        <f>IF(R1325&gt;=Assumptions!$B$20,"High",IF(R1325&gt;=Assumptions!$B$21,"Medium",IF(R1325&gt;=1,"Low","Clear")))</f>
        <v>Clear</v>
      </c>
      <c r="T1325" s="13" t="str">
        <f t="shared" si="104"/>
        <v/>
      </c>
    </row>
    <row r="1326" spans="1:20" x14ac:dyDescent="0.35">
      <c r="A1326" s="13" t="s">
        <v>5316</v>
      </c>
      <c r="B1326" s="13" t="s">
        <v>200</v>
      </c>
      <c r="C1326" s="13" t="s">
        <v>201</v>
      </c>
      <c r="D1326" s="13" t="s">
        <v>5317</v>
      </c>
      <c r="E1326" s="14">
        <v>46064</v>
      </c>
      <c r="F1326" s="14">
        <v>46097</v>
      </c>
      <c r="G1326" s="15">
        <v>23631.13</v>
      </c>
      <c r="H1326" s="13" t="s">
        <v>5318</v>
      </c>
      <c r="I1326" s="13" t="s">
        <v>5319</v>
      </c>
      <c r="J1326" s="13" t="s">
        <v>136</v>
      </c>
      <c r="K1326" s="13">
        <f t="shared" si="100"/>
        <v>2</v>
      </c>
      <c r="L1326" s="13">
        <f t="shared" si="101"/>
        <v>0</v>
      </c>
      <c r="M1326" s="13">
        <f>IF(AND(L1326=0,COUNTIFS($B$2:$B$1534,B1326,$G$2:$G$1534,G1326,$E$2:$E$1534,"&gt;="&amp;(E1326-Assumptions!$B$5),$E$2:$E$1534,"&lt;="&amp;(E1326+Assumptions!$B$5))&gt;1),1,0)</f>
        <v>0</v>
      </c>
      <c r="N1326" s="13">
        <f>IF(AND(G1326&gt;=Assumptions!$B$4*(1-Assumptions!$B$6),G1326&lt;Assumptions!$B$4),1,0)</f>
        <v>0</v>
      </c>
      <c r="O1326" s="13">
        <f>IF(AND(G1326&gt;=Assumptions!$B$7,MOD(G1326,Assumptions!$B$7)=0),1,0)</f>
        <v>0</v>
      </c>
      <c r="P1326" s="13">
        <f t="shared" si="102"/>
        <v>0</v>
      </c>
      <c r="Q1326" s="13">
        <f t="shared" si="103"/>
        <v>0</v>
      </c>
      <c r="R1326" s="13">
        <f>L1326*Assumptions!$B$11+M1326*Assumptions!$B$12+N1326*Assumptions!$B$13+O1326*Assumptions!$B$14+P1326*Assumptions!$B$15+Q1326*Assumptions!$B$16</f>
        <v>0</v>
      </c>
      <c r="S1326" s="13" t="str">
        <f>IF(R1326&gt;=Assumptions!$B$20,"High",IF(R1326&gt;=Assumptions!$B$21,"Medium",IF(R1326&gt;=1,"Low","Clear")))</f>
        <v>Clear</v>
      </c>
      <c r="T1326" s="13" t="str">
        <f t="shared" si="104"/>
        <v/>
      </c>
    </row>
    <row r="1327" spans="1:20" x14ac:dyDescent="0.35">
      <c r="A1327" s="13" t="s">
        <v>5320</v>
      </c>
      <c r="B1327" s="13" t="s">
        <v>131</v>
      </c>
      <c r="C1327" s="13" t="s">
        <v>132</v>
      </c>
      <c r="D1327" s="13" t="s">
        <v>5321</v>
      </c>
      <c r="E1327" s="14">
        <v>46057</v>
      </c>
      <c r="F1327" s="14">
        <v>46097</v>
      </c>
      <c r="G1327" s="15">
        <v>15359.11</v>
      </c>
      <c r="H1327" s="13" t="s">
        <v>5322</v>
      </c>
      <c r="I1327" s="13" t="s">
        <v>5323</v>
      </c>
      <c r="J1327" s="13" t="s">
        <v>136</v>
      </c>
      <c r="K1327" s="13">
        <f t="shared" si="100"/>
        <v>1</v>
      </c>
      <c r="L1327" s="13">
        <f t="shared" si="101"/>
        <v>0</v>
      </c>
      <c r="M1327" s="13">
        <f>IF(AND(L1327=0,COUNTIFS($B$2:$B$1534,B1327,$G$2:$G$1534,G1327,$E$2:$E$1534,"&gt;="&amp;(E1327-Assumptions!$B$5),$E$2:$E$1534,"&lt;="&amp;(E1327+Assumptions!$B$5))&gt;1),1,0)</f>
        <v>0</v>
      </c>
      <c r="N1327" s="13">
        <f>IF(AND(G1327&gt;=Assumptions!$B$4*(1-Assumptions!$B$6),G1327&lt;Assumptions!$B$4),1,0)</f>
        <v>0</v>
      </c>
      <c r="O1327" s="13">
        <f>IF(AND(G1327&gt;=Assumptions!$B$7,MOD(G1327,Assumptions!$B$7)=0),1,0)</f>
        <v>0</v>
      </c>
      <c r="P1327" s="13">
        <f t="shared" si="102"/>
        <v>0</v>
      </c>
      <c r="Q1327" s="13">
        <f t="shared" si="103"/>
        <v>0</v>
      </c>
      <c r="R1327" s="13">
        <f>L1327*Assumptions!$B$11+M1327*Assumptions!$B$12+N1327*Assumptions!$B$13+O1327*Assumptions!$B$14+P1327*Assumptions!$B$15+Q1327*Assumptions!$B$16</f>
        <v>0</v>
      </c>
      <c r="S1327" s="13" t="str">
        <f>IF(R1327&gt;=Assumptions!$B$20,"High",IF(R1327&gt;=Assumptions!$B$21,"Medium",IF(R1327&gt;=1,"Low","Clear")))</f>
        <v>Clear</v>
      </c>
      <c r="T1327" s="13" t="str">
        <f t="shared" si="104"/>
        <v/>
      </c>
    </row>
    <row r="1328" spans="1:20" x14ac:dyDescent="0.35">
      <c r="A1328" s="13" t="s">
        <v>5324</v>
      </c>
      <c r="B1328" s="13" t="s">
        <v>466</v>
      </c>
      <c r="C1328" s="13" t="s">
        <v>467</v>
      </c>
      <c r="D1328" s="13" t="s">
        <v>5325</v>
      </c>
      <c r="E1328" s="14">
        <v>46060</v>
      </c>
      <c r="F1328" s="14">
        <v>46097</v>
      </c>
      <c r="G1328" s="15">
        <v>48067.39</v>
      </c>
      <c r="H1328" s="13" t="s">
        <v>5326</v>
      </c>
      <c r="I1328" s="13" t="s">
        <v>5327</v>
      </c>
      <c r="J1328" s="13" t="s">
        <v>143</v>
      </c>
      <c r="K1328" s="13">
        <f t="shared" si="100"/>
        <v>4</v>
      </c>
      <c r="L1328" s="13">
        <f t="shared" si="101"/>
        <v>0</v>
      </c>
      <c r="M1328" s="13">
        <f>IF(AND(L1328=0,COUNTIFS($B$2:$B$1534,B1328,$G$2:$G$1534,G1328,$E$2:$E$1534,"&gt;="&amp;(E1328-Assumptions!$B$5),$E$2:$E$1534,"&lt;="&amp;(E1328+Assumptions!$B$5))&gt;1),1,0)</f>
        <v>0</v>
      </c>
      <c r="N1328" s="13">
        <f>IF(AND(G1328&gt;=Assumptions!$B$4*(1-Assumptions!$B$6),G1328&lt;Assumptions!$B$4),1,0)</f>
        <v>1</v>
      </c>
      <c r="O1328" s="13">
        <f>IF(AND(G1328&gt;=Assumptions!$B$7,MOD(G1328,Assumptions!$B$7)=0),1,0)</f>
        <v>0</v>
      </c>
      <c r="P1328" s="13">
        <f t="shared" si="102"/>
        <v>0</v>
      </c>
      <c r="Q1328" s="13">
        <f t="shared" si="103"/>
        <v>0</v>
      </c>
      <c r="R1328" s="13">
        <f>L1328*Assumptions!$B$11+M1328*Assumptions!$B$12+N1328*Assumptions!$B$13+O1328*Assumptions!$B$14+P1328*Assumptions!$B$15+Q1328*Assumptions!$B$16</f>
        <v>3</v>
      </c>
      <c r="S1328" s="13" t="str">
        <f>IF(R1328&gt;=Assumptions!$B$20,"High",IF(R1328&gt;=Assumptions!$B$21,"Medium",IF(R1328&gt;=1,"Low","Clear")))</f>
        <v>Medium</v>
      </c>
      <c r="T1328" s="13" t="str">
        <f t="shared" si="104"/>
        <v xml:space="preserve">Just below limit; </v>
      </c>
    </row>
    <row r="1329" spans="1:20" x14ac:dyDescent="0.35">
      <c r="A1329" s="13" t="s">
        <v>5328</v>
      </c>
      <c r="B1329" s="13" t="s">
        <v>119</v>
      </c>
      <c r="C1329" s="13" t="s">
        <v>120</v>
      </c>
      <c r="D1329" s="13" t="s">
        <v>5329</v>
      </c>
      <c r="E1329" s="14">
        <v>46062</v>
      </c>
      <c r="F1329" s="14">
        <v>46097</v>
      </c>
      <c r="G1329" s="15">
        <v>6662.94</v>
      </c>
      <c r="H1329" s="13" t="s">
        <v>5330</v>
      </c>
      <c r="I1329" s="13" t="s">
        <v>5331</v>
      </c>
      <c r="J1329" s="13" t="s">
        <v>136</v>
      </c>
      <c r="K1329" s="13">
        <f t="shared" si="100"/>
        <v>6</v>
      </c>
      <c r="L1329" s="13">
        <f t="shared" si="101"/>
        <v>0</v>
      </c>
      <c r="M1329" s="13">
        <f>IF(AND(L1329=0,COUNTIFS($B$2:$B$1534,B1329,$G$2:$G$1534,G1329,$E$2:$E$1534,"&gt;="&amp;(E1329-Assumptions!$B$5),$E$2:$E$1534,"&lt;="&amp;(E1329+Assumptions!$B$5))&gt;1),1,0)</f>
        <v>0</v>
      </c>
      <c r="N1329" s="13">
        <f>IF(AND(G1329&gt;=Assumptions!$B$4*(1-Assumptions!$B$6),G1329&lt;Assumptions!$B$4),1,0)</f>
        <v>0</v>
      </c>
      <c r="O1329" s="13">
        <f>IF(AND(G1329&gt;=Assumptions!$B$7,MOD(G1329,Assumptions!$B$7)=0),1,0)</f>
        <v>0</v>
      </c>
      <c r="P1329" s="13">
        <f t="shared" si="102"/>
        <v>0</v>
      </c>
      <c r="Q1329" s="13">
        <f t="shared" si="103"/>
        <v>0</v>
      </c>
      <c r="R1329" s="13">
        <f>L1329*Assumptions!$B$11+M1329*Assumptions!$B$12+N1329*Assumptions!$B$13+O1329*Assumptions!$B$14+P1329*Assumptions!$B$15+Q1329*Assumptions!$B$16</f>
        <v>0</v>
      </c>
      <c r="S1329" s="13" t="str">
        <f>IF(R1329&gt;=Assumptions!$B$20,"High",IF(R1329&gt;=Assumptions!$B$21,"Medium",IF(R1329&gt;=1,"Low","Clear")))</f>
        <v>Clear</v>
      </c>
      <c r="T1329" s="13" t="str">
        <f t="shared" si="104"/>
        <v/>
      </c>
    </row>
    <row r="1330" spans="1:20" x14ac:dyDescent="0.35">
      <c r="A1330" s="13" t="s">
        <v>5332</v>
      </c>
      <c r="B1330" s="13" t="s">
        <v>317</v>
      </c>
      <c r="C1330" s="13" t="s">
        <v>318</v>
      </c>
      <c r="D1330" s="13" t="s">
        <v>5333</v>
      </c>
      <c r="E1330" s="14">
        <v>46070</v>
      </c>
      <c r="F1330" s="14">
        <v>46097</v>
      </c>
      <c r="G1330" s="15">
        <v>3623.77</v>
      </c>
      <c r="H1330" s="13" t="s">
        <v>5334</v>
      </c>
      <c r="I1330" s="13" t="s">
        <v>5335</v>
      </c>
      <c r="J1330" s="13" t="s">
        <v>98</v>
      </c>
      <c r="K1330" s="13">
        <f t="shared" si="100"/>
        <v>3</v>
      </c>
      <c r="L1330" s="13">
        <f t="shared" si="101"/>
        <v>0</v>
      </c>
      <c r="M1330" s="13">
        <f>IF(AND(L1330=0,COUNTIFS($B$2:$B$1534,B1330,$G$2:$G$1534,G1330,$E$2:$E$1534,"&gt;="&amp;(E1330-Assumptions!$B$5),$E$2:$E$1534,"&lt;="&amp;(E1330+Assumptions!$B$5))&gt;1),1,0)</f>
        <v>0</v>
      </c>
      <c r="N1330" s="13">
        <f>IF(AND(G1330&gt;=Assumptions!$B$4*(1-Assumptions!$B$6),G1330&lt;Assumptions!$B$4),1,0)</f>
        <v>0</v>
      </c>
      <c r="O1330" s="13">
        <f>IF(AND(G1330&gt;=Assumptions!$B$7,MOD(G1330,Assumptions!$B$7)=0),1,0)</f>
        <v>0</v>
      </c>
      <c r="P1330" s="13">
        <f t="shared" si="102"/>
        <v>0</v>
      </c>
      <c r="Q1330" s="13">
        <f t="shared" si="103"/>
        <v>0</v>
      </c>
      <c r="R1330" s="13">
        <f>L1330*Assumptions!$B$11+M1330*Assumptions!$B$12+N1330*Assumptions!$B$13+O1330*Assumptions!$B$14+P1330*Assumptions!$B$15+Q1330*Assumptions!$B$16</f>
        <v>0</v>
      </c>
      <c r="S1330" s="13" t="str">
        <f>IF(R1330&gt;=Assumptions!$B$20,"High",IF(R1330&gt;=Assumptions!$B$21,"Medium",IF(R1330&gt;=1,"Low","Clear")))</f>
        <v>Clear</v>
      </c>
      <c r="T1330" s="13" t="str">
        <f t="shared" si="104"/>
        <v/>
      </c>
    </row>
    <row r="1331" spans="1:20" x14ac:dyDescent="0.35">
      <c r="A1331" s="13" t="s">
        <v>5336</v>
      </c>
      <c r="B1331" s="13" t="s">
        <v>323</v>
      </c>
      <c r="C1331" s="13" t="s">
        <v>324</v>
      </c>
      <c r="D1331" s="13" t="s">
        <v>5337</v>
      </c>
      <c r="E1331" s="14">
        <v>46058</v>
      </c>
      <c r="F1331" s="14">
        <v>46097</v>
      </c>
      <c r="G1331" s="15">
        <v>235625.61</v>
      </c>
      <c r="H1331" s="13" t="s">
        <v>5338</v>
      </c>
      <c r="I1331" s="13" t="s">
        <v>5339</v>
      </c>
      <c r="J1331" s="13" t="s">
        <v>98</v>
      </c>
      <c r="K1331" s="13">
        <f t="shared" si="100"/>
        <v>2</v>
      </c>
      <c r="L1331" s="13">
        <f t="shared" si="101"/>
        <v>0</v>
      </c>
      <c r="M1331" s="13">
        <f>IF(AND(L1331=0,COUNTIFS($B$2:$B$1534,B1331,$G$2:$G$1534,G1331,$E$2:$E$1534,"&gt;="&amp;(E1331-Assumptions!$B$5),$E$2:$E$1534,"&lt;="&amp;(E1331+Assumptions!$B$5))&gt;1),1,0)</f>
        <v>0</v>
      </c>
      <c r="N1331" s="13">
        <f>IF(AND(G1331&gt;=Assumptions!$B$4*(1-Assumptions!$B$6),G1331&lt;Assumptions!$B$4),1,0)</f>
        <v>0</v>
      </c>
      <c r="O1331" s="13">
        <f>IF(AND(G1331&gt;=Assumptions!$B$7,MOD(G1331,Assumptions!$B$7)=0),1,0)</f>
        <v>0</v>
      </c>
      <c r="P1331" s="13">
        <f t="shared" si="102"/>
        <v>0</v>
      </c>
      <c r="Q1331" s="13">
        <f t="shared" si="103"/>
        <v>0</v>
      </c>
      <c r="R1331" s="13">
        <f>L1331*Assumptions!$B$11+M1331*Assumptions!$B$12+N1331*Assumptions!$B$13+O1331*Assumptions!$B$14+P1331*Assumptions!$B$15+Q1331*Assumptions!$B$16</f>
        <v>0</v>
      </c>
      <c r="S1331" s="13" t="str">
        <f>IF(R1331&gt;=Assumptions!$B$20,"High",IF(R1331&gt;=Assumptions!$B$21,"Medium",IF(R1331&gt;=1,"Low","Clear")))</f>
        <v>Clear</v>
      </c>
      <c r="T1331" s="13" t="str">
        <f t="shared" si="104"/>
        <v/>
      </c>
    </row>
    <row r="1332" spans="1:20" x14ac:dyDescent="0.35">
      <c r="A1332" s="13" t="s">
        <v>5340</v>
      </c>
      <c r="B1332" s="13" t="s">
        <v>323</v>
      </c>
      <c r="C1332" s="13" t="s">
        <v>324</v>
      </c>
      <c r="D1332" s="13" t="s">
        <v>5341</v>
      </c>
      <c r="E1332" s="14">
        <v>46057</v>
      </c>
      <c r="F1332" s="14">
        <v>46097</v>
      </c>
      <c r="G1332" s="15">
        <v>1852.94</v>
      </c>
      <c r="H1332" s="13" t="s">
        <v>5342</v>
      </c>
      <c r="I1332" s="13" t="s">
        <v>5343</v>
      </c>
      <c r="J1332" s="13" t="s">
        <v>98</v>
      </c>
      <c r="K1332" s="13">
        <f t="shared" si="100"/>
        <v>1</v>
      </c>
      <c r="L1332" s="13">
        <f t="shared" si="101"/>
        <v>0</v>
      </c>
      <c r="M1332" s="13">
        <f>IF(AND(L1332=0,COUNTIFS($B$2:$B$1534,B1332,$G$2:$G$1534,G1332,$E$2:$E$1534,"&gt;="&amp;(E1332-Assumptions!$B$5),$E$2:$E$1534,"&lt;="&amp;(E1332+Assumptions!$B$5))&gt;1),1,0)</f>
        <v>0</v>
      </c>
      <c r="N1332" s="13">
        <f>IF(AND(G1332&gt;=Assumptions!$B$4*(1-Assumptions!$B$6),G1332&lt;Assumptions!$B$4),1,0)</f>
        <v>0</v>
      </c>
      <c r="O1332" s="13">
        <f>IF(AND(G1332&gt;=Assumptions!$B$7,MOD(G1332,Assumptions!$B$7)=0),1,0)</f>
        <v>0</v>
      </c>
      <c r="P1332" s="13">
        <f t="shared" si="102"/>
        <v>0</v>
      </c>
      <c r="Q1332" s="13">
        <f t="shared" si="103"/>
        <v>0</v>
      </c>
      <c r="R1332" s="13">
        <f>L1332*Assumptions!$B$11+M1332*Assumptions!$B$12+N1332*Assumptions!$B$13+O1332*Assumptions!$B$14+P1332*Assumptions!$B$15+Q1332*Assumptions!$B$16</f>
        <v>0</v>
      </c>
      <c r="S1332" s="13" t="str">
        <f>IF(R1332&gt;=Assumptions!$B$20,"High",IF(R1332&gt;=Assumptions!$B$21,"Medium",IF(R1332&gt;=1,"Low","Clear")))</f>
        <v>Clear</v>
      </c>
      <c r="T1332" s="13" t="str">
        <f t="shared" si="104"/>
        <v/>
      </c>
    </row>
    <row r="1333" spans="1:20" x14ac:dyDescent="0.35">
      <c r="A1333" s="13" t="s">
        <v>5344</v>
      </c>
      <c r="B1333" s="13" t="s">
        <v>100</v>
      </c>
      <c r="C1333" s="13" t="s">
        <v>101</v>
      </c>
      <c r="D1333" s="13" t="s">
        <v>5345</v>
      </c>
      <c r="E1333" s="14">
        <v>46068</v>
      </c>
      <c r="F1333" s="14">
        <v>46097</v>
      </c>
      <c r="G1333" s="15">
        <v>6664.88</v>
      </c>
      <c r="H1333" s="13" t="s">
        <v>5346</v>
      </c>
      <c r="I1333" s="13" t="s">
        <v>5347</v>
      </c>
      <c r="J1333" s="13" t="s">
        <v>143</v>
      </c>
      <c r="K1333" s="13">
        <f t="shared" si="100"/>
        <v>6</v>
      </c>
      <c r="L1333" s="13">
        <f t="shared" si="101"/>
        <v>0</v>
      </c>
      <c r="M1333" s="13">
        <f>IF(AND(L1333=0,COUNTIFS($B$2:$B$1534,B1333,$G$2:$G$1534,G1333,$E$2:$E$1534,"&gt;="&amp;(E1333-Assumptions!$B$5),$E$2:$E$1534,"&lt;="&amp;(E1333+Assumptions!$B$5))&gt;1),1,0)</f>
        <v>0</v>
      </c>
      <c r="N1333" s="13">
        <f>IF(AND(G1333&gt;=Assumptions!$B$4*(1-Assumptions!$B$6),G1333&lt;Assumptions!$B$4),1,0)</f>
        <v>0</v>
      </c>
      <c r="O1333" s="13">
        <f>IF(AND(G1333&gt;=Assumptions!$B$7,MOD(G1333,Assumptions!$B$7)=0),1,0)</f>
        <v>0</v>
      </c>
      <c r="P1333" s="13">
        <f t="shared" si="102"/>
        <v>0</v>
      </c>
      <c r="Q1333" s="13">
        <f t="shared" si="103"/>
        <v>0</v>
      </c>
      <c r="R1333" s="13">
        <f>L1333*Assumptions!$B$11+M1333*Assumptions!$B$12+N1333*Assumptions!$B$13+O1333*Assumptions!$B$14+P1333*Assumptions!$B$15+Q1333*Assumptions!$B$16</f>
        <v>0</v>
      </c>
      <c r="S1333" s="13" t="str">
        <f>IF(R1333&gt;=Assumptions!$B$20,"High",IF(R1333&gt;=Assumptions!$B$21,"Medium",IF(R1333&gt;=1,"Low","Clear")))</f>
        <v>Clear</v>
      </c>
      <c r="T1333" s="13" t="str">
        <f t="shared" si="104"/>
        <v/>
      </c>
    </row>
    <row r="1334" spans="1:20" x14ac:dyDescent="0.35">
      <c r="A1334" s="13" t="s">
        <v>5348</v>
      </c>
      <c r="B1334" s="13" t="s">
        <v>138</v>
      </c>
      <c r="C1334" s="13" t="s">
        <v>139</v>
      </c>
      <c r="D1334" s="13" t="s">
        <v>5349</v>
      </c>
      <c r="E1334" s="14">
        <v>46061</v>
      </c>
      <c r="F1334" s="14">
        <v>46097</v>
      </c>
      <c r="G1334" s="15">
        <v>415387.22</v>
      </c>
      <c r="H1334" s="13" t="s">
        <v>5350</v>
      </c>
      <c r="I1334" s="13" t="s">
        <v>5351</v>
      </c>
      <c r="J1334" s="13" t="s">
        <v>136</v>
      </c>
      <c r="K1334" s="13">
        <f t="shared" si="100"/>
        <v>4</v>
      </c>
      <c r="L1334" s="13">
        <f t="shared" si="101"/>
        <v>0</v>
      </c>
      <c r="M1334" s="13">
        <f>IF(AND(L1334=0,COUNTIFS($B$2:$B$1534,B1334,$G$2:$G$1534,G1334,$E$2:$E$1534,"&gt;="&amp;(E1334-Assumptions!$B$5),$E$2:$E$1534,"&lt;="&amp;(E1334+Assumptions!$B$5))&gt;1),1,0)</f>
        <v>0</v>
      </c>
      <c r="N1334" s="13">
        <f>IF(AND(G1334&gt;=Assumptions!$B$4*(1-Assumptions!$B$6),G1334&lt;Assumptions!$B$4),1,0)</f>
        <v>0</v>
      </c>
      <c r="O1334" s="13">
        <f>IF(AND(G1334&gt;=Assumptions!$B$7,MOD(G1334,Assumptions!$B$7)=0),1,0)</f>
        <v>0</v>
      </c>
      <c r="P1334" s="13">
        <f t="shared" si="102"/>
        <v>0</v>
      </c>
      <c r="Q1334" s="13">
        <f t="shared" si="103"/>
        <v>0</v>
      </c>
      <c r="R1334" s="13">
        <f>L1334*Assumptions!$B$11+M1334*Assumptions!$B$12+N1334*Assumptions!$B$13+O1334*Assumptions!$B$14+P1334*Assumptions!$B$15+Q1334*Assumptions!$B$16</f>
        <v>0</v>
      </c>
      <c r="S1334" s="13" t="str">
        <f>IF(R1334&gt;=Assumptions!$B$20,"High",IF(R1334&gt;=Assumptions!$B$21,"Medium",IF(R1334&gt;=1,"Low","Clear")))</f>
        <v>Clear</v>
      </c>
      <c r="T1334" s="13" t="str">
        <f t="shared" si="104"/>
        <v/>
      </c>
    </row>
    <row r="1335" spans="1:20" x14ac:dyDescent="0.35">
      <c r="A1335" s="13" t="s">
        <v>5352</v>
      </c>
      <c r="B1335" s="13" t="s">
        <v>138</v>
      </c>
      <c r="C1335" s="13" t="s">
        <v>139</v>
      </c>
      <c r="D1335" s="13" t="s">
        <v>5353</v>
      </c>
      <c r="E1335" s="14">
        <v>46065</v>
      </c>
      <c r="F1335" s="14">
        <v>46097</v>
      </c>
      <c r="G1335" s="15">
        <v>8082.06</v>
      </c>
      <c r="H1335" s="13" t="s">
        <v>5354</v>
      </c>
      <c r="I1335" s="13" t="s">
        <v>5355</v>
      </c>
      <c r="J1335" s="13" t="s">
        <v>170</v>
      </c>
      <c r="K1335" s="13">
        <f t="shared" si="100"/>
        <v>8</v>
      </c>
      <c r="L1335" s="13">
        <f t="shared" si="101"/>
        <v>0</v>
      </c>
      <c r="M1335" s="13">
        <f>IF(AND(L1335=0,COUNTIFS($B$2:$B$1534,B1335,$G$2:$G$1534,G1335,$E$2:$E$1534,"&gt;="&amp;(E1335-Assumptions!$B$5),$E$2:$E$1534,"&lt;="&amp;(E1335+Assumptions!$B$5))&gt;1),1,0)</f>
        <v>0</v>
      </c>
      <c r="N1335" s="13">
        <f>IF(AND(G1335&gt;=Assumptions!$B$4*(1-Assumptions!$B$6),G1335&lt;Assumptions!$B$4),1,0)</f>
        <v>0</v>
      </c>
      <c r="O1335" s="13">
        <f>IF(AND(G1335&gt;=Assumptions!$B$7,MOD(G1335,Assumptions!$B$7)=0),1,0)</f>
        <v>0</v>
      </c>
      <c r="P1335" s="13">
        <f t="shared" si="102"/>
        <v>0</v>
      </c>
      <c r="Q1335" s="13">
        <f t="shared" si="103"/>
        <v>0</v>
      </c>
      <c r="R1335" s="13">
        <f>L1335*Assumptions!$B$11+M1335*Assumptions!$B$12+N1335*Assumptions!$B$13+O1335*Assumptions!$B$14+P1335*Assumptions!$B$15+Q1335*Assumptions!$B$16</f>
        <v>0</v>
      </c>
      <c r="S1335" s="13" t="str">
        <f>IF(R1335&gt;=Assumptions!$B$20,"High",IF(R1335&gt;=Assumptions!$B$21,"Medium",IF(R1335&gt;=1,"Low","Clear")))</f>
        <v>Clear</v>
      </c>
      <c r="T1335" s="13" t="str">
        <f t="shared" si="104"/>
        <v/>
      </c>
    </row>
    <row r="1336" spans="1:20" x14ac:dyDescent="0.35">
      <c r="A1336" s="13" t="s">
        <v>5356</v>
      </c>
      <c r="B1336" s="13" t="s">
        <v>438</v>
      </c>
      <c r="C1336" s="13" t="s">
        <v>439</v>
      </c>
      <c r="D1336" s="13" t="s">
        <v>5357</v>
      </c>
      <c r="E1336" s="14">
        <v>46062</v>
      </c>
      <c r="F1336" s="14">
        <v>46097</v>
      </c>
      <c r="G1336" s="15">
        <v>636660.35</v>
      </c>
      <c r="H1336" s="13" t="s">
        <v>5358</v>
      </c>
      <c r="I1336" s="13" t="s">
        <v>5359</v>
      </c>
      <c r="J1336" s="13" t="s">
        <v>111</v>
      </c>
      <c r="K1336" s="13">
        <f t="shared" si="100"/>
        <v>6</v>
      </c>
      <c r="L1336" s="13">
        <f t="shared" si="101"/>
        <v>0</v>
      </c>
      <c r="M1336" s="13">
        <f>IF(AND(L1336=0,COUNTIFS($B$2:$B$1534,B1336,$G$2:$G$1534,G1336,$E$2:$E$1534,"&gt;="&amp;(E1336-Assumptions!$B$5),$E$2:$E$1534,"&lt;="&amp;(E1336+Assumptions!$B$5))&gt;1),1,0)</f>
        <v>0</v>
      </c>
      <c r="N1336" s="13">
        <f>IF(AND(G1336&gt;=Assumptions!$B$4*(1-Assumptions!$B$6),G1336&lt;Assumptions!$B$4),1,0)</f>
        <v>0</v>
      </c>
      <c r="O1336" s="13">
        <f>IF(AND(G1336&gt;=Assumptions!$B$7,MOD(G1336,Assumptions!$B$7)=0),1,0)</f>
        <v>0</v>
      </c>
      <c r="P1336" s="13">
        <f t="shared" si="102"/>
        <v>0</v>
      </c>
      <c r="Q1336" s="13">
        <f t="shared" si="103"/>
        <v>0</v>
      </c>
      <c r="R1336" s="13">
        <f>L1336*Assumptions!$B$11+M1336*Assumptions!$B$12+N1336*Assumptions!$B$13+O1336*Assumptions!$B$14+P1336*Assumptions!$B$15+Q1336*Assumptions!$B$16</f>
        <v>0</v>
      </c>
      <c r="S1336" s="13" t="str">
        <f>IF(R1336&gt;=Assumptions!$B$20,"High",IF(R1336&gt;=Assumptions!$B$21,"Medium",IF(R1336&gt;=1,"Low","Clear")))</f>
        <v>Clear</v>
      </c>
      <c r="T1336" s="13" t="str">
        <f t="shared" si="104"/>
        <v/>
      </c>
    </row>
    <row r="1337" spans="1:20" x14ac:dyDescent="0.35">
      <c r="A1337" s="13" t="s">
        <v>5360</v>
      </c>
      <c r="B1337" s="13" t="s">
        <v>357</v>
      </c>
      <c r="C1337" s="13" t="s">
        <v>358</v>
      </c>
      <c r="D1337" s="13" t="s">
        <v>5361</v>
      </c>
      <c r="E1337" s="14">
        <v>46068</v>
      </c>
      <c r="F1337" s="14">
        <v>46097</v>
      </c>
      <c r="G1337" s="15">
        <v>17864.88</v>
      </c>
      <c r="H1337" s="13" t="s">
        <v>5362</v>
      </c>
      <c r="I1337" s="13" t="s">
        <v>5363</v>
      </c>
      <c r="J1337" s="13" t="s">
        <v>98</v>
      </c>
      <c r="K1337" s="13">
        <f t="shared" si="100"/>
        <v>1</v>
      </c>
      <c r="L1337" s="13">
        <f t="shared" si="101"/>
        <v>0</v>
      </c>
      <c r="M1337" s="13">
        <f>IF(AND(L1337=0,COUNTIFS($B$2:$B$1534,B1337,$G$2:$G$1534,G1337,$E$2:$E$1534,"&gt;="&amp;(E1337-Assumptions!$B$5),$E$2:$E$1534,"&lt;="&amp;(E1337+Assumptions!$B$5))&gt;1),1,0)</f>
        <v>0</v>
      </c>
      <c r="N1337" s="13">
        <f>IF(AND(G1337&gt;=Assumptions!$B$4*(1-Assumptions!$B$6),G1337&lt;Assumptions!$B$4),1,0)</f>
        <v>0</v>
      </c>
      <c r="O1337" s="13">
        <f>IF(AND(G1337&gt;=Assumptions!$B$7,MOD(G1337,Assumptions!$B$7)=0),1,0)</f>
        <v>0</v>
      </c>
      <c r="P1337" s="13">
        <f t="shared" si="102"/>
        <v>0</v>
      </c>
      <c r="Q1337" s="13">
        <f t="shared" si="103"/>
        <v>0</v>
      </c>
      <c r="R1337" s="13">
        <f>L1337*Assumptions!$B$11+M1337*Assumptions!$B$12+N1337*Assumptions!$B$13+O1337*Assumptions!$B$14+P1337*Assumptions!$B$15+Q1337*Assumptions!$B$16</f>
        <v>0</v>
      </c>
      <c r="S1337" s="13" t="str">
        <f>IF(R1337&gt;=Assumptions!$B$20,"High",IF(R1337&gt;=Assumptions!$B$21,"Medium",IF(R1337&gt;=1,"Low","Clear")))</f>
        <v>Clear</v>
      </c>
      <c r="T1337" s="13" t="str">
        <f t="shared" si="104"/>
        <v/>
      </c>
    </row>
    <row r="1338" spans="1:20" x14ac:dyDescent="0.35">
      <c r="A1338" s="13" t="s">
        <v>5364</v>
      </c>
      <c r="B1338" s="13" t="s">
        <v>357</v>
      </c>
      <c r="C1338" s="13" t="s">
        <v>358</v>
      </c>
      <c r="D1338" s="13" t="s">
        <v>5365</v>
      </c>
      <c r="E1338" s="14">
        <v>46068</v>
      </c>
      <c r="F1338" s="14">
        <v>46097</v>
      </c>
      <c r="G1338" s="15">
        <v>525453.56000000006</v>
      </c>
      <c r="H1338" s="13" t="s">
        <v>5366</v>
      </c>
      <c r="I1338" s="13" t="s">
        <v>5367</v>
      </c>
      <c r="J1338" s="13" t="s">
        <v>170</v>
      </c>
      <c r="K1338" s="13">
        <f t="shared" si="100"/>
        <v>5</v>
      </c>
      <c r="L1338" s="13">
        <f t="shared" si="101"/>
        <v>0</v>
      </c>
      <c r="M1338" s="13">
        <f>IF(AND(L1338=0,COUNTIFS($B$2:$B$1534,B1338,$G$2:$G$1534,G1338,$E$2:$E$1534,"&gt;="&amp;(E1338-Assumptions!$B$5),$E$2:$E$1534,"&lt;="&amp;(E1338+Assumptions!$B$5))&gt;1),1,0)</f>
        <v>0</v>
      </c>
      <c r="N1338" s="13">
        <f>IF(AND(G1338&gt;=Assumptions!$B$4*(1-Assumptions!$B$6),G1338&lt;Assumptions!$B$4),1,0)</f>
        <v>0</v>
      </c>
      <c r="O1338" s="13">
        <f>IF(AND(G1338&gt;=Assumptions!$B$7,MOD(G1338,Assumptions!$B$7)=0),1,0)</f>
        <v>0</v>
      </c>
      <c r="P1338" s="13">
        <f t="shared" si="102"/>
        <v>0</v>
      </c>
      <c r="Q1338" s="13">
        <f t="shared" si="103"/>
        <v>0</v>
      </c>
      <c r="R1338" s="13">
        <f>L1338*Assumptions!$B$11+M1338*Assumptions!$B$12+N1338*Assumptions!$B$13+O1338*Assumptions!$B$14+P1338*Assumptions!$B$15+Q1338*Assumptions!$B$16</f>
        <v>0</v>
      </c>
      <c r="S1338" s="13" t="str">
        <f>IF(R1338&gt;=Assumptions!$B$20,"High",IF(R1338&gt;=Assumptions!$B$21,"Medium",IF(R1338&gt;=1,"Low","Clear")))</f>
        <v>Clear</v>
      </c>
      <c r="T1338" s="13" t="str">
        <f t="shared" si="104"/>
        <v/>
      </c>
    </row>
    <row r="1339" spans="1:20" x14ac:dyDescent="0.35">
      <c r="A1339" s="13" t="s">
        <v>5368</v>
      </c>
      <c r="B1339" s="13" t="s">
        <v>93</v>
      </c>
      <c r="C1339" s="13" t="s">
        <v>94</v>
      </c>
      <c r="D1339" s="13" t="s">
        <v>5369</v>
      </c>
      <c r="E1339" s="14">
        <v>46069</v>
      </c>
      <c r="F1339" s="14">
        <v>46098</v>
      </c>
      <c r="G1339" s="15">
        <v>8733.0400000000009</v>
      </c>
      <c r="H1339" s="13" t="s">
        <v>5370</v>
      </c>
      <c r="I1339" s="13" t="s">
        <v>5371</v>
      </c>
      <c r="J1339" s="13" t="s">
        <v>143</v>
      </c>
      <c r="K1339" s="13">
        <f t="shared" si="100"/>
        <v>8</v>
      </c>
      <c r="L1339" s="13">
        <f t="shared" si="101"/>
        <v>0</v>
      </c>
      <c r="M1339" s="13">
        <f>IF(AND(L1339=0,COUNTIFS($B$2:$B$1534,B1339,$G$2:$G$1534,G1339,$E$2:$E$1534,"&gt;="&amp;(E1339-Assumptions!$B$5),$E$2:$E$1534,"&lt;="&amp;(E1339+Assumptions!$B$5))&gt;1),1,0)</f>
        <v>0</v>
      </c>
      <c r="N1339" s="13">
        <f>IF(AND(G1339&gt;=Assumptions!$B$4*(1-Assumptions!$B$6),G1339&lt;Assumptions!$B$4),1,0)</f>
        <v>0</v>
      </c>
      <c r="O1339" s="13">
        <f>IF(AND(G1339&gt;=Assumptions!$B$7,MOD(G1339,Assumptions!$B$7)=0),1,0)</f>
        <v>0</v>
      </c>
      <c r="P1339" s="13">
        <f t="shared" si="102"/>
        <v>0</v>
      </c>
      <c r="Q1339" s="13">
        <f t="shared" si="103"/>
        <v>0</v>
      </c>
      <c r="R1339" s="13">
        <f>L1339*Assumptions!$B$11+M1339*Assumptions!$B$12+N1339*Assumptions!$B$13+O1339*Assumptions!$B$14+P1339*Assumptions!$B$15+Q1339*Assumptions!$B$16</f>
        <v>0</v>
      </c>
      <c r="S1339" s="13" t="str">
        <f>IF(R1339&gt;=Assumptions!$B$20,"High",IF(R1339&gt;=Assumptions!$B$21,"Medium",IF(R1339&gt;=1,"Low","Clear")))</f>
        <v>Clear</v>
      </c>
      <c r="T1339" s="13" t="str">
        <f t="shared" si="104"/>
        <v/>
      </c>
    </row>
    <row r="1340" spans="1:20" x14ac:dyDescent="0.35">
      <c r="A1340" s="13" t="s">
        <v>5372</v>
      </c>
      <c r="B1340" s="13" t="s">
        <v>774</v>
      </c>
      <c r="C1340" s="13" t="s">
        <v>775</v>
      </c>
      <c r="D1340" s="13" t="s">
        <v>5373</v>
      </c>
      <c r="E1340" s="14">
        <v>46064</v>
      </c>
      <c r="F1340" s="14">
        <v>46098</v>
      </c>
      <c r="G1340" s="15">
        <v>527211.29</v>
      </c>
      <c r="H1340" s="13" t="s">
        <v>5374</v>
      </c>
      <c r="I1340" s="13" t="s">
        <v>5375</v>
      </c>
      <c r="J1340" s="13" t="s">
        <v>136</v>
      </c>
      <c r="K1340" s="13">
        <f t="shared" si="100"/>
        <v>5</v>
      </c>
      <c r="L1340" s="13">
        <f t="shared" si="101"/>
        <v>0</v>
      </c>
      <c r="M1340" s="13">
        <f>IF(AND(L1340=0,COUNTIFS($B$2:$B$1534,B1340,$G$2:$G$1534,G1340,$E$2:$E$1534,"&gt;="&amp;(E1340-Assumptions!$B$5),$E$2:$E$1534,"&lt;="&amp;(E1340+Assumptions!$B$5))&gt;1),1,0)</f>
        <v>0</v>
      </c>
      <c r="N1340" s="13">
        <f>IF(AND(G1340&gt;=Assumptions!$B$4*(1-Assumptions!$B$6),G1340&lt;Assumptions!$B$4),1,0)</f>
        <v>0</v>
      </c>
      <c r="O1340" s="13">
        <f>IF(AND(G1340&gt;=Assumptions!$B$7,MOD(G1340,Assumptions!$B$7)=0),1,0)</f>
        <v>0</v>
      </c>
      <c r="P1340" s="13">
        <f t="shared" si="102"/>
        <v>0</v>
      </c>
      <c r="Q1340" s="13">
        <f t="shared" si="103"/>
        <v>0</v>
      </c>
      <c r="R1340" s="13">
        <f>L1340*Assumptions!$B$11+M1340*Assumptions!$B$12+N1340*Assumptions!$B$13+O1340*Assumptions!$B$14+P1340*Assumptions!$B$15+Q1340*Assumptions!$B$16</f>
        <v>0</v>
      </c>
      <c r="S1340" s="13" t="str">
        <f>IF(R1340&gt;=Assumptions!$B$20,"High",IF(R1340&gt;=Assumptions!$B$21,"Medium",IF(R1340&gt;=1,"Low","Clear")))</f>
        <v>Clear</v>
      </c>
      <c r="T1340" s="13" t="str">
        <f t="shared" si="104"/>
        <v/>
      </c>
    </row>
    <row r="1341" spans="1:20" x14ac:dyDescent="0.35">
      <c r="A1341" s="13" t="s">
        <v>5376</v>
      </c>
      <c r="B1341" s="13" t="s">
        <v>307</v>
      </c>
      <c r="C1341" s="13" t="s">
        <v>308</v>
      </c>
      <c r="D1341" s="13" t="s">
        <v>5377</v>
      </c>
      <c r="E1341" s="14">
        <v>46073</v>
      </c>
      <c r="F1341" s="14">
        <v>46098</v>
      </c>
      <c r="G1341" s="15">
        <v>1175.6199999999999</v>
      </c>
      <c r="H1341" s="13" t="s">
        <v>5378</v>
      </c>
      <c r="I1341" s="13" t="s">
        <v>5379</v>
      </c>
      <c r="J1341" s="13" t="s">
        <v>170</v>
      </c>
      <c r="K1341" s="13">
        <f t="shared" si="100"/>
        <v>1</v>
      </c>
      <c r="L1341" s="13">
        <f t="shared" si="101"/>
        <v>0</v>
      </c>
      <c r="M1341" s="13">
        <f>IF(AND(L1341=0,COUNTIFS($B$2:$B$1534,B1341,$G$2:$G$1534,G1341,$E$2:$E$1534,"&gt;="&amp;(E1341-Assumptions!$B$5),$E$2:$E$1534,"&lt;="&amp;(E1341+Assumptions!$B$5))&gt;1),1,0)</f>
        <v>0</v>
      </c>
      <c r="N1341" s="13">
        <f>IF(AND(G1341&gt;=Assumptions!$B$4*(1-Assumptions!$B$6),G1341&lt;Assumptions!$B$4),1,0)</f>
        <v>0</v>
      </c>
      <c r="O1341" s="13">
        <f>IF(AND(G1341&gt;=Assumptions!$B$7,MOD(G1341,Assumptions!$B$7)=0),1,0)</f>
        <v>0</v>
      </c>
      <c r="P1341" s="13">
        <f t="shared" si="102"/>
        <v>0</v>
      </c>
      <c r="Q1341" s="13">
        <f t="shared" si="103"/>
        <v>0</v>
      </c>
      <c r="R1341" s="13">
        <f>L1341*Assumptions!$B$11+M1341*Assumptions!$B$12+N1341*Assumptions!$B$13+O1341*Assumptions!$B$14+P1341*Assumptions!$B$15+Q1341*Assumptions!$B$16</f>
        <v>0</v>
      </c>
      <c r="S1341" s="13" t="str">
        <f>IF(R1341&gt;=Assumptions!$B$20,"High",IF(R1341&gt;=Assumptions!$B$21,"Medium",IF(R1341&gt;=1,"Low","Clear")))</f>
        <v>Clear</v>
      </c>
      <c r="T1341" s="13" t="str">
        <f t="shared" si="104"/>
        <v/>
      </c>
    </row>
    <row r="1342" spans="1:20" x14ac:dyDescent="0.35">
      <c r="A1342" s="13" t="s">
        <v>5380</v>
      </c>
      <c r="B1342" s="13" t="s">
        <v>161</v>
      </c>
      <c r="C1342" s="13" t="s">
        <v>162</v>
      </c>
      <c r="D1342" s="13" t="s">
        <v>5381</v>
      </c>
      <c r="E1342" s="14">
        <v>46064</v>
      </c>
      <c r="F1342" s="14">
        <v>46098</v>
      </c>
      <c r="G1342" s="15">
        <v>6552.43</v>
      </c>
      <c r="H1342" s="13" t="s">
        <v>5382</v>
      </c>
      <c r="I1342" s="13" t="s">
        <v>5383</v>
      </c>
      <c r="J1342" s="13" t="s">
        <v>143</v>
      </c>
      <c r="K1342" s="13">
        <f t="shared" si="100"/>
        <v>6</v>
      </c>
      <c r="L1342" s="13">
        <f t="shared" si="101"/>
        <v>0</v>
      </c>
      <c r="M1342" s="13">
        <f>IF(AND(L1342=0,COUNTIFS($B$2:$B$1534,B1342,$G$2:$G$1534,G1342,$E$2:$E$1534,"&gt;="&amp;(E1342-Assumptions!$B$5),$E$2:$E$1534,"&lt;="&amp;(E1342+Assumptions!$B$5))&gt;1),1,0)</f>
        <v>0</v>
      </c>
      <c r="N1342" s="13">
        <f>IF(AND(G1342&gt;=Assumptions!$B$4*(1-Assumptions!$B$6),G1342&lt;Assumptions!$B$4),1,0)</f>
        <v>0</v>
      </c>
      <c r="O1342" s="13">
        <f>IF(AND(G1342&gt;=Assumptions!$B$7,MOD(G1342,Assumptions!$B$7)=0),1,0)</f>
        <v>0</v>
      </c>
      <c r="P1342" s="13">
        <f t="shared" si="102"/>
        <v>0</v>
      </c>
      <c r="Q1342" s="13">
        <f t="shared" si="103"/>
        <v>0</v>
      </c>
      <c r="R1342" s="13">
        <f>L1342*Assumptions!$B$11+M1342*Assumptions!$B$12+N1342*Assumptions!$B$13+O1342*Assumptions!$B$14+P1342*Assumptions!$B$15+Q1342*Assumptions!$B$16</f>
        <v>0</v>
      </c>
      <c r="S1342" s="13" t="str">
        <f>IF(R1342&gt;=Assumptions!$B$20,"High",IF(R1342&gt;=Assumptions!$B$21,"Medium",IF(R1342&gt;=1,"Low","Clear")))</f>
        <v>Clear</v>
      </c>
      <c r="T1342" s="13" t="str">
        <f t="shared" si="104"/>
        <v/>
      </c>
    </row>
    <row r="1343" spans="1:20" x14ac:dyDescent="0.35">
      <c r="A1343" s="13" t="s">
        <v>5384</v>
      </c>
      <c r="B1343" s="13" t="s">
        <v>391</v>
      </c>
      <c r="C1343" s="13" t="s">
        <v>392</v>
      </c>
      <c r="D1343" s="13" t="s">
        <v>5385</v>
      </c>
      <c r="E1343" s="14">
        <v>46059</v>
      </c>
      <c r="F1343" s="14">
        <v>46099</v>
      </c>
      <c r="G1343" s="15">
        <v>3261.49</v>
      </c>
      <c r="H1343" s="13" t="s">
        <v>5386</v>
      </c>
      <c r="I1343" s="13" t="s">
        <v>5387</v>
      </c>
      <c r="J1343" s="13" t="s">
        <v>143</v>
      </c>
      <c r="K1343" s="13">
        <f t="shared" si="100"/>
        <v>3</v>
      </c>
      <c r="L1343" s="13">
        <f t="shared" si="101"/>
        <v>0</v>
      </c>
      <c r="M1343" s="13">
        <f>IF(AND(L1343=0,COUNTIFS($B$2:$B$1534,B1343,$G$2:$G$1534,G1343,$E$2:$E$1534,"&gt;="&amp;(E1343-Assumptions!$B$5),$E$2:$E$1534,"&lt;="&amp;(E1343+Assumptions!$B$5))&gt;1),1,0)</f>
        <v>0</v>
      </c>
      <c r="N1343" s="13">
        <f>IF(AND(G1343&gt;=Assumptions!$B$4*(1-Assumptions!$B$6),G1343&lt;Assumptions!$B$4),1,0)</f>
        <v>0</v>
      </c>
      <c r="O1343" s="13">
        <f>IF(AND(G1343&gt;=Assumptions!$B$7,MOD(G1343,Assumptions!$B$7)=0),1,0)</f>
        <v>0</v>
      </c>
      <c r="P1343" s="13">
        <f t="shared" si="102"/>
        <v>0</v>
      </c>
      <c r="Q1343" s="13">
        <f t="shared" si="103"/>
        <v>0</v>
      </c>
      <c r="R1343" s="13">
        <f>L1343*Assumptions!$B$11+M1343*Assumptions!$B$12+N1343*Assumptions!$B$13+O1343*Assumptions!$B$14+P1343*Assumptions!$B$15+Q1343*Assumptions!$B$16</f>
        <v>0</v>
      </c>
      <c r="S1343" s="13" t="str">
        <f>IF(R1343&gt;=Assumptions!$B$20,"High",IF(R1343&gt;=Assumptions!$B$21,"Medium",IF(R1343&gt;=1,"Low","Clear")))</f>
        <v>Clear</v>
      </c>
      <c r="T1343" s="13" t="str">
        <f t="shared" si="104"/>
        <v/>
      </c>
    </row>
    <row r="1344" spans="1:20" x14ac:dyDescent="0.35">
      <c r="A1344" s="13" t="s">
        <v>5388</v>
      </c>
      <c r="B1344" s="13" t="s">
        <v>466</v>
      </c>
      <c r="C1344" s="13" t="s">
        <v>467</v>
      </c>
      <c r="D1344" s="13" t="s">
        <v>5389</v>
      </c>
      <c r="E1344" s="14">
        <v>46060</v>
      </c>
      <c r="F1344" s="14">
        <v>46099</v>
      </c>
      <c r="G1344" s="15">
        <v>52101.2</v>
      </c>
      <c r="H1344" s="13" t="s">
        <v>5390</v>
      </c>
      <c r="I1344" s="13" t="s">
        <v>5391</v>
      </c>
      <c r="J1344" s="13" t="s">
        <v>98</v>
      </c>
      <c r="K1344" s="13">
        <f t="shared" si="100"/>
        <v>5</v>
      </c>
      <c r="L1344" s="13">
        <f t="shared" si="101"/>
        <v>0</v>
      </c>
      <c r="M1344" s="13">
        <f>IF(AND(L1344=0,COUNTIFS($B$2:$B$1534,B1344,$G$2:$G$1534,G1344,$E$2:$E$1534,"&gt;="&amp;(E1344-Assumptions!$B$5),$E$2:$E$1534,"&lt;="&amp;(E1344+Assumptions!$B$5))&gt;1),1,0)</f>
        <v>0</v>
      </c>
      <c r="N1344" s="13">
        <f>IF(AND(G1344&gt;=Assumptions!$B$4*(1-Assumptions!$B$6),G1344&lt;Assumptions!$B$4),1,0)</f>
        <v>0</v>
      </c>
      <c r="O1344" s="13">
        <f>IF(AND(G1344&gt;=Assumptions!$B$7,MOD(G1344,Assumptions!$B$7)=0),1,0)</f>
        <v>0</v>
      </c>
      <c r="P1344" s="13">
        <f t="shared" si="102"/>
        <v>0</v>
      </c>
      <c r="Q1344" s="13">
        <f t="shared" si="103"/>
        <v>0</v>
      </c>
      <c r="R1344" s="13">
        <f>L1344*Assumptions!$B$11+M1344*Assumptions!$B$12+N1344*Assumptions!$B$13+O1344*Assumptions!$B$14+P1344*Assumptions!$B$15+Q1344*Assumptions!$B$16</f>
        <v>0</v>
      </c>
      <c r="S1344" s="13" t="str">
        <f>IF(R1344&gt;=Assumptions!$B$20,"High",IF(R1344&gt;=Assumptions!$B$21,"Medium",IF(R1344&gt;=1,"Low","Clear")))</f>
        <v>Clear</v>
      </c>
      <c r="T1344" s="13" t="str">
        <f t="shared" si="104"/>
        <v/>
      </c>
    </row>
    <row r="1345" spans="1:20" x14ac:dyDescent="0.35">
      <c r="A1345" s="13" t="s">
        <v>5392</v>
      </c>
      <c r="B1345" s="13" t="s">
        <v>323</v>
      </c>
      <c r="C1345" s="13" t="s">
        <v>324</v>
      </c>
      <c r="D1345" s="13" t="s">
        <v>5393</v>
      </c>
      <c r="E1345" s="14">
        <v>46072</v>
      </c>
      <c r="F1345" s="14">
        <v>46099</v>
      </c>
      <c r="G1345" s="15">
        <v>551068.13</v>
      </c>
      <c r="H1345" s="13" t="s">
        <v>5394</v>
      </c>
      <c r="I1345" s="13" t="s">
        <v>5395</v>
      </c>
      <c r="J1345" s="13" t="s">
        <v>91</v>
      </c>
      <c r="K1345" s="13">
        <f t="shared" si="100"/>
        <v>5</v>
      </c>
      <c r="L1345" s="13">
        <f t="shared" si="101"/>
        <v>0</v>
      </c>
      <c r="M1345" s="13">
        <f>IF(AND(L1345=0,COUNTIFS($B$2:$B$1534,B1345,$G$2:$G$1534,G1345,$E$2:$E$1534,"&gt;="&amp;(E1345-Assumptions!$B$5),$E$2:$E$1534,"&lt;="&amp;(E1345+Assumptions!$B$5))&gt;1),1,0)</f>
        <v>0</v>
      </c>
      <c r="N1345" s="13">
        <f>IF(AND(G1345&gt;=Assumptions!$B$4*(1-Assumptions!$B$6),G1345&lt;Assumptions!$B$4),1,0)</f>
        <v>0</v>
      </c>
      <c r="O1345" s="13">
        <f>IF(AND(G1345&gt;=Assumptions!$B$7,MOD(G1345,Assumptions!$B$7)=0),1,0)</f>
        <v>0</v>
      </c>
      <c r="P1345" s="13">
        <f t="shared" si="102"/>
        <v>0</v>
      </c>
      <c r="Q1345" s="13">
        <f t="shared" si="103"/>
        <v>0</v>
      </c>
      <c r="R1345" s="13">
        <f>L1345*Assumptions!$B$11+M1345*Assumptions!$B$12+N1345*Assumptions!$B$13+O1345*Assumptions!$B$14+P1345*Assumptions!$B$15+Q1345*Assumptions!$B$16</f>
        <v>0</v>
      </c>
      <c r="S1345" s="13" t="str">
        <f>IF(R1345&gt;=Assumptions!$B$20,"High",IF(R1345&gt;=Assumptions!$B$21,"Medium",IF(R1345&gt;=1,"Low","Clear")))</f>
        <v>Clear</v>
      </c>
      <c r="T1345" s="13" t="str">
        <f t="shared" si="104"/>
        <v/>
      </c>
    </row>
    <row r="1346" spans="1:20" x14ac:dyDescent="0.35">
      <c r="A1346" s="13" t="s">
        <v>5396</v>
      </c>
      <c r="B1346" s="13" t="s">
        <v>100</v>
      </c>
      <c r="C1346" s="13" t="s">
        <v>101</v>
      </c>
      <c r="D1346" s="13" t="s">
        <v>5397</v>
      </c>
      <c r="E1346" s="14">
        <v>46078</v>
      </c>
      <c r="F1346" s="14">
        <v>46099</v>
      </c>
      <c r="G1346" s="15">
        <v>1868.96</v>
      </c>
      <c r="H1346" s="13" t="s">
        <v>5398</v>
      </c>
      <c r="I1346" s="13" t="s">
        <v>5399</v>
      </c>
      <c r="J1346" s="13" t="s">
        <v>136</v>
      </c>
      <c r="K1346" s="13">
        <f t="shared" ref="K1346:K1409" si="105">VALUE(LEFT(TEXT(G1346,"0"),1))</f>
        <v>1</v>
      </c>
      <c r="L1346" s="13">
        <f t="shared" ref="L1346:L1409" si="106">IF(COUNTIFS($B$2:$B$1534,B1346,$D$2:$D$1534,D1346)&gt;1,1,0)</f>
        <v>0</v>
      </c>
      <c r="M1346" s="13">
        <f>IF(AND(L1346=0,COUNTIFS($B$2:$B$1534,B1346,$G$2:$G$1534,G1346,$E$2:$E$1534,"&gt;="&amp;(E1346-Assumptions!$B$5),$E$2:$E$1534,"&lt;="&amp;(E1346+Assumptions!$B$5))&gt;1),1,0)</f>
        <v>0</v>
      </c>
      <c r="N1346" s="13">
        <f>IF(AND(G1346&gt;=Assumptions!$B$4*(1-Assumptions!$B$6),G1346&lt;Assumptions!$B$4),1,0)</f>
        <v>0</v>
      </c>
      <c r="O1346" s="13">
        <f>IF(AND(G1346&gt;=Assumptions!$B$7,MOD(G1346,Assumptions!$B$7)=0),1,0)</f>
        <v>0</v>
      </c>
      <c r="P1346" s="13">
        <f t="shared" ref="P1346:P1409" si="107">IF(OR(H1346="",I1346=""),1,0)</f>
        <v>0</v>
      </c>
      <c r="Q1346" s="13">
        <f t="shared" ref="Q1346:Q1409" si="108">IF(WEEKDAY(F1346,2)&gt;5,1,0)</f>
        <v>0</v>
      </c>
      <c r="R1346" s="13">
        <f>L1346*Assumptions!$B$11+M1346*Assumptions!$B$12+N1346*Assumptions!$B$13+O1346*Assumptions!$B$14+P1346*Assumptions!$B$15+Q1346*Assumptions!$B$16</f>
        <v>0</v>
      </c>
      <c r="S1346" s="13" t="str">
        <f>IF(R1346&gt;=Assumptions!$B$20,"High",IF(R1346&gt;=Assumptions!$B$21,"Medium",IF(R1346&gt;=1,"Low","Clear")))</f>
        <v>Clear</v>
      </c>
      <c r="T1346" s="13" t="str">
        <f t="shared" ref="T1346:T1409" si="109">IF(R1346=0,"",IF(L1346=1,"Duplicate invoice; ","")&amp;IF(M1346=1,"Near-duplicate; ","")&amp;IF(N1346=1,"Just below limit; ","")&amp;IF(O1346=1,"Round amount; ","")&amp;IF(P1346=1,"No PO/GRN; ","")&amp;IF(Q1346=1,"Weekend payment; ",""))</f>
        <v/>
      </c>
    </row>
    <row r="1347" spans="1:20" x14ac:dyDescent="0.35">
      <c r="A1347" s="13" t="s">
        <v>5400</v>
      </c>
      <c r="B1347" s="13" t="s">
        <v>339</v>
      </c>
      <c r="C1347" s="13" t="s">
        <v>340</v>
      </c>
      <c r="D1347" s="13" t="s">
        <v>5401</v>
      </c>
      <c r="E1347" s="14">
        <v>46067</v>
      </c>
      <c r="F1347" s="14">
        <v>46099</v>
      </c>
      <c r="G1347" s="15">
        <v>56684.13</v>
      </c>
      <c r="H1347" s="13" t="s">
        <v>5402</v>
      </c>
      <c r="I1347" s="13" t="s">
        <v>5403</v>
      </c>
      <c r="J1347" s="13" t="s">
        <v>136</v>
      </c>
      <c r="K1347" s="13">
        <f t="shared" si="105"/>
        <v>5</v>
      </c>
      <c r="L1347" s="13">
        <f t="shared" si="106"/>
        <v>0</v>
      </c>
      <c r="M1347" s="13">
        <f>IF(AND(L1347=0,COUNTIFS($B$2:$B$1534,B1347,$G$2:$G$1534,G1347,$E$2:$E$1534,"&gt;="&amp;(E1347-Assumptions!$B$5),$E$2:$E$1534,"&lt;="&amp;(E1347+Assumptions!$B$5))&gt;1),1,0)</f>
        <v>0</v>
      </c>
      <c r="N1347" s="13">
        <f>IF(AND(G1347&gt;=Assumptions!$B$4*(1-Assumptions!$B$6),G1347&lt;Assumptions!$B$4),1,0)</f>
        <v>0</v>
      </c>
      <c r="O1347" s="13">
        <f>IF(AND(G1347&gt;=Assumptions!$B$7,MOD(G1347,Assumptions!$B$7)=0),1,0)</f>
        <v>0</v>
      </c>
      <c r="P1347" s="13">
        <f t="shared" si="107"/>
        <v>0</v>
      </c>
      <c r="Q1347" s="13">
        <f t="shared" si="108"/>
        <v>0</v>
      </c>
      <c r="R1347" s="13">
        <f>L1347*Assumptions!$B$11+M1347*Assumptions!$B$12+N1347*Assumptions!$B$13+O1347*Assumptions!$B$14+P1347*Assumptions!$B$15+Q1347*Assumptions!$B$16</f>
        <v>0</v>
      </c>
      <c r="S1347" s="13" t="str">
        <f>IF(R1347&gt;=Assumptions!$B$20,"High",IF(R1347&gt;=Assumptions!$B$21,"Medium",IF(R1347&gt;=1,"Low","Clear")))</f>
        <v>Clear</v>
      </c>
      <c r="T1347" s="13" t="str">
        <f t="shared" si="109"/>
        <v/>
      </c>
    </row>
    <row r="1348" spans="1:20" x14ac:dyDescent="0.35">
      <c r="A1348" s="13" t="s">
        <v>5404</v>
      </c>
      <c r="B1348" s="13" t="s">
        <v>106</v>
      </c>
      <c r="C1348" s="13" t="s">
        <v>107</v>
      </c>
      <c r="D1348" s="13" t="s">
        <v>5405</v>
      </c>
      <c r="E1348" s="14">
        <v>46063</v>
      </c>
      <c r="F1348" s="14">
        <v>46099</v>
      </c>
      <c r="G1348" s="15">
        <v>5479.46</v>
      </c>
      <c r="H1348" s="13" t="s">
        <v>5406</v>
      </c>
      <c r="I1348" s="13" t="s">
        <v>5407</v>
      </c>
      <c r="J1348" s="13" t="s">
        <v>98</v>
      </c>
      <c r="K1348" s="13">
        <f t="shared" si="105"/>
        <v>5</v>
      </c>
      <c r="L1348" s="13">
        <f t="shared" si="106"/>
        <v>0</v>
      </c>
      <c r="M1348" s="13">
        <f>IF(AND(L1348=0,COUNTIFS($B$2:$B$1534,B1348,$G$2:$G$1534,G1348,$E$2:$E$1534,"&gt;="&amp;(E1348-Assumptions!$B$5),$E$2:$E$1534,"&lt;="&amp;(E1348+Assumptions!$B$5))&gt;1),1,0)</f>
        <v>0</v>
      </c>
      <c r="N1348" s="13">
        <f>IF(AND(G1348&gt;=Assumptions!$B$4*(1-Assumptions!$B$6),G1348&lt;Assumptions!$B$4),1,0)</f>
        <v>0</v>
      </c>
      <c r="O1348" s="13">
        <f>IF(AND(G1348&gt;=Assumptions!$B$7,MOD(G1348,Assumptions!$B$7)=0),1,0)</f>
        <v>0</v>
      </c>
      <c r="P1348" s="13">
        <f t="shared" si="107"/>
        <v>0</v>
      </c>
      <c r="Q1348" s="13">
        <f t="shared" si="108"/>
        <v>0</v>
      </c>
      <c r="R1348" s="13">
        <f>L1348*Assumptions!$B$11+M1348*Assumptions!$B$12+N1348*Assumptions!$B$13+O1348*Assumptions!$B$14+P1348*Assumptions!$B$15+Q1348*Assumptions!$B$16</f>
        <v>0</v>
      </c>
      <c r="S1348" s="13" t="str">
        <f>IF(R1348&gt;=Assumptions!$B$20,"High",IF(R1348&gt;=Assumptions!$B$21,"Medium",IF(R1348&gt;=1,"Low","Clear")))</f>
        <v>Clear</v>
      </c>
      <c r="T1348" s="13" t="str">
        <f t="shared" si="109"/>
        <v/>
      </c>
    </row>
    <row r="1349" spans="1:20" x14ac:dyDescent="0.35">
      <c r="A1349" s="13" t="s">
        <v>5408</v>
      </c>
      <c r="B1349" s="13" t="s">
        <v>131</v>
      </c>
      <c r="C1349" s="13" t="s">
        <v>132</v>
      </c>
      <c r="D1349" s="13" t="s">
        <v>5409</v>
      </c>
      <c r="E1349" s="14">
        <v>46063</v>
      </c>
      <c r="F1349" s="14">
        <v>46100</v>
      </c>
      <c r="G1349" s="15">
        <v>210826.09</v>
      </c>
      <c r="H1349" s="13" t="s">
        <v>5410</v>
      </c>
      <c r="I1349" s="13" t="s">
        <v>5411</v>
      </c>
      <c r="J1349" s="13" t="s">
        <v>136</v>
      </c>
      <c r="K1349" s="13">
        <f t="shared" si="105"/>
        <v>2</v>
      </c>
      <c r="L1349" s="13">
        <f t="shared" si="106"/>
        <v>0</v>
      </c>
      <c r="M1349" s="13">
        <f>IF(AND(L1349=0,COUNTIFS($B$2:$B$1534,B1349,$G$2:$G$1534,G1349,$E$2:$E$1534,"&gt;="&amp;(E1349-Assumptions!$B$5),$E$2:$E$1534,"&lt;="&amp;(E1349+Assumptions!$B$5))&gt;1),1,0)</f>
        <v>0</v>
      </c>
      <c r="N1349" s="13">
        <f>IF(AND(G1349&gt;=Assumptions!$B$4*(1-Assumptions!$B$6),G1349&lt;Assumptions!$B$4),1,0)</f>
        <v>0</v>
      </c>
      <c r="O1349" s="13">
        <f>IF(AND(G1349&gt;=Assumptions!$B$7,MOD(G1349,Assumptions!$B$7)=0),1,0)</f>
        <v>0</v>
      </c>
      <c r="P1349" s="13">
        <f t="shared" si="107"/>
        <v>0</v>
      </c>
      <c r="Q1349" s="13">
        <f t="shared" si="108"/>
        <v>0</v>
      </c>
      <c r="R1349" s="13">
        <f>L1349*Assumptions!$B$11+M1349*Assumptions!$B$12+N1349*Assumptions!$B$13+O1349*Assumptions!$B$14+P1349*Assumptions!$B$15+Q1349*Assumptions!$B$16</f>
        <v>0</v>
      </c>
      <c r="S1349" s="13" t="str">
        <f>IF(R1349&gt;=Assumptions!$B$20,"High",IF(R1349&gt;=Assumptions!$B$21,"Medium",IF(R1349&gt;=1,"Low","Clear")))</f>
        <v>Clear</v>
      </c>
      <c r="T1349" s="13" t="str">
        <f t="shared" si="109"/>
        <v/>
      </c>
    </row>
    <row r="1350" spans="1:20" x14ac:dyDescent="0.35">
      <c r="A1350" s="13" t="s">
        <v>5412</v>
      </c>
      <c r="B1350" s="13" t="s">
        <v>113</v>
      </c>
      <c r="C1350" s="13" t="s">
        <v>114</v>
      </c>
      <c r="D1350" s="13" t="s">
        <v>5413</v>
      </c>
      <c r="E1350" s="14">
        <v>46062</v>
      </c>
      <c r="F1350" s="14">
        <v>46100</v>
      </c>
      <c r="G1350" s="15">
        <v>1795.79</v>
      </c>
      <c r="H1350" s="13" t="s">
        <v>5414</v>
      </c>
      <c r="I1350" s="13" t="s">
        <v>5415</v>
      </c>
      <c r="J1350" s="13" t="s">
        <v>111</v>
      </c>
      <c r="K1350" s="13">
        <f t="shared" si="105"/>
        <v>1</v>
      </c>
      <c r="L1350" s="13">
        <f t="shared" si="106"/>
        <v>0</v>
      </c>
      <c r="M1350" s="13">
        <f>IF(AND(L1350=0,COUNTIFS($B$2:$B$1534,B1350,$G$2:$G$1534,G1350,$E$2:$E$1534,"&gt;="&amp;(E1350-Assumptions!$B$5),$E$2:$E$1534,"&lt;="&amp;(E1350+Assumptions!$B$5))&gt;1),1,0)</f>
        <v>0</v>
      </c>
      <c r="N1350" s="13">
        <f>IF(AND(G1350&gt;=Assumptions!$B$4*(1-Assumptions!$B$6),G1350&lt;Assumptions!$B$4),1,0)</f>
        <v>0</v>
      </c>
      <c r="O1350" s="13">
        <f>IF(AND(G1350&gt;=Assumptions!$B$7,MOD(G1350,Assumptions!$B$7)=0),1,0)</f>
        <v>0</v>
      </c>
      <c r="P1350" s="13">
        <f t="shared" si="107"/>
        <v>0</v>
      </c>
      <c r="Q1350" s="13">
        <f t="shared" si="108"/>
        <v>0</v>
      </c>
      <c r="R1350" s="13">
        <f>L1350*Assumptions!$B$11+M1350*Assumptions!$B$12+N1350*Assumptions!$B$13+O1350*Assumptions!$B$14+P1350*Assumptions!$B$15+Q1350*Assumptions!$B$16</f>
        <v>0</v>
      </c>
      <c r="S1350" s="13" t="str">
        <f>IF(R1350&gt;=Assumptions!$B$20,"High",IF(R1350&gt;=Assumptions!$B$21,"Medium",IF(R1350&gt;=1,"Low","Clear")))</f>
        <v>Clear</v>
      </c>
      <c r="T1350" s="13" t="str">
        <f t="shared" si="109"/>
        <v/>
      </c>
    </row>
    <row r="1351" spans="1:20" x14ac:dyDescent="0.35">
      <c r="A1351" s="13" t="s">
        <v>5416</v>
      </c>
      <c r="B1351" s="13" t="s">
        <v>113</v>
      </c>
      <c r="C1351" s="13" t="s">
        <v>114</v>
      </c>
      <c r="D1351" s="13" t="s">
        <v>5417</v>
      </c>
      <c r="E1351" s="14">
        <v>46060</v>
      </c>
      <c r="F1351" s="14">
        <v>46100</v>
      </c>
      <c r="G1351" s="15">
        <v>19747.72</v>
      </c>
      <c r="H1351" s="13" t="s">
        <v>5418</v>
      </c>
      <c r="I1351" s="13" t="s">
        <v>5419</v>
      </c>
      <c r="J1351" s="13" t="s">
        <v>111</v>
      </c>
      <c r="K1351" s="13">
        <f t="shared" si="105"/>
        <v>1</v>
      </c>
      <c r="L1351" s="13">
        <f t="shared" si="106"/>
        <v>0</v>
      </c>
      <c r="M1351" s="13">
        <f>IF(AND(L1351=0,COUNTIFS($B$2:$B$1534,B1351,$G$2:$G$1534,G1351,$E$2:$E$1534,"&gt;="&amp;(E1351-Assumptions!$B$5),$E$2:$E$1534,"&lt;="&amp;(E1351+Assumptions!$B$5))&gt;1),1,0)</f>
        <v>0</v>
      </c>
      <c r="N1351" s="13">
        <f>IF(AND(G1351&gt;=Assumptions!$B$4*(1-Assumptions!$B$6),G1351&lt;Assumptions!$B$4),1,0)</f>
        <v>0</v>
      </c>
      <c r="O1351" s="13">
        <f>IF(AND(G1351&gt;=Assumptions!$B$7,MOD(G1351,Assumptions!$B$7)=0),1,0)</f>
        <v>0</v>
      </c>
      <c r="P1351" s="13">
        <f t="shared" si="107"/>
        <v>0</v>
      </c>
      <c r="Q1351" s="13">
        <f t="shared" si="108"/>
        <v>0</v>
      </c>
      <c r="R1351" s="13">
        <f>L1351*Assumptions!$B$11+M1351*Assumptions!$B$12+N1351*Assumptions!$B$13+O1351*Assumptions!$B$14+P1351*Assumptions!$B$15+Q1351*Assumptions!$B$16</f>
        <v>0</v>
      </c>
      <c r="S1351" s="13" t="str">
        <f>IF(R1351&gt;=Assumptions!$B$20,"High",IF(R1351&gt;=Assumptions!$B$21,"Medium",IF(R1351&gt;=1,"Low","Clear")))</f>
        <v>Clear</v>
      </c>
      <c r="T1351" s="13" t="str">
        <f t="shared" si="109"/>
        <v/>
      </c>
    </row>
    <row r="1352" spans="1:20" x14ac:dyDescent="0.35">
      <c r="A1352" s="13" t="s">
        <v>5420</v>
      </c>
      <c r="B1352" s="13" t="s">
        <v>339</v>
      </c>
      <c r="C1352" s="13" t="s">
        <v>340</v>
      </c>
      <c r="D1352" s="13" t="s">
        <v>5421</v>
      </c>
      <c r="E1352" s="14">
        <v>46072</v>
      </c>
      <c r="F1352" s="14">
        <v>46100</v>
      </c>
      <c r="G1352" s="15">
        <v>319607.38</v>
      </c>
      <c r="H1352" s="13" t="s">
        <v>5422</v>
      </c>
      <c r="I1352" s="13" t="s">
        <v>5423</v>
      </c>
      <c r="J1352" s="13" t="s">
        <v>91</v>
      </c>
      <c r="K1352" s="13">
        <f t="shared" si="105"/>
        <v>3</v>
      </c>
      <c r="L1352" s="13">
        <f t="shared" si="106"/>
        <v>0</v>
      </c>
      <c r="M1352" s="13">
        <f>IF(AND(L1352=0,COUNTIFS($B$2:$B$1534,B1352,$G$2:$G$1534,G1352,$E$2:$E$1534,"&gt;="&amp;(E1352-Assumptions!$B$5),$E$2:$E$1534,"&lt;="&amp;(E1352+Assumptions!$B$5))&gt;1),1,0)</f>
        <v>0</v>
      </c>
      <c r="N1352" s="13">
        <f>IF(AND(G1352&gt;=Assumptions!$B$4*(1-Assumptions!$B$6),G1352&lt;Assumptions!$B$4),1,0)</f>
        <v>0</v>
      </c>
      <c r="O1352" s="13">
        <f>IF(AND(G1352&gt;=Assumptions!$B$7,MOD(G1352,Assumptions!$B$7)=0),1,0)</f>
        <v>0</v>
      </c>
      <c r="P1352" s="13">
        <f t="shared" si="107"/>
        <v>0</v>
      </c>
      <c r="Q1352" s="13">
        <f t="shared" si="108"/>
        <v>0</v>
      </c>
      <c r="R1352" s="13">
        <f>L1352*Assumptions!$B$11+M1352*Assumptions!$B$12+N1352*Assumptions!$B$13+O1352*Assumptions!$B$14+P1352*Assumptions!$B$15+Q1352*Assumptions!$B$16</f>
        <v>0</v>
      </c>
      <c r="S1352" s="13" t="str">
        <f>IF(R1352&gt;=Assumptions!$B$20,"High",IF(R1352&gt;=Assumptions!$B$21,"Medium",IF(R1352&gt;=1,"Low","Clear")))</f>
        <v>Clear</v>
      </c>
      <c r="T1352" s="13" t="str">
        <f t="shared" si="109"/>
        <v/>
      </c>
    </row>
    <row r="1353" spans="1:20" x14ac:dyDescent="0.35">
      <c r="A1353" s="13" t="s">
        <v>5424</v>
      </c>
      <c r="B1353" s="13" t="s">
        <v>176</v>
      </c>
      <c r="C1353" s="13" t="s">
        <v>177</v>
      </c>
      <c r="D1353" s="13" t="s">
        <v>5425</v>
      </c>
      <c r="E1353" s="14">
        <v>46075</v>
      </c>
      <c r="F1353" s="14">
        <v>46101</v>
      </c>
      <c r="G1353" s="15">
        <v>117503.6</v>
      </c>
      <c r="H1353" s="13" t="s">
        <v>5426</v>
      </c>
      <c r="I1353" s="13" t="s">
        <v>5427</v>
      </c>
      <c r="J1353" s="13" t="s">
        <v>170</v>
      </c>
      <c r="K1353" s="13">
        <f t="shared" si="105"/>
        <v>1</v>
      </c>
      <c r="L1353" s="13">
        <f t="shared" si="106"/>
        <v>0</v>
      </c>
      <c r="M1353" s="13">
        <f>IF(AND(L1353=0,COUNTIFS($B$2:$B$1534,B1353,$G$2:$G$1534,G1353,$E$2:$E$1534,"&gt;="&amp;(E1353-Assumptions!$B$5),$E$2:$E$1534,"&lt;="&amp;(E1353+Assumptions!$B$5))&gt;1),1,0)</f>
        <v>0</v>
      </c>
      <c r="N1353" s="13">
        <f>IF(AND(G1353&gt;=Assumptions!$B$4*(1-Assumptions!$B$6),G1353&lt;Assumptions!$B$4),1,0)</f>
        <v>0</v>
      </c>
      <c r="O1353" s="13">
        <f>IF(AND(G1353&gt;=Assumptions!$B$7,MOD(G1353,Assumptions!$B$7)=0),1,0)</f>
        <v>0</v>
      </c>
      <c r="P1353" s="13">
        <f t="shared" si="107"/>
        <v>0</v>
      </c>
      <c r="Q1353" s="13">
        <f t="shared" si="108"/>
        <v>0</v>
      </c>
      <c r="R1353" s="13">
        <f>L1353*Assumptions!$B$11+M1353*Assumptions!$B$12+N1353*Assumptions!$B$13+O1353*Assumptions!$B$14+P1353*Assumptions!$B$15+Q1353*Assumptions!$B$16</f>
        <v>0</v>
      </c>
      <c r="S1353" s="13" t="str">
        <f>IF(R1353&gt;=Assumptions!$B$20,"High",IF(R1353&gt;=Assumptions!$B$21,"Medium",IF(R1353&gt;=1,"Low","Clear")))</f>
        <v>Clear</v>
      </c>
      <c r="T1353" s="13" t="str">
        <f t="shared" si="109"/>
        <v/>
      </c>
    </row>
    <row r="1354" spans="1:20" x14ac:dyDescent="0.35">
      <c r="A1354" s="13" t="s">
        <v>5428</v>
      </c>
      <c r="B1354" s="13" t="s">
        <v>409</v>
      </c>
      <c r="C1354" s="13" t="s">
        <v>410</v>
      </c>
      <c r="D1354" s="13" t="s">
        <v>5429</v>
      </c>
      <c r="E1354" s="14">
        <v>46062</v>
      </c>
      <c r="F1354" s="14">
        <v>46101</v>
      </c>
      <c r="G1354" s="15">
        <v>33205</v>
      </c>
      <c r="H1354" s="13" t="s">
        <v>5430</v>
      </c>
      <c r="I1354" s="13" t="s">
        <v>5431</v>
      </c>
      <c r="J1354" s="13" t="s">
        <v>91</v>
      </c>
      <c r="K1354" s="13">
        <f t="shared" si="105"/>
        <v>3</v>
      </c>
      <c r="L1354" s="13">
        <f t="shared" si="106"/>
        <v>0</v>
      </c>
      <c r="M1354" s="13">
        <f>IF(AND(L1354=0,COUNTIFS($B$2:$B$1534,B1354,$G$2:$G$1534,G1354,$E$2:$E$1534,"&gt;="&amp;(E1354-Assumptions!$B$5),$E$2:$E$1534,"&lt;="&amp;(E1354+Assumptions!$B$5))&gt;1),1,0)</f>
        <v>0</v>
      </c>
      <c r="N1354" s="13">
        <f>IF(AND(G1354&gt;=Assumptions!$B$4*(1-Assumptions!$B$6),G1354&lt;Assumptions!$B$4),1,0)</f>
        <v>0</v>
      </c>
      <c r="O1354" s="13">
        <f>IF(AND(G1354&gt;=Assumptions!$B$7,MOD(G1354,Assumptions!$B$7)=0),1,0)</f>
        <v>0</v>
      </c>
      <c r="P1354" s="13">
        <f t="shared" si="107"/>
        <v>0</v>
      </c>
      <c r="Q1354" s="13">
        <f t="shared" si="108"/>
        <v>0</v>
      </c>
      <c r="R1354" s="13">
        <f>L1354*Assumptions!$B$11+M1354*Assumptions!$B$12+N1354*Assumptions!$B$13+O1354*Assumptions!$B$14+P1354*Assumptions!$B$15+Q1354*Assumptions!$B$16</f>
        <v>0</v>
      </c>
      <c r="S1354" s="13" t="str">
        <f>IF(R1354&gt;=Assumptions!$B$20,"High",IF(R1354&gt;=Assumptions!$B$21,"Medium",IF(R1354&gt;=1,"Low","Clear")))</f>
        <v>Clear</v>
      </c>
      <c r="T1354" s="13" t="str">
        <f t="shared" si="109"/>
        <v/>
      </c>
    </row>
    <row r="1355" spans="1:20" x14ac:dyDescent="0.35">
      <c r="A1355" s="13" t="s">
        <v>5432</v>
      </c>
      <c r="B1355" s="13" t="s">
        <v>200</v>
      </c>
      <c r="C1355" s="13" t="s">
        <v>201</v>
      </c>
      <c r="D1355" s="13" t="s">
        <v>5433</v>
      </c>
      <c r="E1355" s="14">
        <v>46068</v>
      </c>
      <c r="F1355" s="14">
        <v>46101</v>
      </c>
      <c r="G1355" s="15">
        <v>46510.61</v>
      </c>
      <c r="H1355" s="13" t="s">
        <v>5434</v>
      </c>
      <c r="I1355" s="13" t="s">
        <v>5435</v>
      </c>
      <c r="J1355" s="13" t="s">
        <v>136</v>
      </c>
      <c r="K1355" s="13">
        <f t="shared" si="105"/>
        <v>4</v>
      </c>
      <c r="L1355" s="13">
        <f t="shared" si="106"/>
        <v>0</v>
      </c>
      <c r="M1355" s="13">
        <f>IF(AND(L1355=0,COUNTIFS($B$2:$B$1534,B1355,$G$2:$G$1534,G1355,$E$2:$E$1534,"&gt;="&amp;(E1355-Assumptions!$B$5),$E$2:$E$1534,"&lt;="&amp;(E1355+Assumptions!$B$5))&gt;1),1,0)</f>
        <v>0</v>
      </c>
      <c r="N1355" s="13">
        <f>IF(AND(G1355&gt;=Assumptions!$B$4*(1-Assumptions!$B$6),G1355&lt;Assumptions!$B$4),1,0)</f>
        <v>0</v>
      </c>
      <c r="O1355" s="13">
        <f>IF(AND(G1355&gt;=Assumptions!$B$7,MOD(G1355,Assumptions!$B$7)=0),1,0)</f>
        <v>0</v>
      </c>
      <c r="P1355" s="13">
        <f t="shared" si="107"/>
        <v>0</v>
      </c>
      <c r="Q1355" s="13">
        <f t="shared" si="108"/>
        <v>0</v>
      </c>
      <c r="R1355" s="13">
        <f>L1355*Assumptions!$B$11+M1355*Assumptions!$B$12+N1355*Assumptions!$B$13+O1355*Assumptions!$B$14+P1355*Assumptions!$B$15+Q1355*Assumptions!$B$16</f>
        <v>0</v>
      </c>
      <c r="S1355" s="13" t="str">
        <f>IF(R1355&gt;=Assumptions!$B$20,"High",IF(R1355&gt;=Assumptions!$B$21,"Medium",IF(R1355&gt;=1,"Low","Clear")))</f>
        <v>Clear</v>
      </c>
      <c r="T1355" s="13" t="str">
        <f t="shared" si="109"/>
        <v/>
      </c>
    </row>
    <row r="1356" spans="1:20" x14ac:dyDescent="0.35">
      <c r="A1356" s="13" t="s">
        <v>5436</v>
      </c>
      <c r="B1356" s="13" t="s">
        <v>279</v>
      </c>
      <c r="C1356" s="13" t="s">
        <v>280</v>
      </c>
      <c r="D1356" s="13" t="s">
        <v>5437</v>
      </c>
      <c r="E1356" s="14">
        <v>46079</v>
      </c>
      <c r="F1356" s="14">
        <v>46101</v>
      </c>
      <c r="G1356" s="15">
        <v>80577.119999999995</v>
      </c>
      <c r="H1356" s="13" t="s">
        <v>5438</v>
      </c>
      <c r="I1356" s="13" t="s">
        <v>5439</v>
      </c>
      <c r="J1356" s="13" t="s">
        <v>136</v>
      </c>
      <c r="K1356" s="13">
        <f t="shared" si="105"/>
        <v>8</v>
      </c>
      <c r="L1356" s="13">
        <f t="shared" si="106"/>
        <v>0</v>
      </c>
      <c r="M1356" s="13">
        <f>IF(AND(L1356=0,COUNTIFS($B$2:$B$1534,B1356,$G$2:$G$1534,G1356,$E$2:$E$1534,"&gt;="&amp;(E1356-Assumptions!$B$5),$E$2:$E$1534,"&lt;="&amp;(E1356+Assumptions!$B$5))&gt;1),1,0)</f>
        <v>0</v>
      </c>
      <c r="N1356" s="13">
        <f>IF(AND(G1356&gt;=Assumptions!$B$4*(1-Assumptions!$B$6),G1356&lt;Assumptions!$B$4),1,0)</f>
        <v>0</v>
      </c>
      <c r="O1356" s="13">
        <f>IF(AND(G1356&gt;=Assumptions!$B$7,MOD(G1356,Assumptions!$B$7)=0),1,0)</f>
        <v>0</v>
      </c>
      <c r="P1356" s="13">
        <f t="shared" si="107"/>
        <v>0</v>
      </c>
      <c r="Q1356" s="13">
        <f t="shared" si="108"/>
        <v>0</v>
      </c>
      <c r="R1356" s="13">
        <f>L1356*Assumptions!$B$11+M1356*Assumptions!$B$12+N1356*Assumptions!$B$13+O1356*Assumptions!$B$14+P1356*Assumptions!$B$15+Q1356*Assumptions!$B$16</f>
        <v>0</v>
      </c>
      <c r="S1356" s="13" t="str">
        <f>IF(R1356&gt;=Assumptions!$B$20,"High",IF(R1356&gt;=Assumptions!$B$21,"Medium",IF(R1356&gt;=1,"Low","Clear")))</f>
        <v>Clear</v>
      </c>
      <c r="T1356" s="13" t="str">
        <f t="shared" si="109"/>
        <v/>
      </c>
    </row>
    <row r="1357" spans="1:20" x14ac:dyDescent="0.35">
      <c r="A1357" s="13" t="s">
        <v>5440</v>
      </c>
      <c r="B1357" s="13" t="s">
        <v>119</v>
      </c>
      <c r="C1357" s="13" t="s">
        <v>120</v>
      </c>
      <c r="D1357" s="13" t="s">
        <v>5441</v>
      </c>
      <c r="E1357" s="14">
        <v>46072</v>
      </c>
      <c r="F1357" s="14">
        <v>46101</v>
      </c>
      <c r="G1357" s="15">
        <v>43961.42</v>
      </c>
      <c r="H1357" s="13" t="s">
        <v>5442</v>
      </c>
      <c r="I1357" s="13" t="s">
        <v>5443</v>
      </c>
      <c r="J1357" s="13" t="s">
        <v>111</v>
      </c>
      <c r="K1357" s="13">
        <f t="shared" si="105"/>
        <v>4</v>
      </c>
      <c r="L1357" s="13">
        <f t="shared" si="106"/>
        <v>0</v>
      </c>
      <c r="M1357" s="13">
        <f>IF(AND(L1357=0,COUNTIFS($B$2:$B$1534,B1357,$G$2:$G$1534,G1357,$E$2:$E$1534,"&gt;="&amp;(E1357-Assumptions!$B$5),$E$2:$E$1534,"&lt;="&amp;(E1357+Assumptions!$B$5))&gt;1),1,0)</f>
        <v>0</v>
      </c>
      <c r="N1357" s="13">
        <f>IF(AND(G1357&gt;=Assumptions!$B$4*(1-Assumptions!$B$6),G1357&lt;Assumptions!$B$4),1,0)</f>
        <v>0</v>
      </c>
      <c r="O1357" s="13">
        <f>IF(AND(G1357&gt;=Assumptions!$B$7,MOD(G1357,Assumptions!$B$7)=0),1,0)</f>
        <v>0</v>
      </c>
      <c r="P1357" s="13">
        <f t="shared" si="107"/>
        <v>0</v>
      </c>
      <c r="Q1357" s="13">
        <f t="shared" si="108"/>
        <v>0</v>
      </c>
      <c r="R1357" s="13">
        <f>L1357*Assumptions!$B$11+M1357*Assumptions!$B$12+N1357*Assumptions!$B$13+O1357*Assumptions!$B$14+P1357*Assumptions!$B$15+Q1357*Assumptions!$B$16</f>
        <v>0</v>
      </c>
      <c r="S1357" s="13" t="str">
        <f>IF(R1357&gt;=Assumptions!$B$20,"High",IF(R1357&gt;=Assumptions!$B$21,"Medium",IF(R1357&gt;=1,"Low","Clear")))</f>
        <v>Clear</v>
      </c>
      <c r="T1357" s="13" t="str">
        <f t="shared" si="109"/>
        <v/>
      </c>
    </row>
    <row r="1358" spans="1:20" x14ac:dyDescent="0.35">
      <c r="A1358" s="13" t="s">
        <v>5444</v>
      </c>
      <c r="B1358" s="13" t="s">
        <v>329</v>
      </c>
      <c r="C1358" s="13" t="s">
        <v>330</v>
      </c>
      <c r="D1358" s="13" t="s">
        <v>5445</v>
      </c>
      <c r="E1358" s="14">
        <v>46079</v>
      </c>
      <c r="F1358" s="14">
        <v>46101</v>
      </c>
      <c r="G1358" s="15">
        <v>174049.38</v>
      </c>
      <c r="H1358" s="13" t="s">
        <v>5446</v>
      </c>
      <c r="I1358" s="13" t="s">
        <v>5447</v>
      </c>
      <c r="J1358" s="13" t="s">
        <v>98</v>
      </c>
      <c r="K1358" s="13">
        <f t="shared" si="105"/>
        <v>1</v>
      </c>
      <c r="L1358" s="13">
        <f t="shared" si="106"/>
        <v>0</v>
      </c>
      <c r="M1358" s="13">
        <f>IF(AND(L1358=0,COUNTIFS($B$2:$B$1534,B1358,$G$2:$G$1534,G1358,$E$2:$E$1534,"&gt;="&amp;(E1358-Assumptions!$B$5),$E$2:$E$1534,"&lt;="&amp;(E1358+Assumptions!$B$5))&gt;1),1,0)</f>
        <v>0</v>
      </c>
      <c r="N1358" s="13">
        <f>IF(AND(G1358&gt;=Assumptions!$B$4*(1-Assumptions!$B$6),G1358&lt;Assumptions!$B$4),1,0)</f>
        <v>0</v>
      </c>
      <c r="O1358" s="13">
        <f>IF(AND(G1358&gt;=Assumptions!$B$7,MOD(G1358,Assumptions!$B$7)=0),1,0)</f>
        <v>0</v>
      </c>
      <c r="P1358" s="13">
        <f t="shared" si="107"/>
        <v>0</v>
      </c>
      <c r="Q1358" s="13">
        <f t="shared" si="108"/>
        <v>0</v>
      </c>
      <c r="R1358" s="13">
        <f>L1358*Assumptions!$B$11+M1358*Assumptions!$B$12+N1358*Assumptions!$B$13+O1358*Assumptions!$B$14+P1358*Assumptions!$B$15+Q1358*Assumptions!$B$16</f>
        <v>0</v>
      </c>
      <c r="S1358" s="13" t="str">
        <f>IF(R1358&gt;=Assumptions!$B$20,"High",IF(R1358&gt;=Assumptions!$B$21,"Medium",IF(R1358&gt;=1,"Low","Clear")))</f>
        <v>Clear</v>
      </c>
      <c r="T1358" s="13" t="str">
        <f t="shared" si="109"/>
        <v/>
      </c>
    </row>
    <row r="1359" spans="1:20" x14ac:dyDescent="0.35">
      <c r="A1359" s="13" t="s">
        <v>5448</v>
      </c>
      <c r="B1359" s="13" t="s">
        <v>317</v>
      </c>
      <c r="C1359" s="13" t="s">
        <v>318</v>
      </c>
      <c r="D1359" s="13" t="s">
        <v>5449</v>
      </c>
      <c r="E1359" s="14">
        <v>46068</v>
      </c>
      <c r="F1359" s="14">
        <v>46102</v>
      </c>
      <c r="G1359" s="15">
        <v>150648.6</v>
      </c>
      <c r="H1359" s="13" t="s">
        <v>5450</v>
      </c>
      <c r="I1359" s="13" t="s">
        <v>5451</v>
      </c>
      <c r="J1359" s="13" t="s">
        <v>98</v>
      </c>
      <c r="K1359" s="13">
        <f t="shared" si="105"/>
        <v>1</v>
      </c>
      <c r="L1359" s="13">
        <f t="shared" si="106"/>
        <v>0</v>
      </c>
      <c r="M1359" s="13">
        <f>IF(AND(L1359=0,COUNTIFS($B$2:$B$1534,B1359,$G$2:$G$1534,G1359,$E$2:$E$1534,"&gt;="&amp;(E1359-Assumptions!$B$5),$E$2:$E$1534,"&lt;="&amp;(E1359+Assumptions!$B$5))&gt;1),1,0)</f>
        <v>0</v>
      </c>
      <c r="N1359" s="13">
        <f>IF(AND(G1359&gt;=Assumptions!$B$4*(1-Assumptions!$B$6),G1359&lt;Assumptions!$B$4),1,0)</f>
        <v>0</v>
      </c>
      <c r="O1359" s="13">
        <f>IF(AND(G1359&gt;=Assumptions!$B$7,MOD(G1359,Assumptions!$B$7)=0),1,0)</f>
        <v>0</v>
      </c>
      <c r="P1359" s="13">
        <f t="shared" si="107"/>
        <v>0</v>
      </c>
      <c r="Q1359" s="13">
        <f t="shared" si="108"/>
        <v>1</v>
      </c>
      <c r="R1359" s="13">
        <f>L1359*Assumptions!$B$11+M1359*Assumptions!$B$12+N1359*Assumptions!$B$13+O1359*Assumptions!$B$14+P1359*Assumptions!$B$15+Q1359*Assumptions!$B$16</f>
        <v>1</v>
      </c>
      <c r="S1359" s="13" t="str">
        <f>IF(R1359&gt;=Assumptions!$B$20,"High",IF(R1359&gt;=Assumptions!$B$21,"Medium",IF(R1359&gt;=1,"Low","Clear")))</f>
        <v>Low</v>
      </c>
      <c r="T1359" s="13" t="str">
        <f t="shared" si="109"/>
        <v xml:space="preserve">Weekend payment; </v>
      </c>
    </row>
    <row r="1360" spans="1:20" x14ac:dyDescent="0.35">
      <c r="A1360" s="13" t="s">
        <v>5452</v>
      </c>
      <c r="B1360" s="13" t="s">
        <v>176</v>
      </c>
      <c r="C1360" s="13" t="s">
        <v>177</v>
      </c>
      <c r="D1360" s="13" t="s">
        <v>5453</v>
      </c>
      <c r="E1360" s="14">
        <v>46075</v>
      </c>
      <c r="F1360" s="14">
        <v>46104</v>
      </c>
      <c r="G1360" s="15">
        <v>120132.82</v>
      </c>
      <c r="H1360" s="13" t="s">
        <v>5454</v>
      </c>
      <c r="I1360" s="13" t="s">
        <v>5455</v>
      </c>
      <c r="J1360" s="13" t="s">
        <v>143</v>
      </c>
      <c r="K1360" s="13">
        <f t="shared" si="105"/>
        <v>1</v>
      </c>
      <c r="L1360" s="13">
        <f t="shared" si="106"/>
        <v>0</v>
      </c>
      <c r="M1360" s="13">
        <f>IF(AND(L1360=0,COUNTIFS($B$2:$B$1534,B1360,$G$2:$G$1534,G1360,$E$2:$E$1534,"&gt;="&amp;(E1360-Assumptions!$B$5),$E$2:$E$1534,"&lt;="&amp;(E1360+Assumptions!$B$5))&gt;1),1,0)</f>
        <v>0</v>
      </c>
      <c r="N1360" s="13">
        <f>IF(AND(G1360&gt;=Assumptions!$B$4*(1-Assumptions!$B$6),G1360&lt;Assumptions!$B$4),1,0)</f>
        <v>0</v>
      </c>
      <c r="O1360" s="13">
        <f>IF(AND(G1360&gt;=Assumptions!$B$7,MOD(G1360,Assumptions!$B$7)=0),1,0)</f>
        <v>0</v>
      </c>
      <c r="P1360" s="13">
        <f t="shared" si="107"/>
        <v>0</v>
      </c>
      <c r="Q1360" s="13">
        <f t="shared" si="108"/>
        <v>0</v>
      </c>
      <c r="R1360" s="13">
        <f>L1360*Assumptions!$B$11+M1360*Assumptions!$B$12+N1360*Assumptions!$B$13+O1360*Assumptions!$B$14+P1360*Assumptions!$B$15+Q1360*Assumptions!$B$16</f>
        <v>0</v>
      </c>
      <c r="S1360" s="13" t="str">
        <f>IF(R1360&gt;=Assumptions!$B$20,"High",IF(R1360&gt;=Assumptions!$B$21,"Medium",IF(R1360&gt;=1,"Low","Clear")))</f>
        <v>Clear</v>
      </c>
      <c r="T1360" s="13" t="str">
        <f t="shared" si="109"/>
        <v/>
      </c>
    </row>
    <row r="1361" spans="1:20" x14ac:dyDescent="0.35">
      <c r="A1361" s="13" t="s">
        <v>5456</v>
      </c>
      <c r="B1361" s="13" t="s">
        <v>409</v>
      </c>
      <c r="C1361" s="13" t="s">
        <v>410</v>
      </c>
      <c r="D1361" s="13" t="s">
        <v>5457</v>
      </c>
      <c r="E1361" s="14">
        <v>46062</v>
      </c>
      <c r="F1361" s="14">
        <v>46104</v>
      </c>
      <c r="G1361" s="15">
        <v>10000</v>
      </c>
      <c r="H1361" s="13" t="s">
        <v>5458</v>
      </c>
      <c r="I1361" s="13" t="s">
        <v>5459</v>
      </c>
      <c r="J1361" s="13" t="s">
        <v>143</v>
      </c>
      <c r="K1361" s="13">
        <f t="shared" si="105"/>
        <v>1</v>
      </c>
      <c r="L1361" s="13">
        <f t="shared" si="106"/>
        <v>0</v>
      </c>
      <c r="M1361" s="13">
        <f>IF(AND(L1361=0,COUNTIFS($B$2:$B$1534,B1361,$G$2:$G$1534,G1361,$E$2:$E$1534,"&gt;="&amp;(E1361-Assumptions!$B$5),$E$2:$E$1534,"&lt;="&amp;(E1361+Assumptions!$B$5))&gt;1),1,0)</f>
        <v>0</v>
      </c>
      <c r="N1361" s="13">
        <f>IF(AND(G1361&gt;=Assumptions!$B$4*(1-Assumptions!$B$6),G1361&lt;Assumptions!$B$4),1,0)</f>
        <v>0</v>
      </c>
      <c r="O1361" s="13">
        <f>IF(AND(G1361&gt;=Assumptions!$B$7,MOD(G1361,Assumptions!$B$7)=0),1,0)</f>
        <v>1</v>
      </c>
      <c r="P1361" s="13">
        <f t="shared" si="107"/>
        <v>0</v>
      </c>
      <c r="Q1361" s="13">
        <f t="shared" si="108"/>
        <v>0</v>
      </c>
      <c r="R1361" s="13">
        <f>L1361*Assumptions!$B$11+M1361*Assumptions!$B$12+N1361*Assumptions!$B$13+O1361*Assumptions!$B$14+P1361*Assumptions!$B$15+Q1361*Assumptions!$B$16</f>
        <v>1</v>
      </c>
      <c r="S1361" s="13" t="str">
        <f>IF(R1361&gt;=Assumptions!$B$20,"High",IF(R1361&gt;=Assumptions!$B$21,"Medium",IF(R1361&gt;=1,"Low","Clear")))</f>
        <v>Low</v>
      </c>
      <c r="T1361" s="13" t="str">
        <f t="shared" si="109"/>
        <v xml:space="preserve">Round amount; </v>
      </c>
    </row>
    <row r="1362" spans="1:20" x14ac:dyDescent="0.35">
      <c r="A1362" s="13" t="s">
        <v>5460</v>
      </c>
      <c r="B1362" s="13" t="s">
        <v>228</v>
      </c>
      <c r="C1362" s="13" t="s">
        <v>229</v>
      </c>
      <c r="D1362" s="13" t="s">
        <v>5461</v>
      </c>
      <c r="E1362" s="14">
        <v>46068</v>
      </c>
      <c r="F1362" s="14">
        <v>46104</v>
      </c>
      <c r="G1362" s="15">
        <v>54551.09</v>
      </c>
      <c r="H1362" s="13" t="s">
        <v>5462</v>
      </c>
      <c r="I1362" s="13" t="s">
        <v>5463</v>
      </c>
      <c r="J1362" s="13" t="s">
        <v>111</v>
      </c>
      <c r="K1362" s="13">
        <f t="shared" si="105"/>
        <v>5</v>
      </c>
      <c r="L1362" s="13">
        <f t="shared" si="106"/>
        <v>0</v>
      </c>
      <c r="M1362" s="13">
        <f>IF(AND(L1362=0,COUNTIFS($B$2:$B$1534,B1362,$G$2:$G$1534,G1362,$E$2:$E$1534,"&gt;="&amp;(E1362-Assumptions!$B$5),$E$2:$E$1534,"&lt;="&amp;(E1362+Assumptions!$B$5))&gt;1),1,0)</f>
        <v>0</v>
      </c>
      <c r="N1362" s="13">
        <f>IF(AND(G1362&gt;=Assumptions!$B$4*(1-Assumptions!$B$6),G1362&lt;Assumptions!$B$4),1,0)</f>
        <v>0</v>
      </c>
      <c r="O1362" s="13">
        <f>IF(AND(G1362&gt;=Assumptions!$B$7,MOD(G1362,Assumptions!$B$7)=0),1,0)</f>
        <v>0</v>
      </c>
      <c r="P1362" s="13">
        <f t="shared" si="107"/>
        <v>0</v>
      </c>
      <c r="Q1362" s="13">
        <f t="shared" si="108"/>
        <v>0</v>
      </c>
      <c r="R1362" s="13">
        <f>L1362*Assumptions!$B$11+M1362*Assumptions!$B$12+N1362*Assumptions!$B$13+O1362*Assumptions!$B$14+P1362*Assumptions!$B$15+Q1362*Assumptions!$B$16</f>
        <v>0</v>
      </c>
      <c r="S1362" s="13" t="str">
        <f>IF(R1362&gt;=Assumptions!$B$20,"High",IF(R1362&gt;=Assumptions!$B$21,"Medium",IF(R1362&gt;=1,"Low","Clear")))</f>
        <v>Clear</v>
      </c>
      <c r="T1362" s="13" t="str">
        <f t="shared" si="109"/>
        <v/>
      </c>
    </row>
    <row r="1363" spans="1:20" x14ac:dyDescent="0.35">
      <c r="A1363" s="13" t="s">
        <v>5464</v>
      </c>
      <c r="B1363" s="13" t="s">
        <v>670</v>
      </c>
      <c r="C1363" s="13" t="s">
        <v>671</v>
      </c>
      <c r="D1363" s="13" t="s">
        <v>5465</v>
      </c>
      <c r="E1363" s="14">
        <v>46075</v>
      </c>
      <c r="F1363" s="14">
        <v>46104</v>
      </c>
      <c r="G1363" s="15">
        <v>12665.77</v>
      </c>
      <c r="H1363" s="13" t="s">
        <v>5466</v>
      </c>
      <c r="I1363" s="13" t="s">
        <v>5467</v>
      </c>
      <c r="J1363" s="13" t="s">
        <v>143</v>
      </c>
      <c r="K1363" s="13">
        <f t="shared" si="105"/>
        <v>1</v>
      </c>
      <c r="L1363" s="13">
        <f t="shared" si="106"/>
        <v>0</v>
      </c>
      <c r="M1363" s="13">
        <f>IF(AND(L1363=0,COUNTIFS($B$2:$B$1534,B1363,$G$2:$G$1534,G1363,$E$2:$E$1534,"&gt;="&amp;(E1363-Assumptions!$B$5),$E$2:$E$1534,"&lt;="&amp;(E1363+Assumptions!$B$5))&gt;1),1,0)</f>
        <v>0</v>
      </c>
      <c r="N1363" s="13">
        <f>IF(AND(G1363&gt;=Assumptions!$B$4*(1-Assumptions!$B$6),G1363&lt;Assumptions!$B$4),1,0)</f>
        <v>0</v>
      </c>
      <c r="O1363" s="13">
        <f>IF(AND(G1363&gt;=Assumptions!$B$7,MOD(G1363,Assumptions!$B$7)=0),1,0)</f>
        <v>0</v>
      </c>
      <c r="P1363" s="13">
        <f t="shared" si="107"/>
        <v>0</v>
      </c>
      <c r="Q1363" s="13">
        <f t="shared" si="108"/>
        <v>0</v>
      </c>
      <c r="R1363" s="13">
        <f>L1363*Assumptions!$B$11+M1363*Assumptions!$B$12+N1363*Assumptions!$B$13+O1363*Assumptions!$B$14+P1363*Assumptions!$B$15+Q1363*Assumptions!$B$16</f>
        <v>0</v>
      </c>
      <c r="S1363" s="13" t="str">
        <f>IF(R1363&gt;=Assumptions!$B$20,"High",IF(R1363&gt;=Assumptions!$B$21,"Medium",IF(R1363&gt;=1,"Low","Clear")))</f>
        <v>Clear</v>
      </c>
      <c r="T1363" s="13" t="str">
        <f t="shared" si="109"/>
        <v/>
      </c>
    </row>
    <row r="1364" spans="1:20" x14ac:dyDescent="0.35">
      <c r="A1364" s="13" t="s">
        <v>5468</v>
      </c>
      <c r="B1364" s="13" t="s">
        <v>498</v>
      </c>
      <c r="C1364" s="13" t="s">
        <v>499</v>
      </c>
      <c r="D1364" s="13" t="s">
        <v>5469</v>
      </c>
      <c r="E1364" s="14">
        <v>46066</v>
      </c>
      <c r="F1364" s="14">
        <v>46104</v>
      </c>
      <c r="G1364" s="15">
        <v>1204.76</v>
      </c>
      <c r="H1364" s="13" t="s">
        <v>5470</v>
      </c>
      <c r="I1364" s="13" t="s">
        <v>5471</v>
      </c>
      <c r="J1364" s="13" t="s">
        <v>91</v>
      </c>
      <c r="K1364" s="13">
        <f t="shared" si="105"/>
        <v>1</v>
      </c>
      <c r="L1364" s="13">
        <f t="shared" si="106"/>
        <v>0</v>
      </c>
      <c r="M1364" s="13">
        <f>IF(AND(L1364=0,COUNTIFS($B$2:$B$1534,B1364,$G$2:$G$1534,G1364,$E$2:$E$1534,"&gt;="&amp;(E1364-Assumptions!$B$5),$E$2:$E$1534,"&lt;="&amp;(E1364+Assumptions!$B$5))&gt;1),1,0)</f>
        <v>0</v>
      </c>
      <c r="N1364" s="13">
        <f>IF(AND(G1364&gt;=Assumptions!$B$4*(1-Assumptions!$B$6),G1364&lt;Assumptions!$B$4),1,0)</f>
        <v>0</v>
      </c>
      <c r="O1364" s="13">
        <f>IF(AND(G1364&gt;=Assumptions!$B$7,MOD(G1364,Assumptions!$B$7)=0),1,0)</f>
        <v>0</v>
      </c>
      <c r="P1364" s="13">
        <f t="shared" si="107"/>
        <v>0</v>
      </c>
      <c r="Q1364" s="13">
        <f t="shared" si="108"/>
        <v>0</v>
      </c>
      <c r="R1364" s="13">
        <f>L1364*Assumptions!$B$11+M1364*Assumptions!$B$12+N1364*Assumptions!$B$13+O1364*Assumptions!$B$14+P1364*Assumptions!$B$15+Q1364*Assumptions!$B$16</f>
        <v>0</v>
      </c>
      <c r="S1364" s="13" t="str">
        <f>IF(R1364&gt;=Assumptions!$B$20,"High",IF(R1364&gt;=Assumptions!$B$21,"Medium",IF(R1364&gt;=1,"Low","Clear")))</f>
        <v>Clear</v>
      </c>
      <c r="T1364" s="13" t="str">
        <f t="shared" si="109"/>
        <v/>
      </c>
    </row>
    <row r="1365" spans="1:20" x14ac:dyDescent="0.35">
      <c r="A1365" s="13" t="s">
        <v>5472</v>
      </c>
      <c r="B1365" s="13" t="s">
        <v>200</v>
      </c>
      <c r="C1365" s="13" t="s">
        <v>201</v>
      </c>
      <c r="D1365" s="13" t="s">
        <v>5473</v>
      </c>
      <c r="E1365" s="14">
        <v>46070</v>
      </c>
      <c r="F1365" s="14">
        <v>46104</v>
      </c>
      <c r="G1365" s="15">
        <v>236079.32</v>
      </c>
      <c r="H1365" s="13" t="s">
        <v>5474</v>
      </c>
      <c r="I1365" s="13" t="s">
        <v>5475</v>
      </c>
      <c r="J1365" s="13" t="s">
        <v>98</v>
      </c>
      <c r="K1365" s="13">
        <f t="shared" si="105"/>
        <v>2</v>
      </c>
      <c r="L1365" s="13">
        <f t="shared" si="106"/>
        <v>0</v>
      </c>
      <c r="M1365" s="13">
        <f>IF(AND(L1365=0,COUNTIFS($B$2:$B$1534,B1365,$G$2:$G$1534,G1365,$E$2:$E$1534,"&gt;="&amp;(E1365-Assumptions!$B$5),$E$2:$E$1534,"&lt;="&amp;(E1365+Assumptions!$B$5))&gt;1),1,0)</f>
        <v>0</v>
      </c>
      <c r="N1365" s="13">
        <f>IF(AND(G1365&gt;=Assumptions!$B$4*(1-Assumptions!$B$6),G1365&lt;Assumptions!$B$4),1,0)</f>
        <v>0</v>
      </c>
      <c r="O1365" s="13">
        <f>IF(AND(G1365&gt;=Assumptions!$B$7,MOD(G1365,Assumptions!$B$7)=0),1,0)</f>
        <v>0</v>
      </c>
      <c r="P1365" s="13">
        <f t="shared" si="107"/>
        <v>0</v>
      </c>
      <c r="Q1365" s="13">
        <f t="shared" si="108"/>
        <v>0</v>
      </c>
      <c r="R1365" s="13">
        <f>L1365*Assumptions!$B$11+M1365*Assumptions!$B$12+N1365*Assumptions!$B$13+O1365*Assumptions!$B$14+P1365*Assumptions!$B$15+Q1365*Assumptions!$B$16</f>
        <v>0</v>
      </c>
      <c r="S1365" s="13" t="str">
        <f>IF(R1365&gt;=Assumptions!$B$20,"High",IF(R1365&gt;=Assumptions!$B$21,"Medium",IF(R1365&gt;=1,"Low","Clear")))</f>
        <v>Clear</v>
      </c>
      <c r="T1365" s="13" t="str">
        <f t="shared" si="109"/>
        <v/>
      </c>
    </row>
    <row r="1366" spans="1:20" x14ac:dyDescent="0.35">
      <c r="A1366" s="13" t="s">
        <v>5476</v>
      </c>
      <c r="B1366" s="13" t="s">
        <v>218</v>
      </c>
      <c r="C1366" s="13" t="s">
        <v>219</v>
      </c>
      <c r="D1366" s="13" t="s">
        <v>5477</v>
      </c>
      <c r="E1366" s="14">
        <v>46075</v>
      </c>
      <c r="F1366" s="14">
        <v>46104</v>
      </c>
      <c r="G1366" s="15">
        <v>205943.93</v>
      </c>
      <c r="H1366" s="13" t="s">
        <v>5478</v>
      </c>
      <c r="I1366" s="13" t="s">
        <v>5479</v>
      </c>
      <c r="J1366" s="13" t="s">
        <v>91</v>
      </c>
      <c r="K1366" s="13">
        <f t="shared" si="105"/>
        <v>2</v>
      </c>
      <c r="L1366" s="13">
        <f t="shared" si="106"/>
        <v>0</v>
      </c>
      <c r="M1366" s="13">
        <f>IF(AND(L1366=0,COUNTIFS($B$2:$B$1534,B1366,$G$2:$G$1534,G1366,$E$2:$E$1534,"&gt;="&amp;(E1366-Assumptions!$B$5),$E$2:$E$1534,"&lt;="&amp;(E1366+Assumptions!$B$5))&gt;1),1,0)</f>
        <v>0</v>
      </c>
      <c r="N1366" s="13">
        <f>IF(AND(G1366&gt;=Assumptions!$B$4*(1-Assumptions!$B$6),G1366&lt;Assumptions!$B$4),1,0)</f>
        <v>0</v>
      </c>
      <c r="O1366" s="13">
        <f>IF(AND(G1366&gt;=Assumptions!$B$7,MOD(G1366,Assumptions!$B$7)=0),1,0)</f>
        <v>0</v>
      </c>
      <c r="P1366" s="13">
        <f t="shared" si="107"/>
        <v>0</v>
      </c>
      <c r="Q1366" s="13">
        <f t="shared" si="108"/>
        <v>0</v>
      </c>
      <c r="R1366" s="13">
        <f>L1366*Assumptions!$B$11+M1366*Assumptions!$B$12+N1366*Assumptions!$B$13+O1366*Assumptions!$B$14+P1366*Assumptions!$B$15+Q1366*Assumptions!$B$16</f>
        <v>0</v>
      </c>
      <c r="S1366" s="13" t="str">
        <f>IF(R1366&gt;=Assumptions!$B$20,"High",IF(R1366&gt;=Assumptions!$B$21,"Medium",IF(R1366&gt;=1,"Low","Clear")))</f>
        <v>Clear</v>
      </c>
      <c r="T1366" s="13" t="str">
        <f t="shared" si="109"/>
        <v/>
      </c>
    </row>
    <row r="1367" spans="1:20" x14ac:dyDescent="0.35">
      <c r="A1367" s="13" t="s">
        <v>5480</v>
      </c>
      <c r="B1367" s="13" t="s">
        <v>155</v>
      </c>
      <c r="C1367" s="13" t="s">
        <v>156</v>
      </c>
      <c r="D1367" s="13" t="s">
        <v>5481</v>
      </c>
      <c r="E1367" s="14">
        <v>46074</v>
      </c>
      <c r="F1367" s="14">
        <v>46104</v>
      </c>
      <c r="G1367" s="15">
        <v>2856.74</v>
      </c>
      <c r="H1367" s="13" t="s">
        <v>5482</v>
      </c>
      <c r="I1367" s="13" t="s">
        <v>5483</v>
      </c>
      <c r="J1367" s="13" t="s">
        <v>143</v>
      </c>
      <c r="K1367" s="13">
        <f t="shared" si="105"/>
        <v>2</v>
      </c>
      <c r="L1367" s="13">
        <f t="shared" si="106"/>
        <v>0</v>
      </c>
      <c r="M1367" s="13">
        <f>IF(AND(L1367=0,COUNTIFS($B$2:$B$1534,B1367,$G$2:$G$1534,G1367,$E$2:$E$1534,"&gt;="&amp;(E1367-Assumptions!$B$5),$E$2:$E$1534,"&lt;="&amp;(E1367+Assumptions!$B$5))&gt;1),1,0)</f>
        <v>0</v>
      </c>
      <c r="N1367" s="13">
        <f>IF(AND(G1367&gt;=Assumptions!$B$4*(1-Assumptions!$B$6),G1367&lt;Assumptions!$B$4),1,0)</f>
        <v>0</v>
      </c>
      <c r="O1367" s="13">
        <f>IF(AND(G1367&gt;=Assumptions!$B$7,MOD(G1367,Assumptions!$B$7)=0),1,0)</f>
        <v>0</v>
      </c>
      <c r="P1367" s="13">
        <f t="shared" si="107"/>
        <v>0</v>
      </c>
      <c r="Q1367" s="13">
        <f t="shared" si="108"/>
        <v>0</v>
      </c>
      <c r="R1367" s="13">
        <f>L1367*Assumptions!$B$11+M1367*Assumptions!$B$12+N1367*Assumptions!$B$13+O1367*Assumptions!$B$14+P1367*Assumptions!$B$15+Q1367*Assumptions!$B$16</f>
        <v>0</v>
      </c>
      <c r="S1367" s="13" t="str">
        <f>IF(R1367&gt;=Assumptions!$B$20,"High",IF(R1367&gt;=Assumptions!$B$21,"Medium",IF(R1367&gt;=1,"Low","Clear")))</f>
        <v>Clear</v>
      </c>
      <c r="T1367" s="13" t="str">
        <f t="shared" si="109"/>
        <v/>
      </c>
    </row>
    <row r="1368" spans="1:20" x14ac:dyDescent="0.35">
      <c r="A1368" s="13" t="s">
        <v>5484</v>
      </c>
      <c r="B1368" s="13" t="s">
        <v>161</v>
      </c>
      <c r="C1368" s="13" t="s">
        <v>162</v>
      </c>
      <c r="D1368" s="13" t="s">
        <v>5485</v>
      </c>
      <c r="E1368" s="14">
        <v>46074</v>
      </c>
      <c r="F1368" s="14">
        <v>46104</v>
      </c>
      <c r="G1368" s="15">
        <v>23917.26</v>
      </c>
      <c r="H1368" s="13" t="s">
        <v>5486</v>
      </c>
      <c r="I1368" s="13" t="s">
        <v>5487</v>
      </c>
      <c r="J1368" s="13" t="s">
        <v>98</v>
      </c>
      <c r="K1368" s="13">
        <f t="shared" si="105"/>
        <v>2</v>
      </c>
      <c r="L1368" s="13">
        <f t="shared" si="106"/>
        <v>0</v>
      </c>
      <c r="M1368" s="13">
        <f>IF(AND(L1368=0,COUNTIFS($B$2:$B$1534,B1368,$G$2:$G$1534,G1368,$E$2:$E$1534,"&gt;="&amp;(E1368-Assumptions!$B$5),$E$2:$E$1534,"&lt;="&amp;(E1368+Assumptions!$B$5))&gt;1),1,0)</f>
        <v>0</v>
      </c>
      <c r="N1368" s="13">
        <f>IF(AND(G1368&gt;=Assumptions!$B$4*(1-Assumptions!$B$6),G1368&lt;Assumptions!$B$4),1,0)</f>
        <v>0</v>
      </c>
      <c r="O1368" s="13">
        <f>IF(AND(G1368&gt;=Assumptions!$B$7,MOD(G1368,Assumptions!$B$7)=0),1,0)</f>
        <v>0</v>
      </c>
      <c r="P1368" s="13">
        <f t="shared" si="107"/>
        <v>0</v>
      </c>
      <c r="Q1368" s="13">
        <f t="shared" si="108"/>
        <v>0</v>
      </c>
      <c r="R1368" s="13">
        <f>L1368*Assumptions!$B$11+M1368*Assumptions!$B$12+N1368*Assumptions!$B$13+O1368*Assumptions!$B$14+P1368*Assumptions!$B$15+Q1368*Assumptions!$B$16</f>
        <v>0</v>
      </c>
      <c r="S1368" s="13" t="str">
        <f>IF(R1368&gt;=Assumptions!$B$20,"High",IF(R1368&gt;=Assumptions!$B$21,"Medium",IF(R1368&gt;=1,"Low","Clear")))</f>
        <v>Clear</v>
      </c>
      <c r="T1368" s="13" t="str">
        <f t="shared" si="109"/>
        <v/>
      </c>
    </row>
    <row r="1369" spans="1:20" x14ac:dyDescent="0.35">
      <c r="A1369" s="13" t="s">
        <v>5488</v>
      </c>
      <c r="B1369" s="13" t="s">
        <v>100</v>
      </c>
      <c r="C1369" s="13" t="s">
        <v>101</v>
      </c>
      <c r="D1369" s="13" t="s">
        <v>5489</v>
      </c>
      <c r="E1369" s="14">
        <v>46073</v>
      </c>
      <c r="F1369" s="14">
        <v>46104</v>
      </c>
      <c r="G1369" s="15">
        <v>122847.48</v>
      </c>
      <c r="H1369" s="13" t="s">
        <v>5490</v>
      </c>
      <c r="I1369" s="13" t="s">
        <v>5491</v>
      </c>
      <c r="J1369" s="13" t="s">
        <v>98</v>
      </c>
      <c r="K1369" s="13">
        <f t="shared" si="105"/>
        <v>1</v>
      </c>
      <c r="L1369" s="13">
        <f t="shared" si="106"/>
        <v>0</v>
      </c>
      <c r="M1369" s="13">
        <f>IF(AND(L1369=0,COUNTIFS($B$2:$B$1534,B1369,$G$2:$G$1534,G1369,$E$2:$E$1534,"&gt;="&amp;(E1369-Assumptions!$B$5),$E$2:$E$1534,"&lt;="&amp;(E1369+Assumptions!$B$5))&gt;1),1,0)</f>
        <v>0</v>
      </c>
      <c r="N1369" s="13">
        <f>IF(AND(G1369&gt;=Assumptions!$B$4*(1-Assumptions!$B$6),G1369&lt;Assumptions!$B$4),1,0)</f>
        <v>0</v>
      </c>
      <c r="O1369" s="13">
        <f>IF(AND(G1369&gt;=Assumptions!$B$7,MOD(G1369,Assumptions!$B$7)=0),1,0)</f>
        <v>0</v>
      </c>
      <c r="P1369" s="13">
        <f t="shared" si="107"/>
        <v>0</v>
      </c>
      <c r="Q1369" s="13">
        <f t="shared" si="108"/>
        <v>0</v>
      </c>
      <c r="R1369" s="13">
        <f>L1369*Assumptions!$B$11+M1369*Assumptions!$B$12+N1369*Assumptions!$B$13+O1369*Assumptions!$B$14+P1369*Assumptions!$B$15+Q1369*Assumptions!$B$16</f>
        <v>0</v>
      </c>
      <c r="S1369" s="13" t="str">
        <f>IF(R1369&gt;=Assumptions!$B$20,"High",IF(R1369&gt;=Assumptions!$B$21,"Medium",IF(R1369&gt;=1,"Low","Clear")))</f>
        <v>Clear</v>
      </c>
      <c r="T1369" s="13" t="str">
        <f t="shared" si="109"/>
        <v/>
      </c>
    </row>
    <row r="1370" spans="1:20" x14ac:dyDescent="0.35">
      <c r="A1370" s="13" t="s">
        <v>5492</v>
      </c>
      <c r="B1370" s="13" t="s">
        <v>138</v>
      </c>
      <c r="C1370" s="13" t="s">
        <v>139</v>
      </c>
      <c r="D1370" s="13" t="s">
        <v>5493</v>
      </c>
      <c r="E1370" s="14">
        <v>46075</v>
      </c>
      <c r="F1370" s="14">
        <v>46104</v>
      </c>
      <c r="G1370" s="15">
        <v>32378.75</v>
      </c>
      <c r="H1370" s="13" t="s">
        <v>5494</v>
      </c>
      <c r="I1370" s="13" t="s">
        <v>5495</v>
      </c>
      <c r="J1370" s="13" t="s">
        <v>143</v>
      </c>
      <c r="K1370" s="13">
        <f t="shared" si="105"/>
        <v>3</v>
      </c>
      <c r="L1370" s="13">
        <f t="shared" si="106"/>
        <v>0</v>
      </c>
      <c r="M1370" s="13">
        <f>IF(AND(L1370=0,COUNTIFS($B$2:$B$1534,B1370,$G$2:$G$1534,G1370,$E$2:$E$1534,"&gt;="&amp;(E1370-Assumptions!$B$5),$E$2:$E$1534,"&lt;="&amp;(E1370+Assumptions!$B$5))&gt;1),1,0)</f>
        <v>0</v>
      </c>
      <c r="N1370" s="13">
        <f>IF(AND(G1370&gt;=Assumptions!$B$4*(1-Assumptions!$B$6),G1370&lt;Assumptions!$B$4),1,0)</f>
        <v>0</v>
      </c>
      <c r="O1370" s="13">
        <f>IF(AND(G1370&gt;=Assumptions!$B$7,MOD(G1370,Assumptions!$B$7)=0),1,0)</f>
        <v>0</v>
      </c>
      <c r="P1370" s="13">
        <f t="shared" si="107"/>
        <v>0</v>
      </c>
      <c r="Q1370" s="13">
        <f t="shared" si="108"/>
        <v>0</v>
      </c>
      <c r="R1370" s="13">
        <f>L1370*Assumptions!$B$11+M1370*Assumptions!$B$12+N1370*Assumptions!$B$13+O1370*Assumptions!$B$14+P1370*Assumptions!$B$15+Q1370*Assumptions!$B$16</f>
        <v>0</v>
      </c>
      <c r="S1370" s="13" t="str">
        <f>IF(R1370&gt;=Assumptions!$B$20,"High",IF(R1370&gt;=Assumptions!$B$21,"Medium",IF(R1370&gt;=1,"Low","Clear")))</f>
        <v>Clear</v>
      </c>
      <c r="T1370" s="13" t="str">
        <f t="shared" si="109"/>
        <v/>
      </c>
    </row>
    <row r="1371" spans="1:20" x14ac:dyDescent="0.35">
      <c r="A1371" s="13" t="s">
        <v>5496</v>
      </c>
      <c r="B1371" s="13" t="s">
        <v>106</v>
      </c>
      <c r="C1371" s="13" t="s">
        <v>107</v>
      </c>
      <c r="D1371" s="13" t="s">
        <v>5497</v>
      </c>
      <c r="E1371" s="14">
        <v>46065</v>
      </c>
      <c r="F1371" s="14">
        <v>46104</v>
      </c>
      <c r="G1371" s="15">
        <v>26266.43</v>
      </c>
      <c r="H1371" s="13" t="s">
        <v>5498</v>
      </c>
      <c r="I1371" s="13" t="s">
        <v>5499</v>
      </c>
      <c r="J1371" s="13" t="s">
        <v>136</v>
      </c>
      <c r="K1371" s="13">
        <f t="shared" si="105"/>
        <v>2</v>
      </c>
      <c r="L1371" s="13">
        <f t="shared" si="106"/>
        <v>0</v>
      </c>
      <c r="M1371" s="13">
        <f>IF(AND(L1371=0,COUNTIFS($B$2:$B$1534,B1371,$G$2:$G$1534,G1371,$E$2:$E$1534,"&gt;="&amp;(E1371-Assumptions!$B$5),$E$2:$E$1534,"&lt;="&amp;(E1371+Assumptions!$B$5))&gt;1),1,0)</f>
        <v>0</v>
      </c>
      <c r="N1371" s="13">
        <f>IF(AND(G1371&gt;=Assumptions!$B$4*(1-Assumptions!$B$6),G1371&lt;Assumptions!$B$4),1,0)</f>
        <v>0</v>
      </c>
      <c r="O1371" s="13">
        <f>IF(AND(G1371&gt;=Assumptions!$B$7,MOD(G1371,Assumptions!$B$7)=0),1,0)</f>
        <v>0</v>
      </c>
      <c r="P1371" s="13">
        <f t="shared" si="107"/>
        <v>0</v>
      </c>
      <c r="Q1371" s="13">
        <f t="shared" si="108"/>
        <v>0</v>
      </c>
      <c r="R1371" s="13">
        <f>L1371*Assumptions!$B$11+M1371*Assumptions!$B$12+N1371*Assumptions!$B$13+O1371*Assumptions!$B$14+P1371*Assumptions!$B$15+Q1371*Assumptions!$B$16</f>
        <v>0</v>
      </c>
      <c r="S1371" s="13" t="str">
        <f>IF(R1371&gt;=Assumptions!$B$20,"High",IF(R1371&gt;=Assumptions!$B$21,"Medium",IF(R1371&gt;=1,"Low","Clear")))</f>
        <v>Clear</v>
      </c>
      <c r="T1371" s="13" t="str">
        <f t="shared" si="109"/>
        <v/>
      </c>
    </row>
    <row r="1372" spans="1:20" x14ac:dyDescent="0.35">
      <c r="A1372" s="13" t="s">
        <v>5500</v>
      </c>
      <c r="B1372" s="13" t="s">
        <v>106</v>
      </c>
      <c r="C1372" s="13" t="s">
        <v>107</v>
      </c>
      <c r="D1372" s="13" t="s">
        <v>5501</v>
      </c>
      <c r="E1372" s="14">
        <v>46080</v>
      </c>
      <c r="F1372" s="14">
        <v>46104</v>
      </c>
      <c r="G1372" s="15">
        <v>238392.63</v>
      </c>
      <c r="H1372" s="13" t="s">
        <v>5502</v>
      </c>
      <c r="I1372" s="13" t="s">
        <v>5503</v>
      </c>
      <c r="J1372" s="13" t="s">
        <v>98</v>
      </c>
      <c r="K1372" s="13">
        <f t="shared" si="105"/>
        <v>2</v>
      </c>
      <c r="L1372" s="13">
        <f t="shared" si="106"/>
        <v>0</v>
      </c>
      <c r="M1372" s="13">
        <f>IF(AND(L1372=0,COUNTIFS($B$2:$B$1534,B1372,$G$2:$G$1534,G1372,$E$2:$E$1534,"&gt;="&amp;(E1372-Assumptions!$B$5),$E$2:$E$1534,"&lt;="&amp;(E1372+Assumptions!$B$5))&gt;1),1,0)</f>
        <v>0</v>
      </c>
      <c r="N1372" s="13">
        <f>IF(AND(G1372&gt;=Assumptions!$B$4*(1-Assumptions!$B$6),G1372&lt;Assumptions!$B$4),1,0)</f>
        <v>0</v>
      </c>
      <c r="O1372" s="13">
        <f>IF(AND(G1372&gt;=Assumptions!$B$7,MOD(G1372,Assumptions!$B$7)=0),1,0)</f>
        <v>0</v>
      </c>
      <c r="P1372" s="13">
        <f t="shared" si="107"/>
        <v>0</v>
      </c>
      <c r="Q1372" s="13">
        <f t="shared" si="108"/>
        <v>0</v>
      </c>
      <c r="R1372" s="13">
        <f>L1372*Assumptions!$B$11+M1372*Assumptions!$B$12+N1372*Assumptions!$B$13+O1372*Assumptions!$B$14+P1372*Assumptions!$B$15+Q1372*Assumptions!$B$16</f>
        <v>0</v>
      </c>
      <c r="S1372" s="13" t="str">
        <f>IF(R1372&gt;=Assumptions!$B$20,"High",IF(R1372&gt;=Assumptions!$B$21,"Medium",IF(R1372&gt;=1,"Low","Clear")))</f>
        <v>Clear</v>
      </c>
      <c r="T1372" s="13" t="str">
        <f t="shared" si="109"/>
        <v/>
      </c>
    </row>
    <row r="1373" spans="1:20" x14ac:dyDescent="0.35">
      <c r="A1373" s="13" t="s">
        <v>5504</v>
      </c>
      <c r="B1373" s="13" t="s">
        <v>125</v>
      </c>
      <c r="C1373" s="13" t="s">
        <v>126</v>
      </c>
      <c r="D1373" s="13" t="s">
        <v>5505</v>
      </c>
      <c r="E1373" s="14">
        <v>46064</v>
      </c>
      <c r="F1373" s="14">
        <v>46104</v>
      </c>
      <c r="G1373" s="15">
        <v>8199.6200000000008</v>
      </c>
      <c r="H1373" s="13" t="s">
        <v>5506</v>
      </c>
      <c r="I1373" s="13" t="s">
        <v>5507</v>
      </c>
      <c r="J1373" s="13" t="s">
        <v>143</v>
      </c>
      <c r="K1373" s="13">
        <f t="shared" si="105"/>
        <v>8</v>
      </c>
      <c r="L1373" s="13">
        <f t="shared" si="106"/>
        <v>0</v>
      </c>
      <c r="M1373" s="13">
        <f>IF(AND(L1373=0,COUNTIFS($B$2:$B$1534,B1373,$G$2:$G$1534,G1373,$E$2:$E$1534,"&gt;="&amp;(E1373-Assumptions!$B$5),$E$2:$E$1534,"&lt;="&amp;(E1373+Assumptions!$B$5))&gt;1),1,0)</f>
        <v>0</v>
      </c>
      <c r="N1373" s="13">
        <f>IF(AND(G1373&gt;=Assumptions!$B$4*(1-Assumptions!$B$6),G1373&lt;Assumptions!$B$4),1,0)</f>
        <v>0</v>
      </c>
      <c r="O1373" s="13">
        <f>IF(AND(G1373&gt;=Assumptions!$B$7,MOD(G1373,Assumptions!$B$7)=0),1,0)</f>
        <v>0</v>
      </c>
      <c r="P1373" s="13">
        <f t="shared" si="107"/>
        <v>0</v>
      </c>
      <c r="Q1373" s="13">
        <f t="shared" si="108"/>
        <v>0</v>
      </c>
      <c r="R1373" s="13">
        <f>L1373*Assumptions!$B$11+M1373*Assumptions!$B$12+N1373*Assumptions!$B$13+O1373*Assumptions!$B$14+P1373*Assumptions!$B$15+Q1373*Assumptions!$B$16</f>
        <v>0</v>
      </c>
      <c r="S1373" s="13" t="str">
        <f>IF(R1373&gt;=Assumptions!$B$20,"High",IF(R1373&gt;=Assumptions!$B$21,"Medium",IF(R1373&gt;=1,"Low","Clear")))</f>
        <v>Clear</v>
      </c>
      <c r="T1373" s="13" t="str">
        <f t="shared" si="109"/>
        <v/>
      </c>
    </row>
    <row r="1374" spans="1:20" x14ac:dyDescent="0.35">
      <c r="A1374" s="13" t="s">
        <v>5508</v>
      </c>
      <c r="B1374" s="13" t="s">
        <v>293</v>
      </c>
      <c r="C1374" s="13" t="s">
        <v>294</v>
      </c>
      <c r="D1374" s="13" t="s">
        <v>5509</v>
      </c>
      <c r="E1374" s="14">
        <v>46079</v>
      </c>
      <c r="F1374" s="14">
        <v>46105</v>
      </c>
      <c r="G1374" s="15">
        <v>7216.6</v>
      </c>
      <c r="H1374" s="13" t="s">
        <v>5510</v>
      </c>
      <c r="I1374" s="13" t="s">
        <v>5511</v>
      </c>
      <c r="J1374" s="13" t="s">
        <v>170</v>
      </c>
      <c r="K1374" s="13">
        <f t="shared" si="105"/>
        <v>7</v>
      </c>
      <c r="L1374" s="13">
        <f t="shared" si="106"/>
        <v>0</v>
      </c>
      <c r="M1374" s="13">
        <f>IF(AND(L1374=0,COUNTIFS($B$2:$B$1534,B1374,$G$2:$G$1534,G1374,$E$2:$E$1534,"&gt;="&amp;(E1374-Assumptions!$B$5),$E$2:$E$1534,"&lt;="&amp;(E1374+Assumptions!$B$5))&gt;1),1,0)</f>
        <v>0</v>
      </c>
      <c r="N1374" s="13">
        <f>IF(AND(G1374&gt;=Assumptions!$B$4*(1-Assumptions!$B$6),G1374&lt;Assumptions!$B$4),1,0)</f>
        <v>0</v>
      </c>
      <c r="O1374" s="13">
        <f>IF(AND(G1374&gt;=Assumptions!$B$7,MOD(G1374,Assumptions!$B$7)=0),1,0)</f>
        <v>0</v>
      </c>
      <c r="P1374" s="13">
        <f t="shared" si="107"/>
        <v>0</v>
      </c>
      <c r="Q1374" s="13">
        <f t="shared" si="108"/>
        <v>0</v>
      </c>
      <c r="R1374" s="13">
        <f>L1374*Assumptions!$B$11+M1374*Assumptions!$B$12+N1374*Assumptions!$B$13+O1374*Assumptions!$B$14+P1374*Assumptions!$B$15+Q1374*Assumptions!$B$16</f>
        <v>0</v>
      </c>
      <c r="S1374" s="13" t="str">
        <f>IF(R1374&gt;=Assumptions!$B$20,"High",IF(R1374&gt;=Assumptions!$B$21,"Medium",IF(R1374&gt;=1,"Low","Clear")))</f>
        <v>Clear</v>
      </c>
      <c r="T1374" s="13" t="str">
        <f t="shared" si="109"/>
        <v/>
      </c>
    </row>
    <row r="1375" spans="1:20" x14ac:dyDescent="0.35">
      <c r="A1375" s="13" t="s">
        <v>5512</v>
      </c>
      <c r="B1375" s="13" t="s">
        <v>409</v>
      </c>
      <c r="C1375" s="13" t="s">
        <v>410</v>
      </c>
      <c r="D1375" s="13" t="s">
        <v>5513</v>
      </c>
      <c r="E1375" s="14">
        <v>46071</v>
      </c>
      <c r="F1375" s="14">
        <v>46105</v>
      </c>
      <c r="G1375" s="15">
        <v>160683.97</v>
      </c>
      <c r="H1375" s="13" t="s">
        <v>5514</v>
      </c>
      <c r="I1375" s="13" t="s">
        <v>5515</v>
      </c>
      <c r="J1375" s="13" t="s">
        <v>143</v>
      </c>
      <c r="K1375" s="13">
        <f t="shared" si="105"/>
        <v>1</v>
      </c>
      <c r="L1375" s="13">
        <f t="shared" si="106"/>
        <v>0</v>
      </c>
      <c r="M1375" s="13">
        <f>IF(AND(L1375=0,COUNTIFS($B$2:$B$1534,B1375,$G$2:$G$1534,G1375,$E$2:$E$1534,"&gt;="&amp;(E1375-Assumptions!$B$5),$E$2:$E$1534,"&lt;="&amp;(E1375+Assumptions!$B$5))&gt;1),1,0)</f>
        <v>0</v>
      </c>
      <c r="N1375" s="13">
        <f>IF(AND(G1375&gt;=Assumptions!$B$4*(1-Assumptions!$B$6),G1375&lt;Assumptions!$B$4),1,0)</f>
        <v>0</v>
      </c>
      <c r="O1375" s="13">
        <f>IF(AND(G1375&gt;=Assumptions!$B$7,MOD(G1375,Assumptions!$B$7)=0),1,0)</f>
        <v>0</v>
      </c>
      <c r="P1375" s="13">
        <f t="shared" si="107"/>
        <v>0</v>
      </c>
      <c r="Q1375" s="13">
        <f t="shared" si="108"/>
        <v>0</v>
      </c>
      <c r="R1375" s="13">
        <f>L1375*Assumptions!$B$11+M1375*Assumptions!$B$12+N1375*Assumptions!$B$13+O1375*Assumptions!$B$14+P1375*Assumptions!$B$15+Q1375*Assumptions!$B$16</f>
        <v>0</v>
      </c>
      <c r="S1375" s="13" t="str">
        <f>IF(R1375&gt;=Assumptions!$B$20,"High",IF(R1375&gt;=Assumptions!$B$21,"Medium",IF(R1375&gt;=1,"Low","Clear")))</f>
        <v>Clear</v>
      </c>
      <c r="T1375" s="13" t="str">
        <f t="shared" si="109"/>
        <v/>
      </c>
    </row>
    <row r="1376" spans="1:20" x14ac:dyDescent="0.35">
      <c r="A1376" s="13" t="s">
        <v>5516</v>
      </c>
      <c r="B1376" s="13" t="s">
        <v>234</v>
      </c>
      <c r="C1376" s="13" t="s">
        <v>235</v>
      </c>
      <c r="D1376" s="13" t="s">
        <v>5517</v>
      </c>
      <c r="E1376" s="14">
        <v>46069</v>
      </c>
      <c r="F1376" s="14">
        <v>46105</v>
      </c>
      <c r="G1376" s="15">
        <v>11572.31</v>
      </c>
      <c r="H1376" s="13" t="s">
        <v>5518</v>
      </c>
      <c r="I1376" s="13" t="s">
        <v>5519</v>
      </c>
      <c r="J1376" s="13" t="s">
        <v>111</v>
      </c>
      <c r="K1376" s="13">
        <f t="shared" si="105"/>
        <v>1</v>
      </c>
      <c r="L1376" s="13">
        <f t="shared" si="106"/>
        <v>0</v>
      </c>
      <c r="M1376" s="13">
        <f>IF(AND(L1376=0,COUNTIFS($B$2:$B$1534,B1376,$G$2:$G$1534,G1376,$E$2:$E$1534,"&gt;="&amp;(E1376-Assumptions!$B$5),$E$2:$E$1534,"&lt;="&amp;(E1376+Assumptions!$B$5))&gt;1),1,0)</f>
        <v>0</v>
      </c>
      <c r="N1376" s="13">
        <f>IF(AND(G1376&gt;=Assumptions!$B$4*(1-Assumptions!$B$6),G1376&lt;Assumptions!$B$4),1,0)</f>
        <v>0</v>
      </c>
      <c r="O1376" s="13">
        <f>IF(AND(G1376&gt;=Assumptions!$B$7,MOD(G1376,Assumptions!$B$7)=0),1,0)</f>
        <v>0</v>
      </c>
      <c r="P1376" s="13">
        <f t="shared" si="107"/>
        <v>0</v>
      </c>
      <c r="Q1376" s="13">
        <f t="shared" si="108"/>
        <v>0</v>
      </c>
      <c r="R1376" s="13">
        <f>L1376*Assumptions!$B$11+M1376*Assumptions!$B$12+N1376*Assumptions!$B$13+O1376*Assumptions!$B$14+P1376*Assumptions!$B$15+Q1376*Assumptions!$B$16</f>
        <v>0</v>
      </c>
      <c r="S1376" s="13" t="str">
        <f>IF(R1376&gt;=Assumptions!$B$20,"High",IF(R1376&gt;=Assumptions!$B$21,"Medium",IF(R1376&gt;=1,"Low","Clear")))</f>
        <v>Clear</v>
      </c>
      <c r="T1376" s="13" t="str">
        <f t="shared" si="109"/>
        <v/>
      </c>
    </row>
    <row r="1377" spans="1:20" x14ac:dyDescent="0.35">
      <c r="A1377" s="13" t="s">
        <v>5520</v>
      </c>
      <c r="B1377" s="13" t="s">
        <v>466</v>
      </c>
      <c r="C1377" s="13" t="s">
        <v>467</v>
      </c>
      <c r="D1377" s="13" t="s">
        <v>5521</v>
      </c>
      <c r="E1377" s="14">
        <v>46069</v>
      </c>
      <c r="F1377" s="14">
        <v>46105</v>
      </c>
      <c r="G1377" s="15">
        <v>200138.21</v>
      </c>
      <c r="H1377" s="13" t="s">
        <v>2019</v>
      </c>
      <c r="I1377" s="13" t="s">
        <v>2020</v>
      </c>
      <c r="J1377" s="13" t="s">
        <v>111</v>
      </c>
      <c r="K1377" s="13">
        <f t="shared" si="105"/>
        <v>2</v>
      </c>
      <c r="L1377" s="13">
        <f t="shared" si="106"/>
        <v>0</v>
      </c>
      <c r="M1377" s="13">
        <f>IF(AND(L1377=0,COUNTIFS($B$2:$B$1534,B1377,$G$2:$G$1534,G1377,$E$2:$E$1534,"&gt;="&amp;(E1377-Assumptions!$B$5),$E$2:$E$1534,"&lt;="&amp;(E1377+Assumptions!$B$5))&gt;1),1,0)</f>
        <v>0</v>
      </c>
      <c r="N1377" s="13">
        <f>IF(AND(G1377&gt;=Assumptions!$B$4*(1-Assumptions!$B$6),G1377&lt;Assumptions!$B$4),1,0)</f>
        <v>0</v>
      </c>
      <c r="O1377" s="13">
        <f>IF(AND(G1377&gt;=Assumptions!$B$7,MOD(G1377,Assumptions!$B$7)=0),1,0)</f>
        <v>0</v>
      </c>
      <c r="P1377" s="13">
        <f t="shared" si="107"/>
        <v>0</v>
      </c>
      <c r="Q1377" s="13">
        <f t="shared" si="108"/>
        <v>0</v>
      </c>
      <c r="R1377" s="13">
        <f>L1377*Assumptions!$B$11+M1377*Assumptions!$B$12+N1377*Assumptions!$B$13+O1377*Assumptions!$B$14+P1377*Assumptions!$B$15+Q1377*Assumptions!$B$16</f>
        <v>0</v>
      </c>
      <c r="S1377" s="13" t="str">
        <f>IF(R1377&gt;=Assumptions!$B$20,"High",IF(R1377&gt;=Assumptions!$B$21,"Medium",IF(R1377&gt;=1,"Low","Clear")))</f>
        <v>Clear</v>
      </c>
      <c r="T1377" s="13" t="str">
        <f t="shared" si="109"/>
        <v/>
      </c>
    </row>
    <row r="1378" spans="1:20" x14ac:dyDescent="0.35">
      <c r="A1378" s="13" t="s">
        <v>5522</v>
      </c>
      <c r="B1378" s="13" t="s">
        <v>466</v>
      </c>
      <c r="C1378" s="13" t="s">
        <v>467</v>
      </c>
      <c r="D1378" s="13" t="s">
        <v>5523</v>
      </c>
      <c r="E1378" s="14">
        <v>46079</v>
      </c>
      <c r="F1378" s="14">
        <v>46105</v>
      </c>
      <c r="G1378" s="15">
        <v>3387.31</v>
      </c>
      <c r="H1378" s="13" t="s">
        <v>5524</v>
      </c>
      <c r="I1378" s="13" t="s">
        <v>5525</v>
      </c>
      <c r="J1378" s="13" t="s">
        <v>136</v>
      </c>
      <c r="K1378" s="13">
        <f t="shared" si="105"/>
        <v>3</v>
      </c>
      <c r="L1378" s="13">
        <f t="shared" si="106"/>
        <v>0</v>
      </c>
      <c r="M1378" s="13">
        <f>IF(AND(L1378=0,COUNTIFS($B$2:$B$1534,B1378,$G$2:$G$1534,G1378,$E$2:$E$1534,"&gt;="&amp;(E1378-Assumptions!$B$5),$E$2:$E$1534,"&lt;="&amp;(E1378+Assumptions!$B$5))&gt;1),1,0)</f>
        <v>0</v>
      </c>
      <c r="N1378" s="13">
        <f>IF(AND(G1378&gt;=Assumptions!$B$4*(1-Assumptions!$B$6),G1378&lt;Assumptions!$B$4),1,0)</f>
        <v>0</v>
      </c>
      <c r="O1378" s="13">
        <f>IF(AND(G1378&gt;=Assumptions!$B$7,MOD(G1378,Assumptions!$B$7)=0),1,0)</f>
        <v>0</v>
      </c>
      <c r="P1378" s="13">
        <f t="shared" si="107"/>
        <v>0</v>
      </c>
      <c r="Q1378" s="13">
        <f t="shared" si="108"/>
        <v>0</v>
      </c>
      <c r="R1378" s="13">
        <f>L1378*Assumptions!$B$11+M1378*Assumptions!$B$12+N1378*Assumptions!$B$13+O1378*Assumptions!$B$14+P1378*Assumptions!$B$15+Q1378*Assumptions!$B$16</f>
        <v>0</v>
      </c>
      <c r="S1378" s="13" t="str">
        <f>IF(R1378&gt;=Assumptions!$B$20,"High",IF(R1378&gt;=Assumptions!$B$21,"Medium",IF(R1378&gt;=1,"Low","Clear")))</f>
        <v>Clear</v>
      </c>
      <c r="T1378" s="13" t="str">
        <f t="shared" si="109"/>
        <v/>
      </c>
    </row>
    <row r="1379" spans="1:20" x14ac:dyDescent="0.35">
      <c r="A1379" s="13" t="s">
        <v>5526</v>
      </c>
      <c r="B1379" s="13" t="s">
        <v>323</v>
      </c>
      <c r="C1379" s="13" t="s">
        <v>324</v>
      </c>
      <c r="D1379" s="13" t="s">
        <v>5527</v>
      </c>
      <c r="E1379" s="14">
        <v>46072</v>
      </c>
      <c r="F1379" s="14">
        <v>46105</v>
      </c>
      <c r="G1379" s="15">
        <v>300929.61</v>
      </c>
      <c r="H1379" s="13" t="s">
        <v>5528</v>
      </c>
      <c r="I1379" s="13" t="s">
        <v>5529</v>
      </c>
      <c r="J1379" s="13" t="s">
        <v>143</v>
      </c>
      <c r="K1379" s="13">
        <f t="shared" si="105"/>
        <v>3</v>
      </c>
      <c r="L1379" s="13">
        <f t="shared" si="106"/>
        <v>0</v>
      </c>
      <c r="M1379" s="13">
        <f>IF(AND(L1379=0,COUNTIFS($B$2:$B$1534,B1379,$G$2:$G$1534,G1379,$E$2:$E$1534,"&gt;="&amp;(E1379-Assumptions!$B$5),$E$2:$E$1534,"&lt;="&amp;(E1379+Assumptions!$B$5))&gt;1),1,0)</f>
        <v>0</v>
      </c>
      <c r="N1379" s="13">
        <f>IF(AND(G1379&gt;=Assumptions!$B$4*(1-Assumptions!$B$6),G1379&lt;Assumptions!$B$4),1,0)</f>
        <v>0</v>
      </c>
      <c r="O1379" s="13">
        <f>IF(AND(G1379&gt;=Assumptions!$B$7,MOD(G1379,Assumptions!$B$7)=0),1,0)</f>
        <v>0</v>
      </c>
      <c r="P1379" s="13">
        <f t="shared" si="107"/>
        <v>0</v>
      </c>
      <c r="Q1379" s="13">
        <f t="shared" si="108"/>
        <v>0</v>
      </c>
      <c r="R1379" s="13">
        <f>L1379*Assumptions!$B$11+M1379*Assumptions!$B$12+N1379*Assumptions!$B$13+O1379*Assumptions!$B$14+P1379*Assumptions!$B$15+Q1379*Assumptions!$B$16</f>
        <v>0</v>
      </c>
      <c r="S1379" s="13" t="str">
        <f>IF(R1379&gt;=Assumptions!$B$20,"High",IF(R1379&gt;=Assumptions!$B$21,"Medium",IF(R1379&gt;=1,"Low","Clear")))</f>
        <v>Clear</v>
      </c>
      <c r="T1379" s="13" t="str">
        <f t="shared" si="109"/>
        <v/>
      </c>
    </row>
    <row r="1380" spans="1:20" x14ac:dyDescent="0.35">
      <c r="A1380" s="13" t="s">
        <v>5530</v>
      </c>
      <c r="B1380" s="13" t="s">
        <v>438</v>
      </c>
      <c r="C1380" s="13" t="s">
        <v>439</v>
      </c>
      <c r="D1380" s="13" t="s">
        <v>5531</v>
      </c>
      <c r="E1380" s="14">
        <v>46074</v>
      </c>
      <c r="F1380" s="14">
        <v>46105</v>
      </c>
      <c r="G1380" s="15">
        <v>738840.97</v>
      </c>
      <c r="H1380" s="13" t="s">
        <v>1077</v>
      </c>
      <c r="I1380" s="13" t="s">
        <v>1078</v>
      </c>
      <c r="J1380" s="13" t="s">
        <v>136</v>
      </c>
      <c r="K1380" s="13">
        <f t="shared" si="105"/>
        <v>7</v>
      </c>
      <c r="L1380" s="13">
        <f t="shared" si="106"/>
        <v>0</v>
      </c>
      <c r="M1380" s="13">
        <f>IF(AND(L1380=0,COUNTIFS($B$2:$B$1534,B1380,$G$2:$G$1534,G1380,$E$2:$E$1534,"&gt;="&amp;(E1380-Assumptions!$B$5),$E$2:$E$1534,"&lt;="&amp;(E1380+Assumptions!$B$5))&gt;1),1,0)</f>
        <v>0</v>
      </c>
      <c r="N1380" s="13">
        <f>IF(AND(G1380&gt;=Assumptions!$B$4*(1-Assumptions!$B$6),G1380&lt;Assumptions!$B$4),1,0)</f>
        <v>0</v>
      </c>
      <c r="O1380" s="13">
        <f>IF(AND(G1380&gt;=Assumptions!$B$7,MOD(G1380,Assumptions!$B$7)=0),1,0)</f>
        <v>0</v>
      </c>
      <c r="P1380" s="13">
        <f t="shared" si="107"/>
        <v>0</v>
      </c>
      <c r="Q1380" s="13">
        <f t="shared" si="108"/>
        <v>0</v>
      </c>
      <c r="R1380" s="13">
        <f>L1380*Assumptions!$B$11+M1380*Assumptions!$B$12+N1380*Assumptions!$B$13+O1380*Assumptions!$B$14+P1380*Assumptions!$B$15+Q1380*Assumptions!$B$16</f>
        <v>0</v>
      </c>
      <c r="S1380" s="13" t="str">
        <f>IF(R1380&gt;=Assumptions!$B$20,"High",IF(R1380&gt;=Assumptions!$B$21,"Medium",IF(R1380&gt;=1,"Low","Clear")))</f>
        <v>Clear</v>
      </c>
      <c r="T1380" s="13" t="str">
        <f t="shared" si="109"/>
        <v/>
      </c>
    </row>
    <row r="1381" spans="1:20" x14ac:dyDescent="0.35">
      <c r="A1381" s="13" t="s">
        <v>5532</v>
      </c>
      <c r="B1381" s="13" t="s">
        <v>125</v>
      </c>
      <c r="C1381" s="13" t="s">
        <v>126</v>
      </c>
      <c r="D1381" s="13" t="s">
        <v>5533</v>
      </c>
      <c r="E1381" s="14">
        <v>46076</v>
      </c>
      <c r="F1381" s="14">
        <v>46105</v>
      </c>
      <c r="G1381" s="15">
        <v>1294.54</v>
      </c>
      <c r="H1381" s="13"/>
      <c r="I1381" s="13"/>
      <c r="J1381" s="13" t="s">
        <v>111</v>
      </c>
      <c r="K1381" s="13">
        <f t="shared" si="105"/>
        <v>1</v>
      </c>
      <c r="L1381" s="13">
        <f t="shared" si="106"/>
        <v>0</v>
      </c>
      <c r="M1381" s="13">
        <f>IF(AND(L1381=0,COUNTIFS($B$2:$B$1534,B1381,$G$2:$G$1534,G1381,$E$2:$E$1534,"&gt;="&amp;(E1381-Assumptions!$B$5),$E$2:$E$1534,"&lt;="&amp;(E1381+Assumptions!$B$5))&gt;1),1,0)</f>
        <v>0</v>
      </c>
      <c r="N1381" s="13">
        <f>IF(AND(G1381&gt;=Assumptions!$B$4*(1-Assumptions!$B$6),G1381&lt;Assumptions!$B$4),1,0)</f>
        <v>0</v>
      </c>
      <c r="O1381" s="13">
        <f>IF(AND(G1381&gt;=Assumptions!$B$7,MOD(G1381,Assumptions!$B$7)=0),1,0)</f>
        <v>0</v>
      </c>
      <c r="P1381" s="13">
        <f t="shared" si="107"/>
        <v>1</v>
      </c>
      <c r="Q1381" s="13">
        <f t="shared" si="108"/>
        <v>0</v>
      </c>
      <c r="R1381" s="13">
        <f>L1381*Assumptions!$B$11+M1381*Assumptions!$B$12+N1381*Assumptions!$B$13+O1381*Assumptions!$B$14+P1381*Assumptions!$B$15+Q1381*Assumptions!$B$16</f>
        <v>4</v>
      </c>
      <c r="S1381" s="13" t="str">
        <f>IF(R1381&gt;=Assumptions!$B$20,"High",IF(R1381&gt;=Assumptions!$B$21,"Medium",IF(R1381&gt;=1,"Low","Clear")))</f>
        <v>Medium</v>
      </c>
      <c r="T1381" s="13" t="str">
        <f t="shared" si="109"/>
        <v xml:space="preserve">No PO/GRN; </v>
      </c>
    </row>
    <row r="1382" spans="1:20" x14ac:dyDescent="0.35">
      <c r="A1382" s="13" t="s">
        <v>5534</v>
      </c>
      <c r="B1382" s="13" t="s">
        <v>279</v>
      </c>
      <c r="C1382" s="13" t="s">
        <v>280</v>
      </c>
      <c r="D1382" s="13" t="s">
        <v>5535</v>
      </c>
      <c r="E1382" s="14">
        <v>46079</v>
      </c>
      <c r="F1382" s="14">
        <v>46106</v>
      </c>
      <c r="G1382" s="15">
        <v>107915.97</v>
      </c>
      <c r="H1382" s="13" t="s">
        <v>5536</v>
      </c>
      <c r="I1382" s="13" t="s">
        <v>5537</v>
      </c>
      <c r="J1382" s="13" t="s">
        <v>98</v>
      </c>
      <c r="K1382" s="13">
        <f t="shared" si="105"/>
        <v>1</v>
      </c>
      <c r="L1382" s="13">
        <f t="shared" si="106"/>
        <v>0</v>
      </c>
      <c r="M1382" s="13">
        <f>IF(AND(L1382=0,COUNTIFS($B$2:$B$1534,B1382,$G$2:$G$1534,G1382,$E$2:$E$1534,"&gt;="&amp;(E1382-Assumptions!$B$5),$E$2:$E$1534,"&lt;="&amp;(E1382+Assumptions!$B$5))&gt;1),1,0)</f>
        <v>0</v>
      </c>
      <c r="N1382" s="13">
        <f>IF(AND(G1382&gt;=Assumptions!$B$4*(1-Assumptions!$B$6),G1382&lt;Assumptions!$B$4),1,0)</f>
        <v>0</v>
      </c>
      <c r="O1382" s="13">
        <f>IF(AND(G1382&gt;=Assumptions!$B$7,MOD(G1382,Assumptions!$B$7)=0),1,0)</f>
        <v>0</v>
      </c>
      <c r="P1382" s="13">
        <f t="shared" si="107"/>
        <v>0</v>
      </c>
      <c r="Q1382" s="13">
        <f t="shared" si="108"/>
        <v>0</v>
      </c>
      <c r="R1382" s="13">
        <f>L1382*Assumptions!$B$11+M1382*Assumptions!$B$12+N1382*Assumptions!$B$13+O1382*Assumptions!$B$14+P1382*Assumptions!$B$15+Q1382*Assumptions!$B$16</f>
        <v>0</v>
      </c>
      <c r="S1382" s="13" t="str">
        <f>IF(R1382&gt;=Assumptions!$B$20,"High",IF(R1382&gt;=Assumptions!$B$21,"Medium",IF(R1382&gt;=1,"Low","Clear")))</f>
        <v>Clear</v>
      </c>
      <c r="T1382" s="13" t="str">
        <f t="shared" si="109"/>
        <v/>
      </c>
    </row>
    <row r="1383" spans="1:20" x14ac:dyDescent="0.35">
      <c r="A1383" s="13" t="s">
        <v>5538</v>
      </c>
      <c r="B1383" s="13" t="s">
        <v>131</v>
      </c>
      <c r="C1383" s="13" t="s">
        <v>132</v>
      </c>
      <c r="D1383" s="13" t="s">
        <v>5539</v>
      </c>
      <c r="E1383" s="14">
        <v>46069</v>
      </c>
      <c r="F1383" s="14">
        <v>46106</v>
      </c>
      <c r="G1383" s="15">
        <v>7510.5</v>
      </c>
      <c r="H1383" s="13" t="s">
        <v>5540</v>
      </c>
      <c r="I1383" s="13" t="s">
        <v>5541</v>
      </c>
      <c r="J1383" s="13" t="s">
        <v>98</v>
      </c>
      <c r="K1383" s="13">
        <f t="shared" si="105"/>
        <v>7</v>
      </c>
      <c r="L1383" s="13">
        <f t="shared" si="106"/>
        <v>0</v>
      </c>
      <c r="M1383" s="13">
        <f>IF(AND(L1383=0,COUNTIFS($B$2:$B$1534,B1383,$G$2:$G$1534,G1383,$E$2:$E$1534,"&gt;="&amp;(E1383-Assumptions!$B$5),$E$2:$E$1534,"&lt;="&amp;(E1383+Assumptions!$B$5))&gt;1),1,0)</f>
        <v>0</v>
      </c>
      <c r="N1383" s="13">
        <f>IF(AND(G1383&gt;=Assumptions!$B$4*(1-Assumptions!$B$6),G1383&lt;Assumptions!$B$4),1,0)</f>
        <v>0</v>
      </c>
      <c r="O1383" s="13">
        <f>IF(AND(G1383&gt;=Assumptions!$B$7,MOD(G1383,Assumptions!$B$7)=0),1,0)</f>
        <v>0</v>
      </c>
      <c r="P1383" s="13">
        <f t="shared" si="107"/>
        <v>0</v>
      </c>
      <c r="Q1383" s="13">
        <f t="shared" si="108"/>
        <v>0</v>
      </c>
      <c r="R1383" s="13">
        <f>L1383*Assumptions!$B$11+M1383*Assumptions!$B$12+N1383*Assumptions!$B$13+O1383*Assumptions!$B$14+P1383*Assumptions!$B$15+Q1383*Assumptions!$B$16</f>
        <v>0</v>
      </c>
      <c r="S1383" s="13" t="str">
        <f>IF(R1383&gt;=Assumptions!$B$20,"High",IF(R1383&gt;=Assumptions!$B$21,"Medium",IF(R1383&gt;=1,"Low","Clear")))</f>
        <v>Clear</v>
      </c>
      <c r="T1383" s="13" t="str">
        <f t="shared" si="109"/>
        <v/>
      </c>
    </row>
    <row r="1384" spans="1:20" x14ac:dyDescent="0.35">
      <c r="A1384" s="13" t="s">
        <v>5542</v>
      </c>
      <c r="B1384" s="13" t="s">
        <v>182</v>
      </c>
      <c r="C1384" s="13" t="s">
        <v>183</v>
      </c>
      <c r="D1384" s="13" t="s">
        <v>5543</v>
      </c>
      <c r="E1384" s="14">
        <v>46071</v>
      </c>
      <c r="F1384" s="14">
        <v>46107</v>
      </c>
      <c r="G1384" s="15">
        <v>53105.85</v>
      </c>
      <c r="H1384" s="13" t="s">
        <v>5544</v>
      </c>
      <c r="I1384" s="13" t="s">
        <v>5545</v>
      </c>
      <c r="J1384" s="13" t="s">
        <v>170</v>
      </c>
      <c r="K1384" s="13">
        <f t="shared" si="105"/>
        <v>5</v>
      </c>
      <c r="L1384" s="13">
        <f t="shared" si="106"/>
        <v>0</v>
      </c>
      <c r="M1384" s="13">
        <f>IF(AND(L1384=0,COUNTIFS($B$2:$B$1534,B1384,$G$2:$G$1534,G1384,$E$2:$E$1534,"&gt;="&amp;(E1384-Assumptions!$B$5),$E$2:$E$1534,"&lt;="&amp;(E1384+Assumptions!$B$5))&gt;1),1,0)</f>
        <v>0</v>
      </c>
      <c r="N1384" s="13">
        <f>IF(AND(G1384&gt;=Assumptions!$B$4*(1-Assumptions!$B$6),G1384&lt;Assumptions!$B$4),1,0)</f>
        <v>0</v>
      </c>
      <c r="O1384" s="13">
        <f>IF(AND(G1384&gt;=Assumptions!$B$7,MOD(G1384,Assumptions!$B$7)=0),1,0)</f>
        <v>0</v>
      </c>
      <c r="P1384" s="13">
        <f t="shared" si="107"/>
        <v>0</v>
      </c>
      <c r="Q1384" s="13">
        <f t="shared" si="108"/>
        <v>0</v>
      </c>
      <c r="R1384" s="13">
        <f>L1384*Assumptions!$B$11+M1384*Assumptions!$B$12+N1384*Assumptions!$B$13+O1384*Assumptions!$B$14+P1384*Assumptions!$B$15+Q1384*Assumptions!$B$16</f>
        <v>0</v>
      </c>
      <c r="S1384" s="13" t="str">
        <f>IF(R1384&gt;=Assumptions!$B$20,"High",IF(R1384&gt;=Assumptions!$B$21,"Medium",IF(R1384&gt;=1,"Low","Clear")))</f>
        <v>Clear</v>
      </c>
      <c r="T1384" s="13" t="str">
        <f t="shared" si="109"/>
        <v/>
      </c>
    </row>
    <row r="1385" spans="1:20" x14ac:dyDescent="0.35">
      <c r="A1385" s="13" t="s">
        <v>5546</v>
      </c>
      <c r="B1385" s="13" t="s">
        <v>188</v>
      </c>
      <c r="C1385" s="13" t="s">
        <v>189</v>
      </c>
      <c r="D1385" s="13" t="s">
        <v>5547</v>
      </c>
      <c r="E1385" s="14">
        <v>46071</v>
      </c>
      <c r="F1385" s="14">
        <v>46107</v>
      </c>
      <c r="G1385" s="15">
        <v>827910.6</v>
      </c>
      <c r="H1385" s="13" t="s">
        <v>5548</v>
      </c>
      <c r="I1385" s="13" t="s">
        <v>5549</v>
      </c>
      <c r="J1385" s="13" t="s">
        <v>136</v>
      </c>
      <c r="K1385" s="13">
        <f t="shared" si="105"/>
        <v>8</v>
      </c>
      <c r="L1385" s="13">
        <f t="shared" si="106"/>
        <v>0</v>
      </c>
      <c r="M1385" s="13">
        <f>IF(AND(L1385=0,COUNTIFS($B$2:$B$1534,B1385,$G$2:$G$1534,G1385,$E$2:$E$1534,"&gt;="&amp;(E1385-Assumptions!$B$5),$E$2:$E$1534,"&lt;="&amp;(E1385+Assumptions!$B$5))&gt;1),1,0)</f>
        <v>0</v>
      </c>
      <c r="N1385" s="13">
        <f>IF(AND(G1385&gt;=Assumptions!$B$4*(1-Assumptions!$B$6),G1385&lt;Assumptions!$B$4),1,0)</f>
        <v>0</v>
      </c>
      <c r="O1385" s="13">
        <f>IF(AND(G1385&gt;=Assumptions!$B$7,MOD(G1385,Assumptions!$B$7)=0),1,0)</f>
        <v>0</v>
      </c>
      <c r="P1385" s="13">
        <f t="shared" si="107"/>
        <v>0</v>
      </c>
      <c r="Q1385" s="13">
        <f t="shared" si="108"/>
        <v>0</v>
      </c>
      <c r="R1385" s="13">
        <f>L1385*Assumptions!$B$11+M1385*Assumptions!$B$12+N1385*Assumptions!$B$13+O1385*Assumptions!$B$14+P1385*Assumptions!$B$15+Q1385*Assumptions!$B$16</f>
        <v>0</v>
      </c>
      <c r="S1385" s="13" t="str">
        <f>IF(R1385&gt;=Assumptions!$B$20,"High",IF(R1385&gt;=Assumptions!$B$21,"Medium",IF(R1385&gt;=1,"Low","Clear")))</f>
        <v>Clear</v>
      </c>
      <c r="T1385" s="13" t="str">
        <f t="shared" si="109"/>
        <v/>
      </c>
    </row>
    <row r="1386" spans="1:20" x14ac:dyDescent="0.35">
      <c r="A1386" s="13" t="s">
        <v>5550</v>
      </c>
      <c r="B1386" s="13" t="s">
        <v>252</v>
      </c>
      <c r="C1386" s="13" t="s">
        <v>253</v>
      </c>
      <c r="D1386" s="13" t="s">
        <v>5551</v>
      </c>
      <c r="E1386" s="14">
        <v>46080</v>
      </c>
      <c r="F1386" s="14">
        <v>46107</v>
      </c>
      <c r="G1386" s="15">
        <v>20293.900000000001</v>
      </c>
      <c r="H1386" s="13" t="s">
        <v>5552</v>
      </c>
      <c r="I1386" s="13" t="s">
        <v>5553</v>
      </c>
      <c r="J1386" s="13" t="s">
        <v>143</v>
      </c>
      <c r="K1386" s="13">
        <f t="shared" si="105"/>
        <v>2</v>
      </c>
      <c r="L1386" s="13">
        <f t="shared" si="106"/>
        <v>0</v>
      </c>
      <c r="M1386" s="13">
        <f>IF(AND(L1386=0,COUNTIFS($B$2:$B$1534,B1386,$G$2:$G$1534,G1386,$E$2:$E$1534,"&gt;="&amp;(E1386-Assumptions!$B$5),$E$2:$E$1534,"&lt;="&amp;(E1386+Assumptions!$B$5))&gt;1),1,0)</f>
        <v>0</v>
      </c>
      <c r="N1386" s="13">
        <f>IF(AND(G1386&gt;=Assumptions!$B$4*(1-Assumptions!$B$6),G1386&lt;Assumptions!$B$4),1,0)</f>
        <v>0</v>
      </c>
      <c r="O1386" s="13">
        <f>IF(AND(G1386&gt;=Assumptions!$B$7,MOD(G1386,Assumptions!$B$7)=0),1,0)</f>
        <v>0</v>
      </c>
      <c r="P1386" s="13">
        <f t="shared" si="107"/>
        <v>0</v>
      </c>
      <c r="Q1386" s="13">
        <f t="shared" si="108"/>
        <v>0</v>
      </c>
      <c r="R1386" s="13">
        <f>L1386*Assumptions!$B$11+M1386*Assumptions!$B$12+N1386*Assumptions!$B$13+O1386*Assumptions!$B$14+P1386*Assumptions!$B$15+Q1386*Assumptions!$B$16</f>
        <v>0</v>
      </c>
      <c r="S1386" s="13" t="str">
        <f>IF(R1386&gt;=Assumptions!$B$20,"High",IF(R1386&gt;=Assumptions!$B$21,"Medium",IF(R1386&gt;=1,"Low","Clear")))</f>
        <v>Clear</v>
      </c>
      <c r="T1386" s="13" t="str">
        <f t="shared" si="109"/>
        <v/>
      </c>
    </row>
    <row r="1387" spans="1:20" x14ac:dyDescent="0.35">
      <c r="A1387" s="13" t="s">
        <v>5554</v>
      </c>
      <c r="B1387" s="13" t="s">
        <v>466</v>
      </c>
      <c r="C1387" s="13" t="s">
        <v>467</v>
      </c>
      <c r="D1387" s="13" t="s">
        <v>5555</v>
      </c>
      <c r="E1387" s="14">
        <v>46081</v>
      </c>
      <c r="F1387" s="14">
        <v>46107</v>
      </c>
      <c r="G1387" s="15">
        <v>9139.83</v>
      </c>
      <c r="H1387" s="13" t="s">
        <v>5556</v>
      </c>
      <c r="I1387" s="13" t="s">
        <v>5557</v>
      </c>
      <c r="J1387" s="13" t="s">
        <v>143</v>
      </c>
      <c r="K1387" s="13">
        <f t="shared" si="105"/>
        <v>9</v>
      </c>
      <c r="L1387" s="13">
        <f t="shared" si="106"/>
        <v>0</v>
      </c>
      <c r="M1387" s="13">
        <f>IF(AND(L1387=0,COUNTIFS($B$2:$B$1534,B1387,$G$2:$G$1534,G1387,$E$2:$E$1534,"&gt;="&amp;(E1387-Assumptions!$B$5),$E$2:$E$1534,"&lt;="&amp;(E1387+Assumptions!$B$5))&gt;1),1,0)</f>
        <v>0</v>
      </c>
      <c r="N1387" s="13">
        <f>IF(AND(G1387&gt;=Assumptions!$B$4*(1-Assumptions!$B$6),G1387&lt;Assumptions!$B$4),1,0)</f>
        <v>0</v>
      </c>
      <c r="O1387" s="13">
        <f>IF(AND(G1387&gt;=Assumptions!$B$7,MOD(G1387,Assumptions!$B$7)=0),1,0)</f>
        <v>0</v>
      </c>
      <c r="P1387" s="13">
        <f t="shared" si="107"/>
        <v>0</v>
      </c>
      <c r="Q1387" s="13">
        <f t="shared" si="108"/>
        <v>0</v>
      </c>
      <c r="R1387" s="13">
        <f>L1387*Assumptions!$B$11+M1387*Assumptions!$B$12+N1387*Assumptions!$B$13+O1387*Assumptions!$B$14+P1387*Assumptions!$B$15+Q1387*Assumptions!$B$16</f>
        <v>0</v>
      </c>
      <c r="S1387" s="13" t="str">
        <f>IF(R1387&gt;=Assumptions!$B$20,"High",IF(R1387&gt;=Assumptions!$B$21,"Medium",IF(R1387&gt;=1,"Low","Clear")))</f>
        <v>Clear</v>
      </c>
      <c r="T1387" s="13" t="str">
        <f t="shared" si="109"/>
        <v/>
      </c>
    </row>
    <row r="1388" spans="1:20" x14ac:dyDescent="0.35">
      <c r="A1388" s="13" t="s">
        <v>5558</v>
      </c>
      <c r="B1388" s="13" t="s">
        <v>113</v>
      </c>
      <c r="C1388" s="13" t="s">
        <v>114</v>
      </c>
      <c r="D1388" s="13" t="s">
        <v>5559</v>
      </c>
      <c r="E1388" s="14">
        <v>46075</v>
      </c>
      <c r="F1388" s="14">
        <v>46108</v>
      </c>
      <c r="G1388" s="15">
        <v>117744.47</v>
      </c>
      <c r="H1388" s="13" t="s">
        <v>5560</v>
      </c>
      <c r="I1388" s="13" t="s">
        <v>5561</v>
      </c>
      <c r="J1388" s="13" t="s">
        <v>143</v>
      </c>
      <c r="K1388" s="13">
        <f t="shared" si="105"/>
        <v>1</v>
      </c>
      <c r="L1388" s="13">
        <f t="shared" si="106"/>
        <v>0</v>
      </c>
      <c r="M1388" s="13">
        <f>IF(AND(L1388=0,COUNTIFS($B$2:$B$1534,B1388,$G$2:$G$1534,G1388,$E$2:$E$1534,"&gt;="&amp;(E1388-Assumptions!$B$5),$E$2:$E$1534,"&lt;="&amp;(E1388+Assumptions!$B$5))&gt;1),1,0)</f>
        <v>0</v>
      </c>
      <c r="N1388" s="13">
        <f>IF(AND(G1388&gt;=Assumptions!$B$4*(1-Assumptions!$B$6),G1388&lt;Assumptions!$B$4),1,0)</f>
        <v>0</v>
      </c>
      <c r="O1388" s="13">
        <f>IF(AND(G1388&gt;=Assumptions!$B$7,MOD(G1388,Assumptions!$B$7)=0),1,0)</f>
        <v>0</v>
      </c>
      <c r="P1388" s="13">
        <f t="shared" si="107"/>
        <v>0</v>
      </c>
      <c r="Q1388" s="13">
        <f t="shared" si="108"/>
        <v>0</v>
      </c>
      <c r="R1388" s="13">
        <f>L1388*Assumptions!$B$11+M1388*Assumptions!$B$12+N1388*Assumptions!$B$13+O1388*Assumptions!$B$14+P1388*Assumptions!$B$15+Q1388*Assumptions!$B$16</f>
        <v>0</v>
      </c>
      <c r="S1388" s="13" t="str">
        <f>IF(R1388&gt;=Assumptions!$B$20,"High",IF(R1388&gt;=Assumptions!$B$21,"Medium",IF(R1388&gt;=1,"Low","Clear")))</f>
        <v>Clear</v>
      </c>
      <c r="T1388" s="13" t="str">
        <f t="shared" si="109"/>
        <v/>
      </c>
    </row>
    <row r="1389" spans="1:20" x14ac:dyDescent="0.35">
      <c r="A1389" s="13" t="s">
        <v>5562</v>
      </c>
      <c r="B1389" s="13" t="s">
        <v>323</v>
      </c>
      <c r="C1389" s="13" t="s">
        <v>324</v>
      </c>
      <c r="D1389" s="13" t="s">
        <v>5563</v>
      </c>
      <c r="E1389" s="14">
        <v>46079</v>
      </c>
      <c r="F1389" s="14">
        <v>46108</v>
      </c>
      <c r="G1389" s="15">
        <v>178505.96</v>
      </c>
      <c r="H1389" s="13" t="s">
        <v>5564</v>
      </c>
      <c r="I1389" s="13" t="s">
        <v>5565</v>
      </c>
      <c r="J1389" s="13" t="s">
        <v>170</v>
      </c>
      <c r="K1389" s="13">
        <f t="shared" si="105"/>
        <v>1</v>
      </c>
      <c r="L1389" s="13">
        <f t="shared" si="106"/>
        <v>0</v>
      </c>
      <c r="M1389" s="13">
        <f>IF(AND(L1389=0,COUNTIFS($B$2:$B$1534,B1389,$G$2:$G$1534,G1389,$E$2:$E$1534,"&gt;="&amp;(E1389-Assumptions!$B$5),$E$2:$E$1534,"&lt;="&amp;(E1389+Assumptions!$B$5))&gt;1),1,0)</f>
        <v>0</v>
      </c>
      <c r="N1389" s="13">
        <f>IF(AND(G1389&gt;=Assumptions!$B$4*(1-Assumptions!$B$6),G1389&lt;Assumptions!$B$4),1,0)</f>
        <v>0</v>
      </c>
      <c r="O1389" s="13">
        <f>IF(AND(G1389&gt;=Assumptions!$B$7,MOD(G1389,Assumptions!$B$7)=0),1,0)</f>
        <v>0</v>
      </c>
      <c r="P1389" s="13">
        <f t="shared" si="107"/>
        <v>0</v>
      </c>
      <c r="Q1389" s="13">
        <f t="shared" si="108"/>
        <v>0</v>
      </c>
      <c r="R1389" s="13">
        <f>L1389*Assumptions!$B$11+M1389*Assumptions!$B$12+N1389*Assumptions!$B$13+O1389*Assumptions!$B$14+P1389*Assumptions!$B$15+Q1389*Assumptions!$B$16</f>
        <v>0</v>
      </c>
      <c r="S1389" s="13" t="str">
        <f>IF(R1389&gt;=Assumptions!$B$20,"High",IF(R1389&gt;=Assumptions!$B$21,"Medium",IF(R1389&gt;=1,"Low","Clear")))</f>
        <v>Clear</v>
      </c>
      <c r="T1389" s="13" t="str">
        <f t="shared" si="109"/>
        <v/>
      </c>
    </row>
    <row r="1390" spans="1:20" x14ac:dyDescent="0.35">
      <c r="A1390" s="13" t="s">
        <v>5566</v>
      </c>
      <c r="B1390" s="13" t="s">
        <v>145</v>
      </c>
      <c r="C1390" s="13" t="s">
        <v>146</v>
      </c>
      <c r="D1390" s="13" t="s">
        <v>5567</v>
      </c>
      <c r="E1390" s="14">
        <v>46081</v>
      </c>
      <c r="F1390" s="14">
        <v>46108</v>
      </c>
      <c r="G1390" s="15">
        <v>3075.88</v>
      </c>
      <c r="H1390" s="13" t="s">
        <v>5568</v>
      </c>
      <c r="I1390" s="13" t="s">
        <v>5569</v>
      </c>
      <c r="J1390" s="13" t="s">
        <v>170</v>
      </c>
      <c r="K1390" s="13">
        <f t="shared" si="105"/>
        <v>3</v>
      </c>
      <c r="L1390" s="13">
        <f t="shared" si="106"/>
        <v>0</v>
      </c>
      <c r="M1390" s="13">
        <f>IF(AND(L1390=0,COUNTIFS($B$2:$B$1534,B1390,$G$2:$G$1534,G1390,$E$2:$E$1534,"&gt;="&amp;(E1390-Assumptions!$B$5),$E$2:$E$1534,"&lt;="&amp;(E1390+Assumptions!$B$5))&gt;1),1,0)</f>
        <v>0</v>
      </c>
      <c r="N1390" s="13">
        <f>IF(AND(G1390&gt;=Assumptions!$B$4*(1-Assumptions!$B$6),G1390&lt;Assumptions!$B$4),1,0)</f>
        <v>0</v>
      </c>
      <c r="O1390" s="13">
        <f>IF(AND(G1390&gt;=Assumptions!$B$7,MOD(G1390,Assumptions!$B$7)=0),1,0)</f>
        <v>0</v>
      </c>
      <c r="P1390" s="13">
        <f t="shared" si="107"/>
        <v>0</v>
      </c>
      <c r="Q1390" s="13">
        <f t="shared" si="108"/>
        <v>0</v>
      </c>
      <c r="R1390" s="13">
        <f>L1390*Assumptions!$B$11+M1390*Assumptions!$B$12+N1390*Assumptions!$B$13+O1390*Assumptions!$B$14+P1390*Assumptions!$B$15+Q1390*Assumptions!$B$16</f>
        <v>0</v>
      </c>
      <c r="S1390" s="13" t="str">
        <f>IF(R1390&gt;=Assumptions!$B$20,"High",IF(R1390&gt;=Assumptions!$B$21,"Medium",IF(R1390&gt;=1,"Low","Clear")))</f>
        <v>Clear</v>
      </c>
      <c r="T1390" s="13" t="str">
        <f t="shared" si="109"/>
        <v/>
      </c>
    </row>
    <row r="1391" spans="1:20" x14ac:dyDescent="0.35">
      <c r="A1391" s="13" t="s">
        <v>5570</v>
      </c>
      <c r="B1391" s="13" t="s">
        <v>145</v>
      </c>
      <c r="C1391" s="13" t="s">
        <v>146</v>
      </c>
      <c r="D1391" s="13" t="s">
        <v>5571</v>
      </c>
      <c r="E1391" s="14">
        <v>46076</v>
      </c>
      <c r="F1391" s="14">
        <v>46108</v>
      </c>
      <c r="G1391" s="15">
        <v>94137.74</v>
      </c>
      <c r="H1391" s="13" t="s">
        <v>5572</v>
      </c>
      <c r="I1391" s="13" t="s">
        <v>5573</v>
      </c>
      <c r="J1391" s="13" t="s">
        <v>136</v>
      </c>
      <c r="K1391" s="13">
        <f t="shared" si="105"/>
        <v>9</v>
      </c>
      <c r="L1391" s="13">
        <f t="shared" si="106"/>
        <v>0</v>
      </c>
      <c r="M1391" s="13">
        <f>IF(AND(L1391=0,COUNTIFS($B$2:$B$1534,B1391,$G$2:$G$1534,G1391,$E$2:$E$1534,"&gt;="&amp;(E1391-Assumptions!$B$5),$E$2:$E$1534,"&lt;="&amp;(E1391+Assumptions!$B$5))&gt;1),1,0)</f>
        <v>0</v>
      </c>
      <c r="N1391" s="13">
        <f>IF(AND(G1391&gt;=Assumptions!$B$4*(1-Assumptions!$B$6),G1391&lt;Assumptions!$B$4),1,0)</f>
        <v>0</v>
      </c>
      <c r="O1391" s="13">
        <f>IF(AND(G1391&gt;=Assumptions!$B$7,MOD(G1391,Assumptions!$B$7)=0),1,0)</f>
        <v>0</v>
      </c>
      <c r="P1391" s="13">
        <f t="shared" si="107"/>
        <v>0</v>
      </c>
      <c r="Q1391" s="13">
        <f t="shared" si="108"/>
        <v>0</v>
      </c>
      <c r="R1391" s="13">
        <f>L1391*Assumptions!$B$11+M1391*Assumptions!$B$12+N1391*Assumptions!$B$13+O1391*Assumptions!$B$14+P1391*Assumptions!$B$15+Q1391*Assumptions!$B$16</f>
        <v>0</v>
      </c>
      <c r="S1391" s="13" t="str">
        <f>IF(R1391&gt;=Assumptions!$B$20,"High",IF(R1391&gt;=Assumptions!$B$21,"Medium",IF(R1391&gt;=1,"Low","Clear")))</f>
        <v>Clear</v>
      </c>
      <c r="T1391" s="13" t="str">
        <f t="shared" si="109"/>
        <v/>
      </c>
    </row>
    <row r="1392" spans="1:20" x14ac:dyDescent="0.35">
      <c r="A1392" s="13" t="s">
        <v>5574</v>
      </c>
      <c r="B1392" s="13" t="s">
        <v>188</v>
      </c>
      <c r="C1392" s="13" t="s">
        <v>189</v>
      </c>
      <c r="D1392" s="13" t="s">
        <v>5575</v>
      </c>
      <c r="E1392" s="14">
        <v>46070</v>
      </c>
      <c r="F1392" s="14">
        <v>46109</v>
      </c>
      <c r="G1392" s="15">
        <v>54252.94</v>
      </c>
      <c r="H1392" s="13" t="s">
        <v>5576</v>
      </c>
      <c r="I1392" s="13" t="s">
        <v>5577</v>
      </c>
      <c r="J1392" s="13" t="s">
        <v>136</v>
      </c>
      <c r="K1392" s="13">
        <f t="shared" si="105"/>
        <v>5</v>
      </c>
      <c r="L1392" s="13">
        <f t="shared" si="106"/>
        <v>0</v>
      </c>
      <c r="M1392" s="13">
        <f>IF(AND(L1392=0,COUNTIFS($B$2:$B$1534,B1392,$G$2:$G$1534,G1392,$E$2:$E$1534,"&gt;="&amp;(E1392-Assumptions!$B$5),$E$2:$E$1534,"&lt;="&amp;(E1392+Assumptions!$B$5))&gt;1),1,0)</f>
        <v>0</v>
      </c>
      <c r="N1392" s="13">
        <f>IF(AND(G1392&gt;=Assumptions!$B$4*(1-Assumptions!$B$6),G1392&lt;Assumptions!$B$4),1,0)</f>
        <v>0</v>
      </c>
      <c r="O1392" s="13">
        <f>IF(AND(G1392&gt;=Assumptions!$B$7,MOD(G1392,Assumptions!$B$7)=0),1,0)</f>
        <v>0</v>
      </c>
      <c r="P1392" s="13">
        <f t="shared" si="107"/>
        <v>0</v>
      </c>
      <c r="Q1392" s="13">
        <f t="shared" si="108"/>
        <v>1</v>
      </c>
      <c r="R1392" s="13">
        <f>L1392*Assumptions!$B$11+M1392*Assumptions!$B$12+N1392*Assumptions!$B$13+O1392*Assumptions!$B$14+P1392*Assumptions!$B$15+Q1392*Assumptions!$B$16</f>
        <v>1</v>
      </c>
      <c r="S1392" s="13" t="str">
        <f>IF(R1392&gt;=Assumptions!$B$20,"High",IF(R1392&gt;=Assumptions!$B$21,"Medium",IF(R1392&gt;=1,"Low","Clear")))</f>
        <v>Low</v>
      </c>
      <c r="T1392" s="13" t="str">
        <f t="shared" si="109"/>
        <v xml:space="preserve">Weekend payment; </v>
      </c>
    </row>
    <row r="1393" spans="1:20" x14ac:dyDescent="0.35">
      <c r="A1393" s="13" t="s">
        <v>5578</v>
      </c>
      <c r="B1393" s="13" t="s">
        <v>188</v>
      </c>
      <c r="C1393" s="13" t="s">
        <v>189</v>
      </c>
      <c r="D1393" s="13" t="s">
        <v>5579</v>
      </c>
      <c r="E1393" s="14">
        <v>46086</v>
      </c>
      <c r="F1393" s="14">
        <v>46111</v>
      </c>
      <c r="G1393" s="15">
        <v>91348.800000000003</v>
      </c>
      <c r="H1393" s="13" t="s">
        <v>5580</v>
      </c>
      <c r="I1393" s="13" t="s">
        <v>5581</v>
      </c>
      <c r="J1393" s="13" t="s">
        <v>136</v>
      </c>
      <c r="K1393" s="13">
        <f t="shared" si="105"/>
        <v>9</v>
      </c>
      <c r="L1393" s="13">
        <f t="shared" si="106"/>
        <v>0</v>
      </c>
      <c r="M1393" s="13">
        <f>IF(AND(L1393=0,COUNTIFS($B$2:$B$1534,B1393,$G$2:$G$1534,G1393,$E$2:$E$1534,"&gt;="&amp;(E1393-Assumptions!$B$5),$E$2:$E$1534,"&lt;="&amp;(E1393+Assumptions!$B$5))&gt;1),1,0)</f>
        <v>0</v>
      </c>
      <c r="N1393" s="13">
        <f>IF(AND(G1393&gt;=Assumptions!$B$4*(1-Assumptions!$B$6),G1393&lt;Assumptions!$B$4),1,0)</f>
        <v>0</v>
      </c>
      <c r="O1393" s="13">
        <f>IF(AND(G1393&gt;=Assumptions!$B$7,MOD(G1393,Assumptions!$B$7)=0),1,0)</f>
        <v>0</v>
      </c>
      <c r="P1393" s="13">
        <f t="shared" si="107"/>
        <v>0</v>
      </c>
      <c r="Q1393" s="13">
        <f t="shared" si="108"/>
        <v>0</v>
      </c>
      <c r="R1393" s="13">
        <f>L1393*Assumptions!$B$11+M1393*Assumptions!$B$12+N1393*Assumptions!$B$13+O1393*Assumptions!$B$14+P1393*Assumptions!$B$15+Q1393*Assumptions!$B$16</f>
        <v>0</v>
      </c>
      <c r="S1393" s="13" t="str">
        <f>IF(R1393&gt;=Assumptions!$B$20,"High",IF(R1393&gt;=Assumptions!$B$21,"Medium",IF(R1393&gt;=1,"Low","Clear")))</f>
        <v>Clear</v>
      </c>
      <c r="T1393" s="13" t="str">
        <f t="shared" si="109"/>
        <v/>
      </c>
    </row>
    <row r="1394" spans="1:20" x14ac:dyDescent="0.35">
      <c r="A1394" s="13" t="s">
        <v>5582</v>
      </c>
      <c r="B1394" s="13" t="s">
        <v>498</v>
      </c>
      <c r="C1394" s="13" t="s">
        <v>499</v>
      </c>
      <c r="D1394" s="13" t="s">
        <v>5583</v>
      </c>
      <c r="E1394" s="14">
        <v>46080</v>
      </c>
      <c r="F1394" s="14">
        <v>46111</v>
      </c>
      <c r="G1394" s="15">
        <v>2998.7</v>
      </c>
      <c r="H1394" s="13" t="s">
        <v>5584</v>
      </c>
      <c r="I1394" s="13" t="s">
        <v>5585</v>
      </c>
      <c r="J1394" s="13" t="s">
        <v>136</v>
      </c>
      <c r="K1394" s="13">
        <f t="shared" si="105"/>
        <v>2</v>
      </c>
      <c r="L1394" s="13">
        <f t="shared" si="106"/>
        <v>0</v>
      </c>
      <c r="M1394" s="13">
        <f>IF(AND(L1394=0,COUNTIFS($B$2:$B$1534,B1394,$G$2:$G$1534,G1394,$E$2:$E$1534,"&gt;="&amp;(E1394-Assumptions!$B$5),$E$2:$E$1534,"&lt;="&amp;(E1394+Assumptions!$B$5))&gt;1),1,0)</f>
        <v>0</v>
      </c>
      <c r="N1394" s="13">
        <f>IF(AND(G1394&gt;=Assumptions!$B$4*(1-Assumptions!$B$6),G1394&lt;Assumptions!$B$4),1,0)</f>
        <v>0</v>
      </c>
      <c r="O1394" s="13">
        <f>IF(AND(G1394&gt;=Assumptions!$B$7,MOD(G1394,Assumptions!$B$7)=0),1,0)</f>
        <v>0</v>
      </c>
      <c r="P1394" s="13">
        <f t="shared" si="107"/>
        <v>0</v>
      </c>
      <c r="Q1394" s="13">
        <f t="shared" si="108"/>
        <v>0</v>
      </c>
      <c r="R1394" s="13">
        <f>L1394*Assumptions!$B$11+M1394*Assumptions!$B$12+N1394*Assumptions!$B$13+O1394*Assumptions!$B$14+P1394*Assumptions!$B$15+Q1394*Assumptions!$B$16</f>
        <v>0</v>
      </c>
      <c r="S1394" s="13" t="str">
        <f>IF(R1394&gt;=Assumptions!$B$20,"High",IF(R1394&gt;=Assumptions!$B$21,"Medium",IF(R1394&gt;=1,"Low","Clear")))</f>
        <v>Clear</v>
      </c>
      <c r="T1394" s="13" t="str">
        <f t="shared" si="109"/>
        <v/>
      </c>
    </row>
    <row r="1395" spans="1:20" x14ac:dyDescent="0.35">
      <c r="A1395" s="13" t="s">
        <v>5586</v>
      </c>
      <c r="B1395" s="13" t="s">
        <v>113</v>
      </c>
      <c r="C1395" s="13" t="s">
        <v>114</v>
      </c>
      <c r="D1395" s="13" t="s">
        <v>5587</v>
      </c>
      <c r="E1395" s="14">
        <v>46089</v>
      </c>
      <c r="F1395" s="14">
        <v>46111</v>
      </c>
      <c r="G1395" s="15">
        <v>183506.23</v>
      </c>
      <c r="H1395" s="13" t="s">
        <v>5588</v>
      </c>
      <c r="I1395" s="13" t="s">
        <v>5589</v>
      </c>
      <c r="J1395" s="13" t="s">
        <v>143</v>
      </c>
      <c r="K1395" s="13">
        <f t="shared" si="105"/>
        <v>1</v>
      </c>
      <c r="L1395" s="13">
        <f t="shared" si="106"/>
        <v>0</v>
      </c>
      <c r="M1395" s="13">
        <f>IF(AND(L1395=0,COUNTIFS($B$2:$B$1534,B1395,$G$2:$G$1534,G1395,$E$2:$E$1534,"&gt;="&amp;(E1395-Assumptions!$B$5),$E$2:$E$1534,"&lt;="&amp;(E1395+Assumptions!$B$5))&gt;1),1,0)</f>
        <v>0</v>
      </c>
      <c r="N1395" s="13">
        <f>IF(AND(G1395&gt;=Assumptions!$B$4*(1-Assumptions!$B$6),G1395&lt;Assumptions!$B$4),1,0)</f>
        <v>0</v>
      </c>
      <c r="O1395" s="13">
        <f>IF(AND(G1395&gt;=Assumptions!$B$7,MOD(G1395,Assumptions!$B$7)=0),1,0)</f>
        <v>0</v>
      </c>
      <c r="P1395" s="13">
        <f t="shared" si="107"/>
        <v>0</v>
      </c>
      <c r="Q1395" s="13">
        <f t="shared" si="108"/>
        <v>0</v>
      </c>
      <c r="R1395" s="13">
        <f>L1395*Assumptions!$B$11+M1395*Assumptions!$B$12+N1395*Assumptions!$B$13+O1395*Assumptions!$B$14+P1395*Assumptions!$B$15+Q1395*Assumptions!$B$16</f>
        <v>0</v>
      </c>
      <c r="S1395" s="13" t="str">
        <f>IF(R1395&gt;=Assumptions!$B$20,"High",IF(R1395&gt;=Assumptions!$B$21,"Medium",IF(R1395&gt;=1,"Low","Clear")))</f>
        <v>Clear</v>
      </c>
      <c r="T1395" s="13" t="str">
        <f t="shared" si="109"/>
        <v/>
      </c>
    </row>
    <row r="1396" spans="1:20" x14ac:dyDescent="0.35">
      <c r="A1396" s="13" t="s">
        <v>5590</v>
      </c>
      <c r="B1396" s="13" t="s">
        <v>206</v>
      </c>
      <c r="C1396" s="13" t="s">
        <v>207</v>
      </c>
      <c r="D1396" s="13" t="s">
        <v>5591</v>
      </c>
      <c r="E1396" s="14">
        <v>46087</v>
      </c>
      <c r="F1396" s="14">
        <v>46111</v>
      </c>
      <c r="G1396" s="15">
        <v>144298.82</v>
      </c>
      <c r="H1396" s="13" t="s">
        <v>5592</v>
      </c>
      <c r="I1396" s="13" t="s">
        <v>5593</v>
      </c>
      <c r="J1396" s="13" t="s">
        <v>170</v>
      </c>
      <c r="K1396" s="13">
        <f t="shared" si="105"/>
        <v>1</v>
      </c>
      <c r="L1396" s="13">
        <f t="shared" si="106"/>
        <v>0</v>
      </c>
      <c r="M1396" s="13">
        <f>IF(AND(L1396=0,COUNTIFS($B$2:$B$1534,B1396,$G$2:$G$1534,G1396,$E$2:$E$1534,"&gt;="&amp;(E1396-Assumptions!$B$5),$E$2:$E$1534,"&lt;="&amp;(E1396+Assumptions!$B$5))&gt;1),1,0)</f>
        <v>0</v>
      </c>
      <c r="N1396" s="13">
        <f>IF(AND(G1396&gt;=Assumptions!$B$4*(1-Assumptions!$B$6),G1396&lt;Assumptions!$B$4),1,0)</f>
        <v>0</v>
      </c>
      <c r="O1396" s="13">
        <f>IF(AND(G1396&gt;=Assumptions!$B$7,MOD(G1396,Assumptions!$B$7)=0),1,0)</f>
        <v>0</v>
      </c>
      <c r="P1396" s="13">
        <f t="shared" si="107"/>
        <v>0</v>
      </c>
      <c r="Q1396" s="13">
        <f t="shared" si="108"/>
        <v>0</v>
      </c>
      <c r="R1396" s="13">
        <f>L1396*Assumptions!$B$11+M1396*Assumptions!$B$12+N1396*Assumptions!$B$13+O1396*Assumptions!$B$14+P1396*Assumptions!$B$15+Q1396*Assumptions!$B$16</f>
        <v>0</v>
      </c>
      <c r="S1396" s="13" t="str">
        <f>IF(R1396&gt;=Assumptions!$B$20,"High",IF(R1396&gt;=Assumptions!$B$21,"Medium",IF(R1396&gt;=1,"Low","Clear")))</f>
        <v>Clear</v>
      </c>
      <c r="T1396" s="13" t="str">
        <f t="shared" si="109"/>
        <v/>
      </c>
    </row>
    <row r="1397" spans="1:20" x14ac:dyDescent="0.35">
      <c r="A1397" s="13" t="s">
        <v>5594</v>
      </c>
      <c r="B1397" s="13" t="s">
        <v>100</v>
      </c>
      <c r="C1397" s="13" t="s">
        <v>101</v>
      </c>
      <c r="D1397" s="13" t="s">
        <v>5595</v>
      </c>
      <c r="E1397" s="14">
        <v>46076</v>
      </c>
      <c r="F1397" s="14">
        <v>46111</v>
      </c>
      <c r="G1397" s="15">
        <v>24126.09</v>
      </c>
      <c r="H1397" s="13" t="s">
        <v>5596</v>
      </c>
      <c r="I1397" s="13" t="s">
        <v>5597</v>
      </c>
      <c r="J1397" s="13" t="s">
        <v>143</v>
      </c>
      <c r="K1397" s="13">
        <f t="shared" si="105"/>
        <v>2</v>
      </c>
      <c r="L1397" s="13">
        <f t="shared" si="106"/>
        <v>0</v>
      </c>
      <c r="M1397" s="13">
        <f>IF(AND(L1397=0,COUNTIFS($B$2:$B$1534,B1397,$G$2:$G$1534,G1397,$E$2:$E$1534,"&gt;="&amp;(E1397-Assumptions!$B$5),$E$2:$E$1534,"&lt;="&amp;(E1397+Assumptions!$B$5))&gt;1),1,0)</f>
        <v>0</v>
      </c>
      <c r="N1397" s="13">
        <f>IF(AND(G1397&gt;=Assumptions!$B$4*(1-Assumptions!$B$6),G1397&lt;Assumptions!$B$4),1,0)</f>
        <v>0</v>
      </c>
      <c r="O1397" s="13">
        <f>IF(AND(G1397&gt;=Assumptions!$B$7,MOD(G1397,Assumptions!$B$7)=0),1,0)</f>
        <v>0</v>
      </c>
      <c r="P1397" s="13">
        <f t="shared" si="107"/>
        <v>0</v>
      </c>
      <c r="Q1397" s="13">
        <f t="shared" si="108"/>
        <v>0</v>
      </c>
      <c r="R1397" s="13">
        <f>L1397*Assumptions!$B$11+M1397*Assumptions!$B$12+N1397*Assumptions!$B$13+O1397*Assumptions!$B$14+P1397*Assumptions!$B$15+Q1397*Assumptions!$B$16</f>
        <v>0</v>
      </c>
      <c r="S1397" s="13" t="str">
        <f>IF(R1397&gt;=Assumptions!$B$20,"High",IF(R1397&gt;=Assumptions!$B$21,"Medium",IF(R1397&gt;=1,"Low","Clear")))</f>
        <v>Clear</v>
      </c>
      <c r="T1397" s="13" t="str">
        <f t="shared" si="109"/>
        <v/>
      </c>
    </row>
    <row r="1398" spans="1:20" x14ac:dyDescent="0.35">
      <c r="A1398" s="13" t="s">
        <v>5598</v>
      </c>
      <c r="B1398" s="13" t="s">
        <v>100</v>
      </c>
      <c r="C1398" s="13" t="s">
        <v>101</v>
      </c>
      <c r="D1398" s="13" t="s">
        <v>5599</v>
      </c>
      <c r="E1398" s="14">
        <v>46073</v>
      </c>
      <c r="F1398" s="14">
        <v>46111</v>
      </c>
      <c r="G1398" s="15">
        <v>120309.18</v>
      </c>
      <c r="H1398" s="13" t="s">
        <v>5600</v>
      </c>
      <c r="I1398" s="13" t="s">
        <v>5601</v>
      </c>
      <c r="J1398" s="13" t="s">
        <v>91</v>
      </c>
      <c r="K1398" s="13">
        <f t="shared" si="105"/>
        <v>1</v>
      </c>
      <c r="L1398" s="13">
        <f t="shared" si="106"/>
        <v>0</v>
      </c>
      <c r="M1398" s="13">
        <f>IF(AND(L1398=0,COUNTIFS($B$2:$B$1534,B1398,$G$2:$G$1534,G1398,$E$2:$E$1534,"&gt;="&amp;(E1398-Assumptions!$B$5),$E$2:$E$1534,"&lt;="&amp;(E1398+Assumptions!$B$5))&gt;1),1,0)</f>
        <v>0</v>
      </c>
      <c r="N1398" s="13">
        <f>IF(AND(G1398&gt;=Assumptions!$B$4*(1-Assumptions!$B$6),G1398&lt;Assumptions!$B$4),1,0)</f>
        <v>0</v>
      </c>
      <c r="O1398" s="13">
        <f>IF(AND(G1398&gt;=Assumptions!$B$7,MOD(G1398,Assumptions!$B$7)=0),1,0)</f>
        <v>0</v>
      </c>
      <c r="P1398" s="13">
        <f t="shared" si="107"/>
        <v>0</v>
      </c>
      <c r="Q1398" s="13">
        <f t="shared" si="108"/>
        <v>0</v>
      </c>
      <c r="R1398" s="13">
        <f>L1398*Assumptions!$B$11+M1398*Assumptions!$B$12+N1398*Assumptions!$B$13+O1398*Assumptions!$B$14+P1398*Assumptions!$B$15+Q1398*Assumptions!$B$16</f>
        <v>0</v>
      </c>
      <c r="S1398" s="13" t="str">
        <f>IF(R1398&gt;=Assumptions!$B$20,"High",IF(R1398&gt;=Assumptions!$B$21,"Medium",IF(R1398&gt;=1,"Low","Clear")))</f>
        <v>Clear</v>
      </c>
      <c r="T1398" s="13" t="str">
        <f t="shared" si="109"/>
        <v/>
      </c>
    </row>
    <row r="1399" spans="1:20" x14ac:dyDescent="0.35">
      <c r="A1399" s="13" t="s">
        <v>5602</v>
      </c>
      <c r="B1399" s="13" t="s">
        <v>100</v>
      </c>
      <c r="C1399" s="13" t="s">
        <v>101</v>
      </c>
      <c r="D1399" s="13" t="s">
        <v>5603</v>
      </c>
      <c r="E1399" s="14">
        <v>46080</v>
      </c>
      <c r="F1399" s="14">
        <v>46111</v>
      </c>
      <c r="G1399" s="15">
        <v>3331.26</v>
      </c>
      <c r="H1399" s="13" t="s">
        <v>5604</v>
      </c>
      <c r="I1399" s="13" t="s">
        <v>5605</v>
      </c>
      <c r="J1399" s="13" t="s">
        <v>170</v>
      </c>
      <c r="K1399" s="13">
        <f t="shared" si="105"/>
        <v>3</v>
      </c>
      <c r="L1399" s="13">
        <f t="shared" si="106"/>
        <v>0</v>
      </c>
      <c r="M1399" s="13">
        <f>IF(AND(L1399=0,COUNTIFS($B$2:$B$1534,B1399,$G$2:$G$1534,G1399,$E$2:$E$1534,"&gt;="&amp;(E1399-Assumptions!$B$5),$E$2:$E$1534,"&lt;="&amp;(E1399+Assumptions!$B$5))&gt;1),1,0)</f>
        <v>0</v>
      </c>
      <c r="N1399" s="13">
        <f>IF(AND(G1399&gt;=Assumptions!$B$4*(1-Assumptions!$B$6),G1399&lt;Assumptions!$B$4),1,0)</f>
        <v>0</v>
      </c>
      <c r="O1399" s="13">
        <f>IF(AND(G1399&gt;=Assumptions!$B$7,MOD(G1399,Assumptions!$B$7)=0),1,0)</f>
        <v>0</v>
      </c>
      <c r="P1399" s="13">
        <f t="shared" si="107"/>
        <v>0</v>
      </c>
      <c r="Q1399" s="13">
        <f t="shared" si="108"/>
        <v>0</v>
      </c>
      <c r="R1399" s="13">
        <f>L1399*Assumptions!$B$11+M1399*Assumptions!$B$12+N1399*Assumptions!$B$13+O1399*Assumptions!$B$14+P1399*Assumptions!$B$15+Q1399*Assumptions!$B$16</f>
        <v>0</v>
      </c>
      <c r="S1399" s="13" t="str">
        <f>IF(R1399&gt;=Assumptions!$B$20,"High",IF(R1399&gt;=Assumptions!$B$21,"Medium",IF(R1399&gt;=1,"Low","Clear")))</f>
        <v>Clear</v>
      </c>
      <c r="T1399" s="13" t="str">
        <f t="shared" si="109"/>
        <v/>
      </c>
    </row>
    <row r="1400" spans="1:20" x14ac:dyDescent="0.35">
      <c r="A1400" s="13" t="s">
        <v>5606</v>
      </c>
      <c r="B1400" s="13" t="s">
        <v>93</v>
      </c>
      <c r="C1400" s="13" t="s">
        <v>94</v>
      </c>
      <c r="D1400" s="13" t="s">
        <v>5607</v>
      </c>
      <c r="E1400" s="14">
        <v>46078</v>
      </c>
      <c r="F1400" s="14">
        <v>46112</v>
      </c>
      <c r="G1400" s="15">
        <v>267852.68</v>
      </c>
      <c r="H1400" s="13" t="s">
        <v>5608</v>
      </c>
      <c r="I1400" s="13" t="s">
        <v>5609</v>
      </c>
      <c r="J1400" s="13" t="s">
        <v>111</v>
      </c>
      <c r="K1400" s="13">
        <f t="shared" si="105"/>
        <v>2</v>
      </c>
      <c r="L1400" s="13">
        <f t="shared" si="106"/>
        <v>0</v>
      </c>
      <c r="M1400" s="13">
        <f>IF(AND(L1400=0,COUNTIFS($B$2:$B$1534,B1400,$G$2:$G$1534,G1400,$E$2:$E$1534,"&gt;="&amp;(E1400-Assumptions!$B$5),$E$2:$E$1534,"&lt;="&amp;(E1400+Assumptions!$B$5))&gt;1),1,0)</f>
        <v>0</v>
      </c>
      <c r="N1400" s="13">
        <f>IF(AND(G1400&gt;=Assumptions!$B$4*(1-Assumptions!$B$6),G1400&lt;Assumptions!$B$4),1,0)</f>
        <v>0</v>
      </c>
      <c r="O1400" s="13">
        <f>IF(AND(G1400&gt;=Assumptions!$B$7,MOD(G1400,Assumptions!$B$7)=0),1,0)</f>
        <v>0</v>
      </c>
      <c r="P1400" s="13">
        <f t="shared" si="107"/>
        <v>0</v>
      </c>
      <c r="Q1400" s="13">
        <f t="shared" si="108"/>
        <v>0</v>
      </c>
      <c r="R1400" s="13">
        <f>L1400*Assumptions!$B$11+M1400*Assumptions!$B$12+N1400*Assumptions!$B$13+O1400*Assumptions!$B$14+P1400*Assumptions!$B$15+Q1400*Assumptions!$B$16</f>
        <v>0</v>
      </c>
      <c r="S1400" s="13" t="str">
        <f>IF(R1400&gt;=Assumptions!$B$20,"High",IF(R1400&gt;=Assumptions!$B$21,"Medium",IF(R1400&gt;=1,"Low","Clear")))</f>
        <v>Clear</v>
      </c>
      <c r="T1400" s="13" t="str">
        <f t="shared" si="109"/>
        <v/>
      </c>
    </row>
    <row r="1401" spans="1:20" x14ac:dyDescent="0.35">
      <c r="A1401" s="13" t="s">
        <v>5610</v>
      </c>
      <c r="B1401" s="13" t="s">
        <v>131</v>
      </c>
      <c r="C1401" s="13" t="s">
        <v>132</v>
      </c>
      <c r="D1401" s="13" t="s">
        <v>5611</v>
      </c>
      <c r="E1401" s="14">
        <v>46079</v>
      </c>
      <c r="F1401" s="14">
        <v>46112</v>
      </c>
      <c r="G1401" s="15">
        <v>464966.63</v>
      </c>
      <c r="H1401" s="13" t="s">
        <v>5612</v>
      </c>
      <c r="I1401" s="13" t="s">
        <v>5613</v>
      </c>
      <c r="J1401" s="13" t="s">
        <v>91</v>
      </c>
      <c r="K1401" s="13">
        <f t="shared" si="105"/>
        <v>4</v>
      </c>
      <c r="L1401" s="13">
        <f t="shared" si="106"/>
        <v>0</v>
      </c>
      <c r="M1401" s="13">
        <f>IF(AND(L1401=0,COUNTIFS($B$2:$B$1534,B1401,$G$2:$G$1534,G1401,$E$2:$E$1534,"&gt;="&amp;(E1401-Assumptions!$B$5),$E$2:$E$1534,"&lt;="&amp;(E1401+Assumptions!$B$5))&gt;1),1,0)</f>
        <v>0</v>
      </c>
      <c r="N1401" s="13">
        <f>IF(AND(G1401&gt;=Assumptions!$B$4*(1-Assumptions!$B$6),G1401&lt;Assumptions!$B$4),1,0)</f>
        <v>0</v>
      </c>
      <c r="O1401" s="13">
        <f>IF(AND(G1401&gt;=Assumptions!$B$7,MOD(G1401,Assumptions!$B$7)=0),1,0)</f>
        <v>0</v>
      </c>
      <c r="P1401" s="13">
        <f t="shared" si="107"/>
        <v>0</v>
      </c>
      <c r="Q1401" s="13">
        <f t="shared" si="108"/>
        <v>0</v>
      </c>
      <c r="R1401" s="13">
        <f>L1401*Assumptions!$B$11+M1401*Assumptions!$B$12+N1401*Assumptions!$B$13+O1401*Assumptions!$B$14+P1401*Assumptions!$B$15+Q1401*Assumptions!$B$16</f>
        <v>0</v>
      </c>
      <c r="S1401" s="13" t="str">
        <f>IF(R1401&gt;=Assumptions!$B$20,"High",IF(R1401&gt;=Assumptions!$B$21,"Medium",IF(R1401&gt;=1,"Low","Clear")))</f>
        <v>Clear</v>
      </c>
      <c r="T1401" s="13" t="str">
        <f t="shared" si="109"/>
        <v/>
      </c>
    </row>
    <row r="1402" spans="1:20" x14ac:dyDescent="0.35">
      <c r="A1402" s="13" t="s">
        <v>5614</v>
      </c>
      <c r="B1402" s="13" t="s">
        <v>161</v>
      </c>
      <c r="C1402" s="13" t="s">
        <v>162</v>
      </c>
      <c r="D1402" s="13" t="s">
        <v>5615</v>
      </c>
      <c r="E1402" s="14">
        <v>46078</v>
      </c>
      <c r="F1402" s="14">
        <v>46112</v>
      </c>
      <c r="G1402" s="15">
        <v>1867.77</v>
      </c>
      <c r="H1402" s="13" t="s">
        <v>5616</v>
      </c>
      <c r="I1402" s="13" t="s">
        <v>5617</v>
      </c>
      <c r="J1402" s="13" t="s">
        <v>143</v>
      </c>
      <c r="K1402" s="13">
        <f t="shared" si="105"/>
        <v>1</v>
      </c>
      <c r="L1402" s="13">
        <f t="shared" si="106"/>
        <v>0</v>
      </c>
      <c r="M1402" s="13">
        <f>IF(AND(L1402=0,COUNTIFS($B$2:$B$1534,B1402,$G$2:$G$1534,G1402,$E$2:$E$1534,"&gt;="&amp;(E1402-Assumptions!$B$5),$E$2:$E$1534,"&lt;="&amp;(E1402+Assumptions!$B$5))&gt;1),1,0)</f>
        <v>0</v>
      </c>
      <c r="N1402" s="13">
        <f>IF(AND(G1402&gt;=Assumptions!$B$4*(1-Assumptions!$B$6),G1402&lt;Assumptions!$B$4),1,0)</f>
        <v>0</v>
      </c>
      <c r="O1402" s="13">
        <f>IF(AND(G1402&gt;=Assumptions!$B$7,MOD(G1402,Assumptions!$B$7)=0),1,0)</f>
        <v>0</v>
      </c>
      <c r="P1402" s="13">
        <f t="shared" si="107"/>
        <v>0</v>
      </c>
      <c r="Q1402" s="13">
        <f t="shared" si="108"/>
        <v>0</v>
      </c>
      <c r="R1402" s="13">
        <f>L1402*Assumptions!$B$11+M1402*Assumptions!$B$12+N1402*Assumptions!$B$13+O1402*Assumptions!$B$14+P1402*Assumptions!$B$15+Q1402*Assumptions!$B$16</f>
        <v>0</v>
      </c>
      <c r="S1402" s="13" t="str">
        <f>IF(R1402&gt;=Assumptions!$B$20,"High",IF(R1402&gt;=Assumptions!$B$21,"Medium",IF(R1402&gt;=1,"Low","Clear")))</f>
        <v>Clear</v>
      </c>
      <c r="T1402" s="13" t="str">
        <f t="shared" si="109"/>
        <v/>
      </c>
    </row>
    <row r="1403" spans="1:20" x14ac:dyDescent="0.35">
      <c r="A1403" s="13" t="s">
        <v>5618</v>
      </c>
      <c r="B1403" s="13" t="s">
        <v>86</v>
      </c>
      <c r="C1403" s="13" t="s">
        <v>87</v>
      </c>
      <c r="D1403" s="13" t="s">
        <v>5619</v>
      </c>
      <c r="E1403" s="14">
        <v>46074</v>
      </c>
      <c r="F1403" s="14">
        <v>46113</v>
      </c>
      <c r="G1403" s="15">
        <v>520875.94</v>
      </c>
      <c r="H1403" s="13" t="s">
        <v>5620</v>
      </c>
      <c r="I1403" s="13" t="s">
        <v>5621</v>
      </c>
      <c r="J1403" s="13" t="s">
        <v>143</v>
      </c>
      <c r="K1403" s="13">
        <f t="shared" si="105"/>
        <v>5</v>
      </c>
      <c r="L1403" s="13">
        <f t="shared" si="106"/>
        <v>0</v>
      </c>
      <c r="M1403" s="13">
        <f>IF(AND(L1403=0,COUNTIFS($B$2:$B$1534,B1403,$G$2:$G$1534,G1403,$E$2:$E$1534,"&gt;="&amp;(E1403-Assumptions!$B$5),$E$2:$E$1534,"&lt;="&amp;(E1403+Assumptions!$B$5))&gt;1),1,0)</f>
        <v>0</v>
      </c>
      <c r="N1403" s="13">
        <f>IF(AND(G1403&gt;=Assumptions!$B$4*(1-Assumptions!$B$6),G1403&lt;Assumptions!$B$4),1,0)</f>
        <v>0</v>
      </c>
      <c r="O1403" s="13">
        <f>IF(AND(G1403&gt;=Assumptions!$B$7,MOD(G1403,Assumptions!$B$7)=0),1,0)</f>
        <v>0</v>
      </c>
      <c r="P1403" s="13">
        <f t="shared" si="107"/>
        <v>0</v>
      </c>
      <c r="Q1403" s="13">
        <f t="shared" si="108"/>
        <v>0</v>
      </c>
      <c r="R1403" s="13">
        <f>L1403*Assumptions!$B$11+M1403*Assumptions!$B$12+N1403*Assumptions!$B$13+O1403*Assumptions!$B$14+P1403*Assumptions!$B$15+Q1403*Assumptions!$B$16</f>
        <v>0</v>
      </c>
      <c r="S1403" s="13" t="str">
        <f>IF(R1403&gt;=Assumptions!$B$20,"High",IF(R1403&gt;=Assumptions!$B$21,"Medium",IF(R1403&gt;=1,"Low","Clear")))</f>
        <v>Clear</v>
      </c>
      <c r="T1403" s="13" t="str">
        <f t="shared" si="109"/>
        <v/>
      </c>
    </row>
    <row r="1404" spans="1:20" x14ac:dyDescent="0.35">
      <c r="A1404" s="13" t="s">
        <v>5622</v>
      </c>
      <c r="B1404" s="13" t="s">
        <v>182</v>
      </c>
      <c r="C1404" s="13" t="s">
        <v>183</v>
      </c>
      <c r="D1404" s="13" t="s">
        <v>5623</v>
      </c>
      <c r="E1404" s="14">
        <v>46085</v>
      </c>
      <c r="F1404" s="14">
        <v>46114</v>
      </c>
      <c r="G1404" s="15">
        <v>4133.68</v>
      </c>
      <c r="H1404" s="13"/>
      <c r="I1404" s="13"/>
      <c r="J1404" s="13" t="s">
        <v>143</v>
      </c>
      <c r="K1404" s="13">
        <f t="shared" si="105"/>
        <v>4</v>
      </c>
      <c r="L1404" s="13">
        <f t="shared" si="106"/>
        <v>0</v>
      </c>
      <c r="M1404" s="13">
        <f>IF(AND(L1404=0,COUNTIFS($B$2:$B$1534,B1404,$G$2:$G$1534,G1404,$E$2:$E$1534,"&gt;="&amp;(E1404-Assumptions!$B$5),$E$2:$E$1534,"&lt;="&amp;(E1404+Assumptions!$B$5))&gt;1),1,0)</f>
        <v>0</v>
      </c>
      <c r="N1404" s="13">
        <f>IF(AND(G1404&gt;=Assumptions!$B$4*(1-Assumptions!$B$6),G1404&lt;Assumptions!$B$4),1,0)</f>
        <v>0</v>
      </c>
      <c r="O1404" s="13">
        <f>IF(AND(G1404&gt;=Assumptions!$B$7,MOD(G1404,Assumptions!$B$7)=0),1,0)</f>
        <v>0</v>
      </c>
      <c r="P1404" s="13">
        <f t="shared" si="107"/>
        <v>1</v>
      </c>
      <c r="Q1404" s="13">
        <f t="shared" si="108"/>
        <v>0</v>
      </c>
      <c r="R1404" s="13">
        <f>L1404*Assumptions!$B$11+M1404*Assumptions!$B$12+N1404*Assumptions!$B$13+O1404*Assumptions!$B$14+P1404*Assumptions!$B$15+Q1404*Assumptions!$B$16</f>
        <v>4</v>
      </c>
      <c r="S1404" s="13" t="str">
        <f>IF(R1404&gt;=Assumptions!$B$20,"High",IF(R1404&gt;=Assumptions!$B$21,"Medium",IF(R1404&gt;=1,"Low","Clear")))</f>
        <v>Medium</v>
      </c>
      <c r="T1404" s="13" t="str">
        <f t="shared" si="109"/>
        <v xml:space="preserve">No PO/GRN; </v>
      </c>
    </row>
    <row r="1405" spans="1:20" x14ac:dyDescent="0.35">
      <c r="A1405" s="13" t="s">
        <v>5624</v>
      </c>
      <c r="B1405" s="13" t="s">
        <v>774</v>
      </c>
      <c r="C1405" s="13" t="s">
        <v>775</v>
      </c>
      <c r="D1405" s="13" t="s">
        <v>5625</v>
      </c>
      <c r="E1405" s="14">
        <v>46086</v>
      </c>
      <c r="F1405" s="14">
        <v>46114</v>
      </c>
      <c r="G1405" s="15">
        <v>662692.43000000005</v>
      </c>
      <c r="H1405" s="13" t="s">
        <v>5626</v>
      </c>
      <c r="I1405" s="13" t="s">
        <v>5627</v>
      </c>
      <c r="J1405" s="13" t="s">
        <v>143</v>
      </c>
      <c r="K1405" s="13">
        <f t="shared" si="105"/>
        <v>6</v>
      </c>
      <c r="L1405" s="13">
        <f t="shared" si="106"/>
        <v>0</v>
      </c>
      <c r="M1405" s="13">
        <f>IF(AND(L1405=0,COUNTIFS($B$2:$B$1534,B1405,$G$2:$G$1534,G1405,$E$2:$E$1534,"&gt;="&amp;(E1405-Assumptions!$B$5),$E$2:$E$1534,"&lt;="&amp;(E1405+Assumptions!$B$5))&gt;1),1,0)</f>
        <v>0</v>
      </c>
      <c r="N1405" s="13">
        <f>IF(AND(G1405&gt;=Assumptions!$B$4*(1-Assumptions!$B$6),G1405&lt;Assumptions!$B$4),1,0)</f>
        <v>0</v>
      </c>
      <c r="O1405" s="13">
        <f>IF(AND(G1405&gt;=Assumptions!$B$7,MOD(G1405,Assumptions!$B$7)=0),1,0)</f>
        <v>0</v>
      </c>
      <c r="P1405" s="13">
        <f t="shared" si="107"/>
        <v>0</v>
      </c>
      <c r="Q1405" s="13">
        <f t="shared" si="108"/>
        <v>0</v>
      </c>
      <c r="R1405" s="13">
        <f>L1405*Assumptions!$B$11+M1405*Assumptions!$B$12+N1405*Assumptions!$B$13+O1405*Assumptions!$B$14+P1405*Assumptions!$B$15+Q1405*Assumptions!$B$16</f>
        <v>0</v>
      </c>
      <c r="S1405" s="13" t="str">
        <f>IF(R1405&gt;=Assumptions!$B$20,"High",IF(R1405&gt;=Assumptions!$B$21,"Medium",IF(R1405&gt;=1,"Low","Clear")))</f>
        <v>Clear</v>
      </c>
      <c r="T1405" s="13" t="str">
        <f t="shared" si="109"/>
        <v/>
      </c>
    </row>
    <row r="1406" spans="1:20" x14ac:dyDescent="0.35">
      <c r="A1406" s="13" t="s">
        <v>5628</v>
      </c>
      <c r="B1406" s="13" t="s">
        <v>113</v>
      </c>
      <c r="C1406" s="13" t="s">
        <v>114</v>
      </c>
      <c r="D1406" s="13" t="s">
        <v>5629</v>
      </c>
      <c r="E1406" s="14">
        <v>46076</v>
      </c>
      <c r="F1406" s="14">
        <v>46114</v>
      </c>
      <c r="G1406" s="15">
        <v>1635.7</v>
      </c>
      <c r="H1406" s="13" t="s">
        <v>5630</v>
      </c>
      <c r="I1406" s="13" t="s">
        <v>5631</v>
      </c>
      <c r="J1406" s="13" t="s">
        <v>98</v>
      </c>
      <c r="K1406" s="13">
        <f t="shared" si="105"/>
        <v>1</v>
      </c>
      <c r="L1406" s="13">
        <f t="shared" si="106"/>
        <v>0</v>
      </c>
      <c r="M1406" s="13">
        <f>IF(AND(L1406=0,COUNTIFS($B$2:$B$1534,B1406,$G$2:$G$1534,G1406,$E$2:$E$1534,"&gt;="&amp;(E1406-Assumptions!$B$5),$E$2:$E$1534,"&lt;="&amp;(E1406+Assumptions!$B$5))&gt;1),1,0)</f>
        <v>0</v>
      </c>
      <c r="N1406" s="13">
        <f>IF(AND(G1406&gt;=Assumptions!$B$4*(1-Assumptions!$B$6),G1406&lt;Assumptions!$B$4),1,0)</f>
        <v>0</v>
      </c>
      <c r="O1406" s="13">
        <f>IF(AND(G1406&gt;=Assumptions!$B$7,MOD(G1406,Assumptions!$B$7)=0),1,0)</f>
        <v>0</v>
      </c>
      <c r="P1406" s="13">
        <f t="shared" si="107"/>
        <v>0</v>
      </c>
      <c r="Q1406" s="13">
        <f t="shared" si="108"/>
        <v>0</v>
      </c>
      <c r="R1406" s="13">
        <f>L1406*Assumptions!$B$11+M1406*Assumptions!$B$12+N1406*Assumptions!$B$13+O1406*Assumptions!$B$14+P1406*Assumptions!$B$15+Q1406*Assumptions!$B$16</f>
        <v>0</v>
      </c>
      <c r="S1406" s="13" t="str">
        <f>IF(R1406&gt;=Assumptions!$B$20,"High",IF(R1406&gt;=Assumptions!$B$21,"Medium",IF(R1406&gt;=1,"Low","Clear")))</f>
        <v>Clear</v>
      </c>
      <c r="T1406" s="13" t="str">
        <f t="shared" si="109"/>
        <v/>
      </c>
    </row>
    <row r="1407" spans="1:20" x14ac:dyDescent="0.35">
      <c r="A1407" s="13" t="s">
        <v>5632</v>
      </c>
      <c r="B1407" s="13" t="s">
        <v>323</v>
      </c>
      <c r="C1407" s="13" t="s">
        <v>324</v>
      </c>
      <c r="D1407" s="13" t="s">
        <v>5633</v>
      </c>
      <c r="E1407" s="14">
        <v>46078</v>
      </c>
      <c r="F1407" s="14">
        <v>46114</v>
      </c>
      <c r="G1407" s="15">
        <v>2675.26</v>
      </c>
      <c r="H1407" s="13" t="s">
        <v>5634</v>
      </c>
      <c r="I1407" s="13" t="s">
        <v>5635</v>
      </c>
      <c r="J1407" s="13" t="s">
        <v>91</v>
      </c>
      <c r="K1407" s="13">
        <f t="shared" si="105"/>
        <v>2</v>
      </c>
      <c r="L1407" s="13">
        <f t="shared" si="106"/>
        <v>0</v>
      </c>
      <c r="M1407" s="13">
        <f>IF(AND(L1407=0,COUNTIFS($B$2:$B$1534,B1407,$G$2:$G$1534,G1407,$E$2:$E$1534,"&gt;="&amp;(E1407-Assumptions!$B$5),$E$2:$E$1534,"&lt;="&amp;(E1407+Assumptions!$B$5))&gt;1),1,0)</f>
        <v>0</v>
      </c>
      <c r="N1407" s="13">
        <f>IF(AND(G1407&gt;=Assumptions!$B$4*(1-Assumptions!$B$6),G1407&lt;Assumptions!$B$4),1,0)</f>
        <v>0</v>
      </c>
      <c r="O1407" s="13">
        <f>IF(AND(G1407&gt;=Assumptions!$B$7,MOD(G1407,Assumptions!$B$7)=0),1,0)</f>
        <v>0</v>
      </c>
      <c r="P1407" s="13">
        <f t="shared" si="107"/>
        <v>0</v>
      </c>
      <c r="Q1407" s="13">
        <f t="shared" si="108"/>
        <v>0</v>
      </c>
      <c r="R1407" s="13">
        <f>L1407*Assumptions!$B$11+M1407*Assumptions!$B$12+N1407*Assumptions!$B$13+O1407*Assumptions!$B$14+P1407*Assumptions!$B$15+Q1407*Assumptions!$B$16</f>
        <v>0</v>
      </c>
      <c r="S1407" s="13" t="str">
        <f>IF(R1407&gt;=Assumptions!$B$20,"High",IF(R1407&gt;=Assumptions!$B$21,"Medium",IF(R1407&gt;=1,"Low","Clear")))</f>
        <v>Clear</v>
      </c>
      <c r="T1407" s="13" t="str">
        <f t="shared" si="109"/>
        <v/>
      </c>
    </row>
    <row r="1408" spans="1:20" x14ac:dyDescent="0.35">
      <c r="A1408" s="13" t="s">
        <v>5636</v>
      </c>
      <c r="B1408" s="13" t="s">
        <v>176</v>
      </c>
      <c r="C1408" s="13" t="s">
        <v>177</v>
      </c>
      <c r="D1408" s="13" t="s">
        <v>5637</v>
      </c>
      <c r="E1408" s="14">
        <v>46076</v>
      </c>
      <c r="F1408" s="14">
        <v>46115</v>
      </c>
      <c r="G1408" s="15">
        <v>1547.79</v>
      </c>
      <c r="H1408" s="13" t="s">
        <v>5638</v>
      </c>
      <c r="I1408" s="13" t="s">
        <v>5639</v>
      </c>
      <c r="J1408" s="13" t="s">
        <v>111</v>
      </c>
      <c r="K1408" s="13">
        <f t="shared" si="105"/>
        <v>1</v>
      </c>
      <c r="L1408" s="13">
        <f t="shared" si="106"/>
        <v>0</v>
      </c>
      <c r="M1408" s="13">
        <f>IF(AND(L1408=0,COUNTIFS($B$2:$B$1534,B1408,$G$2:$G$1534,G1408,$E$2:$E$1534,"&gt;="&amp;(E1408-Assumptions!$B$5),$E$2:$E$1534,"&lt;="&amp;(E1408+Assumptions!$B$5))&gt;1),1,0)</f>
        <v>0</v>
      </c>
      <c r="N1408" s="13">
        <f>IF(AND(G1408&gt;=Assumptions!$B$4*(1-Assumptions!$B$6),G1408&lt;Assumptions!$B$4),1,0)</f>
        <v>0</v>
      </c>
      <c r="O1408" s="13">
        <f>IF(AND(G1408&gt;=Assumptions!$B$7,MOD(G1408,Assumptions!$B$7)=0),1,0)</f>
        <v>0</v>
      </c>
      <c r="P1408" s="13">
        <f t="shared" si="107"/>
        <v>0</v>
      </c>
      <c r="Q1408" s="13">
        <f t="shared" si="108"/>
        <v>0</v>
      </c>
      <c r="R1408" s="13">
        <f>L1408*Assumptions!$B$11+M1408*Assumptions!$B$12+N1408*Assumptions!$B$13+O1408*Assumptions!$B$14+P1408*Assumptions!$B$15+Q1408*Assumptions!$B$16</f>
        <v>0</v>
      </c>
      <c r="S1408" s="13" t="str">
        <f>IF(R1408&gt;=Assumptions!$B$20,"High",IF(R1408&gt;=Assumptions!$B$21,"Medium",IF(R1408&gt;=1,"Low","Clear")))</f>
        <v>Clear</v>
      </c>
      <c r="T1408" s="13" t="str">
        <f t="shared" si="109"/>
        <v/>
      </c>
    </row>
    <row r="1409" spans="1:20" x14ac:dyDescent="0.35">
      <c r="A1409" s="13" t="s">
        <v>5640</v>
      </c>
      <c r="B1409" s="13" t="s">
        <v>774</v>
      </c>
      <c r="C1409" s="13" t="s">
        <v>775</v>
      </c>
      <c r="D1409" s="13" t="s">
        <v>5641</v>
      </c>
      <c r="E1409" s="14">
        <v>46076</v>
      </c>
      <c r="F1409" s="14">
        <v>46115</v>
      </c>
      <c r="G1409" s="15">
        <v>569930.5</v>
      </c>
      <c r="H1409" s="13" t="s">
        <v>5642</v>
      </c>
      <c r="I1409" s="13" t="s">
        <v>5643</v>
      </c>
      <c r="J1409" s="13" t="s">
        <v>136</v>
      </c>
      <c r="K1409" s="13">
        <f t="shared" si="105"/>
        <v>5</v>
      </c>
      <c r="L1409" s="13">
        <f t="shared" si="106"/>
        <v>0</v>
      </c>
      <c r="M1409" s="13">
        <f>IF(AND(L1409=0,COUNTIFS($B$2:$B$1534,B1409,$G$2:$G$1534,G1409,$E$2:$E$1534,"&gt;="&amp;(E1409-Assumptions!$B$5),$E$2:$E$1534,"&lt;="&amp;(E1409+Assumptions!$B$5))&gt;1),1,0)</f>
        <v>0</v>
      </c>
      <c r="N1409" s="13">
        <f>IF(AND(G1409&gt;=Assumptions!$B$4*(1-Assumptions!$B$6),G1409&lt;Assumptions!$B$4),1,0)</f>
        <v>0</v>
      </c>
      <c r="O1409" s="13">
        <f>IF(AND(G1409&gt;=Assumptions!$B$7,MOD(G1409,Assumptions!$B$7)=0),1,0)</f>
        <v>0</v>
      </c>
      <c r="P1409" s="13">
        <f t="shared" si="107"/>
        <v>0</v>
      </c>
      <c r="Q1409" s="13">
        <f t="shared" si="108"/>
        <v>0</v>
      </c>
      <c r="R1409" s="13">
        <f>L1409*Assumptions!$B$11+M1409*Assumptions!$B$12+N1409*Assumptions!$B$13+O1409*Assumptions!$B$14+P1409*Assumptions!$B$15+Q1409*Assumptions!$B$16</f>
        <v>0</v>
      </c>
      <c r="S1409" s="13" t="str">
        <f>IF(R1409&gt;=Assumptions!$B$20,"High",IF(R1409&gt;=Assumptions!$B$21,"Medium",IF(R1409&gt;=1,"Low","Clear")))</f>
        <v>Clear</v>
      </c>
      <c r="T1409" s="13" t="str">
        <f t="shared" si="109"/>
        <v/>
      </c>
    </row>
    <row r="1410" spans="1:20" x14ac:dyDescent="0.35">
      <c r="A1410" s="13" t="s">
        <v>5644</v>
      </c>
      <c r="B1410" s="13" t="s">
        <v>466</v>
      </c>
      <c r="C1410" s="13" t="s">
        <v>467</v>
      </c>
      <c r="D1410" s="13" t="s">
        <v>5645</v>
      </c>
      <c r="E1410" s="14">
        <v>46091</v>
      </c>
      <c r="F1410" s="14">
        <v>46115</v>
      </c>
      <c r="G1410" s="15">
        <v>2528.3200000000002</v>
      </c>
      <c r="H1410" s="13" t="s">
        <v>5646</v>
      </c>
      <c r="I1410" s="13" t="s">
        <v>5647</v>
      </c>
      <c r="J1410" s="13" t="s">
        <v>111</v>
      </c>
      <c r="K1410" s="13">
        <f t="shared" ref="K1410:K1473" si="110">VALUE(LEFT(TEXT(G1410,"0"),1))</f>
        <v>2</v>
      </c>
      <c r="L1410" s="13">
        <f t="shared" ref="L1410:L1473" si="111">IF(COUNTIFS($B$2:$B$1534,B1410,$D$2:$D$1534,D1410)&gt;1,1,0)</f>
        <v>0</v>
      </c>
      <c r="M1410" s="13">
        <f>IF(AND(L1410=0,COUNTIFS($B$2:$B$1534,B1410,$G$2:$G$1534,G1410,$E$2:$E$1534,"&gt;="&amp;(E1410-Assumptions!$B$5),$E$2:$E$1534,"&lt;="&amp;(E1410+Assumptions!$B$5))&gt;1),1,0)</f>
        <v>0</v>
      </c>
      <c r="N1410" s="13">
        <f>IF(AND(G1410&gt;=Assumptions!$B$4*(1-Assumptions!$B$6),G1410&lt;Assumptions!$B$4),1,0)</f>
        <v>0</v>
      </c>
      <c r="O1410" s="13">
        <f>IF(AND(G1410&gt;=Assumptions!$B$7,MOD(G1410,Assumptions!$B$7)=0),1,0)</f>
        <v>0</v>
      </c>
      <c r="P1410" s="13">
        <f t="shared" ref="P1410:P1473" si="112">IF(OR(H1410="",I1410=""),1,0)</f>
        <v>0</v>
      </c>
      <c r="Q1410" s="13">
        <f t="shared" ref="Q1410:Q1473" si="113">IF(WEEKDAY(F1410,2)&gt;5,1,0)</f>
        <v>0</v>
      </c>
      <c r="R1410" s="13">
        <f>L1410*Assumptions!$B$11+M1410*Assumptions!$B$12+N1410*Assumptions!$B$13+O1410*Assumptions!$B$14+P1410*Assumptions!$B$15+Q1410*Assumptions!$B$16</f>
        <v>0</v>
      </c>
      <c r="S1410" s="13" t="str">
        <f>IF(R1410&gt;=Assumptions!$B$20,"High",IF(R1410&gt;=Assumptions!$B$21,"Medium",IF(R1410&gt;=1,"Low","Clear")))</f>
        <v>Clear</v>
      </c>
      <c r="T1410" s="13" t="str">
        <f t="shared" ref="T1410:T1473" si="114">IF(R1410=0,"",IF(L1410=1,"Duplicate invoice; ","")&amp;IF(M1410=1,"Near-duplicate; ","")&amp;IF(N1410=1,"Just below limit; ","")&amp;IF(O1410=1,"Round amount; ","")&amp;IF(P1410=1,"No PO/GRN; ","")&amp;IF(Q1410=1,"Weekend payment; ",""))</f>
        <v/>
      </c>
    </row>
    <row r="1411" spans="1:20" x14ac:dyDescent="0.35">
      <c r="A1411" s="13" t="s">
        <v>5648</v>
      </c>
      <c r="B1411" s="13" t="s">
        <v>113</v>
      </c>
      <c r="C1411" s="13" t="s">
        <v>114</v>
      </c>
      <c r="D1411" s="13" t="s">
        <v>5649</v>
      </c>
      <c r="E1411" s="14">
        <v>46083</v>
      </c>
      <c r="F1411" s="14">
        <v>46115</v>
      </c>
      <c r="G1411" s="15">
        <v>2437</v>
      </c>
      <c r="H1411" s="13" t="s">
        <v>5650</v>
      </c>
      <c r="I1411" s="13" t="s">
        <v>5651</v>
      </c>
      <c r="J1411" s="13" t="s">
        <v>170</v>
      </c>
      <c r="K1411" s="13">
        <f t="shared" si="110"/>
        <v>2</v>
      </c>
      <c r="L1411" s="13">
        <f t="shared" si="111"/>
        <v>0</v>
      </c>
      <c r="M1411" s="13">
        <f>IF(AND(L1411=0,COUNTIFS($B$2:$B$1534,B1411,$G$2:$G$1534,G1411,$E$2:$E$1534,"&gt;="&amp;(E1411-Assumptions!$B$5),$E$2:$E$1534,"&lt;="&amp;(E1411+Assumptions!$B$5))&gt;1),1,0)</f>
        <v>0</v>
      </c>
      <c r="N1411" s="13">
        <f>IF(AND(G1411&gt;=Assumptions!$B$4*(1-Assumptions!$B$6),G1411&lt;Assumptions!$B$4),1,0)</f>
        <v>0</v>
      </c>
      <c r="O1411" s="13">
        <f>IF(AND(G1411&gt;=Assumptions!$B$7,MOD(G1411,Assumptions!$B$7)=0),1,0)</f>
        <v>0</v>
      </c>
      <c r="P1411" s="13">
        <f t="shared" si="112"/>
        <v>0</v>
      </c>
      <c r="Q1411" s="13">
        <f t="shared" si="113"/>
        <v>0</v>
      </c>
      <c r="R1411" s="13">
        <f>L1411*Assumptions!$B$11+M1411*Assumptions!$B$12+N1411*Assumptions!$B$13+O1411*Assumptions!$B$14+P1411*Assumptions!$B$15+Q1411*Assumptions!$B$16</f>
        <v>0</v>
      </c>
      <c r="S1411" s="13" t="str">
        <f>IF(R1411&gt;=Assumptions!$B$20,"High",IF(R1411&gt;=Assumptions!$B$21,"Medium",IF(R1411&gt;=1,"Low","Clear")))</f>
        <v>Clear</v>
      </c>
      <c r="T1411" s="13" t="str">
        <f t="shared" si="114"/>
        <v/>
      </c>
    </row>
    <row r="1412" spans="1:20" x14ac:dyDescent="0.35">
      <c r="A1412" s="13" t="s">
        <v>5652</v>
      </c>
      <c r="B1412" s="13" t="s">
        <v>161</v>
      </c>
      <c r="C1412" s="13" t="s">
        <v>162</v>
      </c>
      <c r="D1412" s="13" t="s">
        <v>5653</v>
      </c>
      <c r="E1412" s="14">
        <v>46078</v>
      </c>
      <c r="F1412" s="14">
        <v>46115</v>
      </c>
      <c r="G1412" s="15">
        <v>1657.42</v>
      </c>
      <c r="H1412" s="13" t="s">
        <v>2027</v>
      </c>
      <c r="I1412" s="13" t="s">
        <v>2028</v>
      </c>
      <c r="J1412" s="13" t="s">
        <v>170</v>
      </c>
      <c r="K1412" s="13">
        <f t="shared" si="110"/>
        <v>1</v>
      </c>
      <c r="L1412" s="13">
        <f t="shared" si="111"/>
        <v>0</v>
      </c>
      <c r="M1412" s="13">
        <f>IF(AND(L1412=0,COUNTIFS($B$2:$B$1534,B1412,$G$2:$G$1534,G1412,$E$2:$E$1534,"&gt;="&amp;(E1412-Assumptions!$B$5),$E$2:$E$1534,"&lt;="&amp;(E1412+Assumptions!$B$5))&gt;1),1,0)</f>
        <v>0</v>
      </c>
      <c r="N1412" s="13">
        <f>IF(AND(G1412&gt;=Assumptions!$B$4*(1-Assumptions!$B$6),G1412&lt;Assumptions!$B$4),1,0)</f>
        <v>0</v>
      </c>
      <c r="O1412" s="13">
        <f>IF(AND(G1412&gt;=Assumptions!$B$7,MOD(G1412,Assumptions!$B$7)=0),1,0)</f>
        <v>0</v>
      </c>
      <c r="P1412" s="13">
        <f t="shared" si="112"/>
        <v>0</v>
      </c>
      <c r="Q1412" s="13">
        <f t="shared" si="113"/>
        <v>0</v>
      </c>
      <c r="R1412" s="13">
        <f>L1412*Assumptions!$B$11+M1412*Assumptions!$B$12+N1412*Assumptions!$B$13+O1412*Assumptions!$B$14+P1412*Assumptions!$B$15+Q1412*Assumptions!$B$16</f>
        <v>0</v>
      </c>
      <c r="S1412" s="13" t="str">
        <f>IF(R1412&gt;=Assumptions!$B$20,"High",IF(R1412&gt;=Assumptions!$B$21,"Medium",IF(R1412&gt;=1,"Low","Clear")))</f>
        <v>Clear</v>
      </c>
      <c r="T1412" s="13" t="str">
        <f t="shared" si="114"/>
        <v/>
      </c>
    </row>
    <row r="1413" spans="1:20" x14ac:dyDescent="0.35">
      <c r="A1413" s="13" t="s">
        <v>5654</v>
      </c>
      <c r="B1413" s="13" t="s">
        <v>100</v>
      </c>
      <c r="C1413" s="13" t="s">
        <v>101</v>
      </c>
      <c r="D1413" s="13" t="s">
        <v>5655</v>
      </c>
      <c r="E1413" s="14">
        <v>46095</v>
      </c>
      <c r="F1413" s="14">
        <v>46115</v>
      </c>
      <c r="G1413" s="15">
        <v>824551.24</v>
      </c>
      <c r="H1413" s="13" t="s">
        <v>5656</v>
      </c>
      <c r="I1413" s="13" t="s">
        <v>5657</v>
      </c>
      <c r="J1413" s="13" t="s">
        <v>136</v>
      </c>
      <c r="K1413" s="13">
        <f t="shared" si="110"/>
        <v>8</v>
      </c>
      <c r="L1413" s="13">
        <f t="shared" si="111"/>
        <v>0</v>
      </c>
      <c r="M1413" s="13">
        <f>IF(AND(L1413=0,COUNTIFS($B$2:$B$1534,B1413,$G$2:$G$1534,G1413,$E$2:$E$1534,"&gt;="&amp;(E1413-Assumptions!$B$5),$E$2:$E$1534,"&lt;="&amp;(E1413+Assumptions!$B$5))&gt;1),1,0)</f>
        <v>0</v>
      </c>
      <c r="N1413" s="13">
        <f>IF(AND(G1413&gt;=Assumptions!$B$4*(1-Assumptions!$B$6),G1413&lt;Assumptions!$B$4),1,0)</f>
        <v>0</v>
      </c>
      <c r="O1413" s="13">
        <f>IF(AND(G1413&gt;=Assumptions!$B$7,MOD(G1413,Assumptions!$B$7)=0),1,0)</f>
        <v>0</v>
      </c>
      <c r="P1413" s="13">
        <f t="shared" si="112"/>
        <v>0</v>
      </c>
      <c r="Q1413" s="13">
        <f t="shared" si="113"/>
        <v>0</v>
      </c>
      <c r="R1413" s="13">
        <f>L1413*Assumptions!$B$11+M1413*Assumptions!$B$12+N1413*Assumptions!$B$13+O1413*Assumptions!$B$14+P1413*Assumptions!$B$15+Q1413*Assumptions!$B$16</f>
        <v>0</v>
      </c>
      <c r="S1413" s="13" t="str">
        <f>IF(R1413&gt;=Assumptions!$B$20,"High",IF(R1413&gt;=Assumptions!$B$21,"Medium",IF(R1413&gt;=1,"Low","Clear")))</f>
        <v>Clear</v>
      </c>
      <c r="T1413" s="13" t="str">
        <f t="shared" si="114"/>
        <v/>
      </c>
    </row>
    <row r="1414" spans="1:20" x14ac:dyDescent="0.35">
      <c r="A1414" s="13" t="s">
        <v>5658</v>
      </c>
      <c r="B1414" s="13" t="s">
        <v>339</v>
      </c>
      <c r="C1414" s="13" t="s">
        <v>340</v>
      </c>
      <c r="D1414" s="13" t="s">
        <v>5659</v>
      </c>
      <c r="E1414" s="14">
        <v>46081</v>
      </c>
      <c r="F1414" s="14">
        <v>46115</v>
      </c>
      <c r="G1414" s="15">
        <v>560039.12</v>
      </c>
      <c r="H1414" s="13" t="s">
        <v>5660</v>
      </c>
      <c r="I1414" s="13" t="s">
        <v>5661</v>
      </c>
      <c r="J1414" s="13" t="s">
        <v>98</v>
      </c>
      <c r="K1414" s="13">
        <f t="shared" si="110"/>
        <v>5</v>
      </c>
      <c r="L1414" s="13">
        <f t="shared" si="111"/>
        <v>0</v>
      </c>
      <c r="M1414" s="13">
        <f>IF(AND(L1414=0,COUNTIFS($B$2:$B$1534,B1414,$G$2:$G$1534,G1414,$E$2:$E$1534,"&gt;="&amp;(E1414-Assumptions!$B$5),$E$2:$E$1534,"&lt;="&amp;(E1414+Assumptions!$B$5))&gt;1),1,0)</f>
        <v>0</v>
      </c>
      <c r="N1414" s="13">
        <f>IF(AND(G1414&gt;=Assumptions!$B$4*(1-Assumptions!$B$6),G1414&lt;Assumptions!$B$4),1,0)</f>
        <v>0</v>
      </c>
      <c r="O1414" s="13">
        <f>IF(AND(G1414&gt;=Assumptions!$B$7,MOD(G1414,Assumptions!$B$7)=0),1,0)</f>
        <v>0</v>
      </c>
      <c r="P1414" s="13">
        <f t="shared" si="112"/>
        <v>0</v>
      </c>
      <c r="Q1414" s="13">
        <f t="shared" si="113"/>
        <v>0</v>
      </c>
      <c r="R1414" s="13">
        <f>L1414*Assumptions!$B$11+M1414*Assumptions!$B$12+N1414*Assumptions!$B$13+O1414*Assumptions!$B$14+P1414*Assumptions!$B$15+Q1414*Assumptions!$B$16</f>
        <v>0</v>
      </c>
      <c r="S1414" s="13" t="str">
        <f>IF(R1414&gt;=Assumptions!$B$20,"High",IF(R1414&gt;=Assumptions!$B$21,"Medium",IF(R1414&gt;=1,"Low","Clear")))</f>
        <v>Clear</v>
      </c>
      <c r="T1414" s="13" t="str">
        <f t="shared" si="114"/>
        <v/>
      </c>
    </row>
    <row r="1415" spans="1:20" x14ac:dyDescent="0.35">
      <c r="A1415" s="13" t="s">
        <v>5662</v>
      </c>
      <c r="B1415" s="13" t="s">
        <v>339</v>
      </c>
      <c r="C1415" s="13" t="s">
        <v>340</v>
      </c>
      <c r="D1415" s="13" t="s">
        <v>5663</v>
      </c>
      <c r="E1415" s="14">
        <v>46075</v>
      </c>
      <c r="F1415" s="14">
        <v>46115</v>
      </c>
      <c r="G1415" s="15">
        <v>39934.879999999997</v>
      </c>
      <c r="H1415" s="13" t="s">
        <v>5664</v>
      </c>
      <c r="I1415" s="13" t="s">
        <v>5665</v>
      </c>
      <c r="J1415" s="13" t="s">
        <v>91</v>
      </c>
      <c r="K1415" s="13">
        <f t="shared" si="110"/>
        <v>3</v>
      </c>
      <c r="L1415" s="13">
        <f t="shared" si="111"/>
        <v>1</v>
      </c>
      <c r="M1415" s="13">
        <f>IF(AND(L1415=0,COUNTIFS($B$2:$B$1534,B1415,$G$2:$G$1534,G1415,$E$2:$E$1534,"&gt;="&amp;(E1415-Assumptions!$B$5),$E$2:$E$1534,"&lt;="&amp;(E1415+Assumptions!$B$5))&gt;1),1,0)</f>
        <v>0</v>
      </c>
      <c r="N1415" s="13">
        <f>IF(AND(G1415&gt;=Assumptions!$B$4*(1-Assumptions!$B$6),G1415&lt;Assumptions!$B$4),1,0)</f>
        <v>0</v>
      </c>
      <c r="O1415" s="13">
        <f>IF(AND(G1415&gt;=Assumptions!$B$7,MOD(G1415,Assumptions!$B$7)=0),1,0)</f>
        <v>0</v>
      </c>
      <c r="P1415" s="13">
        <f t="shared" si="112"/>
        <v>0</v>
      </c>
      <c r="Q1415" s="13">
        <f t="shared" si="113"/>
        <v>0</v>
      </c>
      <c r="R1415" s="13">
        <f>L1415*Assumptions!$B$11+M1415*Assumptions!$B$12+N1415*Assumptions!$B$13+O1415*Assumptions!$B$14+P1415*Assumptions!$B$15+Q1415*Assumptions!$B$16</f>
        <v>5</v>
      </c>
      <c r="S1415" s="13" t="str">
        <f>IF(R1415&gt;=Assumptions!$B$20,"High",IF(R1415&gt;=Assumptions!$B$21,"Medium",IF(R1415&gt;=1,"Low","Clear")))</f>
        <v>High</v>
      </c>
      <c r="T1415" s="13" t="str">
        <f t="shared" si="114"/>
        <v xml:space="preserve">Duplicate invoice; </v>
      </c>
    </row>
    <row r="1416" spans="1:20" x14ac:dyDescent="0.35">
      <c r="A1416" s="13" t="s">
        <v>5666</v>
      </c>
      <c r="B1416" s="13" t="s">
        <v>357</v>
      </c>
      <c r="C1416" s="13" t="s">
        <v>358</v>
      </c>
      <c r="D1416" s="13" t="s">
        <v>5667</v>
      </c>
      <c r="E1416" s="14">
        <v>46081</v>
      </c>
      <c r="F1416" s="14">
        <v>46115</v>
      </c>
      <c r="G1416" s="15">
        <v>123712.3</v>
      </c>
      <c r="H1416" s="13" t="s">
        <v>5668</v>
      </c>
      <c r="I1416" s="13" t="s">
        <v>5669</v>
      </c>
      <c r="J1416" s="13" t="s">
        <v>143</v>
      </c>
      <c r="K1416" s="13">
        <f t="shared" si="110"/>
        <v>1</v>
      </c>
      <c r="L1416" s="13">
        <f t="shared" si="111"/>
        <v>0</v>
      </c>
      <c r="M1416" s="13">
        <f>IF(AND(L1416=0,COUNTIFS($B$2:$B$1534,B1416,$G$2:$G$1534,G1416,$E$2:$E$1534,"&gt;="&amp;(E1416-Assumptions!$B$5),$E$2:$E$1534,"&lt;="&amp;(E1416+Assumptions!$B$5))&gt;1),1,0)</f>
        <v>0</v>
      </c>
      <c r="N1416" s="13">
        <f>IF(AND(G1416&gt;=Assumptions!$B$4*(1-Assumptions!$B$6),G1416&lt;Assumptions!$B$4),1,0)</f>
        <v>0</v>
      </c>
      <c r="O1416" s="13">
        <f>IF(AND(G1416&gt;=Assumptions!$B$7,MOD(G1416,Assumptions!$B$7)=0),1,0)</f>
        <v>0</v>
      </c>
      <c r="P1416" s="13">
        <f t="shared" si="112"/>
        <v>0</v>
      </c>
      <c r="Q1416" s="13">
        <f t="shared" si="113"/>
        <v>0</v>
      </c>
      <c r="R1416" s="13">
        <f>L1416*Assumptions!$B$11+M1416*Assumptions!$B$12+N1416*Assumptions!$B$13+O1416*Assumptions!$B$14+P1416*Assumptions!$B$15+Q1416*Assumptions!$B$16</f>
        <v>0</v>
      </c>
      <c r="S1416" s="13" t="str">
        <f>IF(R1416&gt;=Assumptions!$B$20,"High",IF(R1416&gt;=Assumptions!$B$21,"Medium",IF(R1416&gt;=1,"Low","Clear")))</f>
        <v>Clear</v>
      </c>
      <c r="T1416" s="13" t="str">
        <f t="shared" si="114"/>
        <v/>
      </c>
    </row>
    <row r="1417" spans="1:20" x14ac:dyDescent="0.35">
      <c r="A1417" s="13" t="s">
        <v>5670</v>
      </c>
      <c r="B1417" s="13" t="s">
        <v>182</v>
      </c>
      <c r="C1417" s="13" t="s">
        <v>183</v>
      </c>
      <c r="D1417" s="13" t="s">
        <v>5671</v>
      </c>
      <c r="E1417" s="14">
        <v>46078</v>
      </c>
      <c r="F1417" s="14">
        <v>46118</v>
      </c>
      <c r="G1417" s="15">
        <v>1271.83</v>
      </c>
      <c r="H1417" s="13" t="s">
        <v>5672</v>
      </c>
      <c r="I1417" s="13" t="s">
        <v>5673</v>
      </c>
      <c r="J1417" s="13" t="s">
        <v>111</v>
      </c>
      <c r="K1417" s="13">
        <f t="shared" si="110"/>
        <v>1</v>
      </c>
      <c r="L1417" s="13">
        <f t="shared" si="111"/>
        <v>0</v>
      </c>
      <c r="M1417" s="13">
        <f>IF(AND(L1417=0,COUNTIFS($B$2:$B$1534,B1417,$G$2:$G$1534,G1417,$E$2:$E$1534,"&gt;="&amp;(E1417-Assumptions!$B$5),$E$2:$E$1534,"&lt;="&amp;(E1417+Assumptions!$B$5))&gt;1),1,0)</f>
        <v>0</v>
      </c>
      <c r="N1417" s="13">
        <f>IF(AND(G1417&gt;=Assumptions!$B$4*(1-Assumptions!$B$6),G1417&lt;Assumptions!$B$4),1,0)</f>
        <v>0</v>
      </c>
      <c r="O1417" s="13">
        <f>IF(AND(G1417&gt;=Assumptions!$B$7,MOD(G1417,Assumptions!$B$7)=0),1,0)</f>
        <v>0</v>
      </c>
      <c r="P1417" s="13">
        <f t="shared" si="112"/>
        <v>0</v>
      </c>
      <c r="Q1417" s="13">
        <f t="shared" si="113"/>
        <v>0</v>
      </c>
      <c r="R1417" s="13">
        <f>L1417*Assumptions!$B$11+M1417*Assumptions!$B$12+N1417*Assumptions!$B$13+O1417*Assumptions!$B$14+P1417*Assumptions!$B$15+Q1417*Assumptions!$B$16</f>
        <v>0</v>
      </c>
      <c r="S1417" s="13" t="str">
        <f>IF(R1417&gt;=Assumptions!$B$20,"High",IF(R1417&gt;=Assumptions!$B$21,"Medium",IF(R1417&gt;=1,"Low","Clear")))</f>
        <v>Clear</v>
      </c>
      <c r="T1417" s="13" t="str">
        <f t="shared" si="114"/>
        <v/>
      </c>
    </row>
    <row r="1418" spans="1:20" x14ac:dyDescent="0.35">
      <c r="A1418" s="13" t="s">
        <v>5674</v>
      </c>
      <c r="B1418" s="13" t="s">
        <v>293</v>
      </c>
      <c r="C1418" s="13" t="s">
        <v>294</v>
      </c>
      <c r="D1418" s="13" t="s">
        <v>5675</v>
      </c>
      <c r="E1418" s="14">
        <v>46090</v>
      </c>
      <c r="F1418" s="14">
        <v>46118</v>
      </c>
      <c r="G1418" s="15">
        <v>35781.26</v>
      </c>
      <c r="H1418" s="13" t="s">
        <v>5676</v>
      </c>
      <c r="I1418" s="13" t="s">
        <v>5677</v>
      </c>
      <c r="J1418" s="13" t="s">
        <v>98</v>
      </c>
      <c r="K1418" s="13">
        <f t="shared" si="110"/>
        <v>3</v>
      </c>
      <c r="L1418" s="13">
        <f t="shared" si="111"/>
        <v>0</v>
      </c>
      <c r="M1418" s="13">
        <f>IF(AND(L1418=0,COUNTIFS($B$2:$B$1534,B1418,$G$2:$G$1534,G1418,$E$2:$E$1534,"&gt;="&amp;(E1418-Assumptions!$B$5),$E$2:$E$1534,"&lt;="&amp;(E1418+Assumptions!$B$5))&gt;1),1,0)</f>
        <v>0</v>
      </c>
      <c r="N1418" s="13">
        <f>IF(AND(G1418&gt;=Assumptions!$B$4*(1-Assumptions!$B$6),G1418&lt;Assumptions!$B$4),1,0)</f>
        <v>0</v>
      </c>
      <c r="O1418" s="13">
        <f>IF(AND(G1418&gt;=Assumptions!$B$7,MOD(G1418,Assumptions!$B$7)=0),1,0)</f>
        <v>0</v>
      </c>
      <c r="P1418" s="13">
        <f t="shared" si="112"/>
        <v>0</v>
      </c>
      <c r="Q1418" s="13">
        <f t="shared" si="113"/>
        <v>0</v>
      </c>
      <c r="R1418" s="13">
        <f>L1418*Assumptions!$B$11+M1418*Assumptions!$B$12+N1418*Assumptions!$B$13+O1418*Assumptions!$B$14+P1418*Assumptions!$B$15+Q1418*Assumptions!$B$16</f>
        <v>0</v>
      </c>
      <c r="S1418" s="13" t="str">
        <f>IF(R1418&gt;=Assumptions!$B$20,"High",IF(R1418&gt;=Assumptions!$B$21,"Medium",IF(R1418&gt;=1,"Low","Clear")))</f>
        <v>Clear</v>
      </c>
      <c r="T1418" s="13" t="str">
        <f t="shared" si="114"/>
        <v/>
      </c>
    </row>
    <row r="1419" spans="1:20" x14ac:dyDescent="0.35">
      <c r="A1419" s="13" t="s">
        <v>5678</v>
      </c>
      <c r="B1419" s="13" t="s">
        <v>670</v>
      </c>
      <c r="C1419" s="13" t="s">
        <v>671</v>
      </c>
      <c r="D1419" s="13" t="s">
        <v>5679</v>
      </c>
      <c r="E1419" s="14">
        <v>46096</v>
      </c>
      <c r="F1419" s="14">
        <v>46118</v>
      </c>
      <c r="G1419" s="15">
        <v>5318.81</v>
      </c>
      <c r="H1419" s="13" t="s">
        <v>5680</v>
      </c>
      <c r="I1419" s="13" t="s">
        <v>5681</v>
      </c>
      <c r="J1419" s="13" t="s">
        <v>98</v>
      </c>
      <c r="K1419" s="13">
        <f t="shared" si="110"/>
        <v>5</v>
      </c>
      <c r="L1419" s="13">
        <f t="shared" si="111"/>
        <v>0</v>
      </c>
      <c r="M1419" s="13">
        <f>IF(AND(L1419=0,COUNTIFS($B$2:$B$1534,B1419,$G$2:$G$1534,G1419,$E$2:$E$1534,"&gt;="&amp;(E1419-Assumptions!$B$5),$E$2:$E$1534,"&lt;="&amp;(E1419+Assumptions!$B$5))&gt;1),1,0)</f>
        <v>0</v>
      </c>
      <c r="N1419" s="13">
        <f>IF(AND(G1419&gt;=Assumptions!$B$4*(1-Assumptions!$B$6),G1419&lt;Assumptions!$B$4),1,0)</f>
        <v>0</v>
      </c>
      <c r="O1419" s="13">
        <f>IF(AND(G1419&gt;=Assumptions!$B$7,MOD(G1419,Assumptions!$B$7)=0),1,0)</f>
        <v>0</v>
      </c>
      <c r="P1419" s="13">
        <f t="shared" si="112"/>
        <v>0</v>
      </c>
      <c r="Q1419" s="13">
        <f t="shared" si="113"/>
        <v>0</v>
      </c>
      <c r="R1419" s="13">
        <f>L1419*Assumptions!$B$11+M1419*Assumptions!$B$12+N1419*Assumptions!$B$13+O1419*Assumptions!$B$14+P1419*Assumptions!$B$15+Q1419*Assumptions!$B$16</f>
        <v>0</v>
      </c>
      <c r="S1419" s="13" t="str">
        <f>IF(R1419&gt;=Assumptions!$B$20,"High",IF(R1419&gt;=Assumptions!$B$21,"Medium",IF(R1419&gt;=1,"Low","Clear")))</f>
        <v>Clear</v>
      </c>
      <c r="T1419" s="13" t="str">
        <f t="shared" si="114"/>
        <v/>
      </c>
    </row>
    <row r="1420" spans="1:20" x14ac:dyDescent="0.35">
      <c r="A1420" s="13" t="s">
        <v>5682</v>
      </c>
      <c r="B1420" s="13" t="s">
        <v>200</v>
      </c>
      <c r="C1420" s="13" t="s">
        <v>201</v>
      </c>
      <c r="D1420" s="13" t="s">
        <v>5683</v>
      </c>
      <c r="E1420" s="14">
        <v>46079</v>
      </c>
      <c r="F1420" s="14">
        <v>46118</v>
      </c>
      <c r="G1420" s="15">
        <v>130203</v>
      </c>
      <c r="H1420" s="13" t="s">
        <v>5684</v>
      </c>
      <c r="I1420" s="13" t="s">
        <v>5685</v>
      </c>
      <c r="J1420" s="13" t="s">
        <v>143</v>
      </c>
      <c r="K1420" s="13">
        <f t="shared" si="110"/>
        <v>1</v>
      </c>
      <c r="L1420" s="13">
        <f t="shared" si="111"/>
        <v>0</v>
      </c>
      <c r="M1420" s="13">
        <f>IF(AND(L1420=0,COUNTIFS($B$2:$B$1534,B1420,$G$2:$G$1534,G1420,$E$2:$E$1534,"&gt;="&amp;(E1420-Assumptions!$B$5),$E$2:$E$1534,"&lt;="&amp;(E1420+Assumptions!$B$5))&gt;1),1,0)</f>
        <v>0</v>
      </c>
      <c r="N1420" s="13">
        <f>IF(AND(G1420&gt;=Assumptions!$B$4*(1-Assumptions!$B$6),G1420&lt;Assumptions!$B$4),1,0)</f>
        <v>0</v>
      </c>
      <c r="O1420" s="13">
        <f>IF(AND(G1420&gt;=Assumptions!$B$7,MOD(G1420,Assumptions!$B$7)=0),1,0)</f>
        <v>0</v>
      </c>
      <c r="P1420" s="13">
        <f t="shared" si="112"/>
        <v>0</v>
      </c>
      <c r="Q1420" s="13">
        <f t="shared" si="113"/>
        <v>0</v>
      </c>
      <c r="R1420" s="13">
        <f>L1420*Assumptions!$B$11+M1420*Assumptions!$B$12+N1420*Assumptions!$B$13+O1420*Assumptions!$B$14+P1420*Assumptions!$B$15+Q1420*Assumptions!$B$16</f>
        <v>0</v>
      </c>
      <c r="S1420" s="13" t="str">
        <f>IF(R1420&gt;=Assumptions!$B$20,"High",IF(R1420&gt;=Assumptions!$B$21,"Medium",IF(R1420&gt;=1,"Low","Clear")))</f>
        <v>Clear</v>
      </c>
      <c r="T1420" s="13" t="str">
        <f t="shared" si="114"/>
        <v/>
      </c>
    </row>
    <row r="1421" spans="1:20" x14ac:dyDescent="0.35">
      <c r="A1421" s="13" t="s">
        <v>5686</v>
      </c>
      <c r="B1421" s="13" t="s">
        <v>680</v>
      </c>
      <c r="C1421" s="13" t="s">
        <v>681</v>
      </c>
      <c r="D1421" s="13" t="s">
        <v>5687</v>
      </c>
      <c r="E1421" s="14">
        <v>46083</v>
      </c>
      <c r="F1421" s="14">
        <v>46118</v>
      </c>
      <c r="G1421" s="15">
        <v>609833.32999999996</v>
      </c>
      <c r="H1421" s="13" t="s">
        <v>5688</v>
      </c>
      <c r="I1421" s="13" t="s">
        <v>5689</v>
      </c>
      <c r="J1421" s="13" t="s">
        <v>136</v>
      </c>
      <c r="K1421" s="13">
        <f t="shared" si="110"/>
        <v>6</v>
      </c>
      <c r="L1421" s="13">
        <f t="shared" si="111"/>
        <v>0</v>
      </c>
      <c r="M1421" s="13">
        <f>IF(AND(L1421=0,COUNTIFS($B$2:$B$1534,B1421,$G$2:$G$1534,G1421,$E$2:$E$1534,"&gt;="&amp;(E1421-Assumptions!$B$5),$E$2:$E$1534,"&lt;="&amp;(E1421+Assumptions!$B$5))&gt;1),1,0)</f>
        <v>0</v>
      </c>
      <c r="N1421" s="13">
        <f>IF(AND(G1421&gt;=Assumptions!$B$4*(1-Assumptions!$B$6),G1421&lt;Assumptions!$B$4),1,0)</f>
        <v>0</v>
      </c>
      <c r="O1421" s="13">
        <f>IF(AND(G1421&gt;=Assumptions!$B$7,MOD(G1421,Assumptions!$B$7)=0),1,0)</f>
        <v>0</v>
      </c>
      <c r="P1421" s="13">
        <f t="shared" si="112"/>
        <v>0</v>
      </c>
      <c r="Q1421" s="13">
        <f t="shared" si="113"/>
        <v>0</v>
      </c>
      <c r="R1421" s="13">
        <f>L1421*Assumptions!$B$11+M1421*Assumptions!$B$12+N1421*Assumptions!$B$13+O1421*Assumptions!$B$14+P1421*Assumptions!$B$15+Q1421*Assumptions!$B$16</f>
        <v>0</v>
      </c>
      <c r="S1421" s="13" t="str">
        <f>IF(R1421&gt;=Assumptions!$B$20,"High",IF(R1421&gt;=Assumptions!$B$21,"Medium",IF(R1421&gt;=1,"Low","Clear")))</f>
        <v>Clear</v>
      </c>
      <c r="T1421" s="13" t="str">
        <f t="shared" si="114"/>
        <v/>
      </c>
    </row>
    <row r="1422" spans="1:20" x14ac:dyDescent="0.35">
      <c r="A1422" s="13" t="s">
        <v>5690</v>
      </c>
      <c r="B1422" s="13" t="s">
        <v>680</v>
      </c>
      <c r="C1422" s="13" t="s">
        <v>681</v>
      </c>
      <c r="D1422" s="13" t="s">
        <v>5691</v>
      </c>
      <c r="E1422" s="14">
        <v>46082</v>
      </c>
      <c r="F1422" s="14">
        <v>46118</v>
      </c>
      <c r="G1422" s="15">
        <v>23719.8</v>
      </c>
      <c r="H1422" s="13" t="s">
        <v>5692</v>
      </c>
      <c r="I1422" s="13" t="s">
        <v>5693</v>
      </c>
      <c r="J1422" s="13" t="s">
        <v>143</v>
      </c>
      <c r="K1422" s="13">
        <f t="shared" si="110"/>
        <v>2</v>
      </c>
      <c r="L1422" s="13">
        <f t="shared" si="111"/>
        <v>0</v>
      </c>
      <c r="M1422" s="13">
        <f>IF(AND(L1422=0,COUNTIFS($B$2:$B$1534,B1422,$G$2:$G$1534,G1422,$E$2:$E$1534,"&gt;="&amp;(E1422-Assumptions!$B$5),$E$2:$E$1534,"&lt;="&amp;(E1422+Assumptions!$B$5))&gt;1),1,0)</f>
        <v>0</v>
      </c>
      <c r="N1422" s="13">
        <f>IF(AND(G1422&gt;=Assumptions!$B$4*(1-Assumptions!$B$6),G1422&lt;Assumptions!$B$4),1,0)</f>
        <v>0</v>
      </c>
      <c r="O1422" s="13">
        <f>IF(AND(G1422&gt;=Assumptions!$B$7,MOD(G1422,Assumptions!$B$7)=0),1,0)</f>
        <v>0</v>
      </c>
      <c r="P1422" s="13">
        <f t="shared" si="112"/>
        <v>0</v>
      </c>
      <c r="Q1422" s="13">
        <f t="shared" si="113"/>
        <v>0</v>
      </c>
      <c r="R1422" s="13">
        <f>L1422*Assumptions!$B$11+M1422*Assumptions!$B$12+N1422*Assumptions!$B$13+O1422*Assumptions!$B$14+P1422*Assumptions!$B$15+Q1422*Assumptions!$B$16</f>
        <v>0</v>
      </c>
      <c r="S1422" s="13" t="str">
        <f>IF(R1422&gt;=Assumptions!$B$20,"High",IF(R1422&gt;=Assumptions!$B$21,"Medium",IF(R1422&gt;=1,"Low","Clear")))</f>
        <v>Clear</v>
      </c>
      <c r="T1422" s="13" t="str">
        <f t="shared" si="114"/>
        <v/>
      </c>
    </row>
    <row r="1423" spans="1:20" x14ac:dyDescent="0.35">
      <c r="A1423" s="13" t="s">
        <v>5694</v>
      </c>
      <c r="B1423" s="13" t="s">
        <v>307</v>
      </c>
      <c r="C1423" s="13" t="s">
        <v>308</v>
      </c>
      <c r="D1423" s="13" t="s">
        <v>5695</v>
      </c>
      <c r="E1423" s="14">
        <v>46097</v>
      </c>
      <c r="F1423" s="14">
        <v>46118</v>
      </c>
      <c r="G1423" s="15">
        <v>1373.5</v>
      </c>
      <c r="H1423" s="13" t="s">
        <v>5696</v>
      </c>
      <c r="I1423" s="13" t="s">
        <v>5697</v>
      </c>
      <c r="J1423" s="13" t="s">
        <v>111</v>
      </c>
      <c r="K1423" s="13">
        <f t="shared" si="110"/>
        <v>1</v>
      </c>
      <c r="L1423" s="13">
        <f t="shared" si="111"/>
        <v>0</v>
      </c>
      <c r="M1423" s="13">
        <f>IF(AND(L1423=0,COUNTIFS($B$2:$B$1534,B1423,$G$2:$G$1534,G1423,$E$2:$E$1534,"&gt;="&amp;(E1423-Assumptions!$B$5),$E$2:$E$1534,"&lt;="&amp;(E1423+Assumptions!$B$5))&gt;1),1,0)</f>
        <v>0</v>
      </c>
      <c r="N1423" s="13">
        <f>IF(AND(G1423&gt;=Assumptions!$B$4*(1-Assumptions!$B$6),G1423&lt;Assumptions!$B$4),1,0)</f>
        <v>0</v>
      </c>
      <c r="O1423" s="13">
        <f>IF(AND(G1423&gt;=Assumptions!$B$7,MOD(G1423,Assumptions!$B$7)=0),1,0)</f>
        <v>0</v>
      </c>
      <c r="P1423" s="13">
        <f t="shared" si="112"/>
        <v>0</v>
      </c>
      <c r="Q1423" s="13">
        <f t="shared" si="113"/>
        <v>0</v>
      </c>
      <c r="R1423" s="13">
        <f>L1423*Assumptions!$B$11+M1423*Assumptions!$B$12+N1423*Assumptions!$B$13+O1423*Assumptions!$B$14+P1423*Assumptions!$B$15+Q1423*Assumptions!$B$16</f>
        <v>0</v>
      </c>
      <c r="S1423" s="13" t="str">
        <f>IF(R1423&gt;=Assumptions!$B$20,"High",IF(R1423&gt;=Assumptions!$B$21,"Medium",IF(R1423&gt;=1,"Low","Clear")))</f>
        <v>Clear</v>
      </c>
      <c r="T1423" s="13" t="str">
        <f t="shared" si="114"/>
        <v/>
      </c>
    </row>
    <row r="1424" spans="1:20" x14ac:dyDescent="0.35">
      <c r="A1424" s="13" t="s">
        <v>5698</v>
      </c>
      <c r="B1424" s="13" t="s">
        <v>218</v>
      </c>
      <c r="C1424" s="13" t="s">
        <v>219</v>
      </c>
      <c r="D1424" s="13" t="s">
        <v>5699</v>
      </c>
      <c r="E1424" s="14">
        <v>46083</v>
      </c>
      <c r="F1424" s="14">
        <v>46118</v>
      </c>
      <c r="G1424" s="15">
        <v>52007.95</v>
      </c>
      <c r="H1424" s="13" t="s">
        <v>5700</v>
      </c>
      <c r="I1424" s="13" t="s">
        <v>5701</v>
      </c>
      <c r="J1424" s="13" t="s">
        <v>143</v>
      </c>
      <c r="K1424" s="13">
        <f t="shared" si="110"/>
        <v>5</v>
      </c>
      <c r="L1424" s="13">
        <f t="shared" si="111"/>
        <v>0</v>
      </c>
      <c r="M1424" s="13">
        <f>IF(AND(L1424=0,COUNTIFS($B$2:$B$1534,B1424,$G$2:$G$1534,G1424,$E$2:$E$1534,"&gt;="&amp;(E1424-Assumptions!$B$5),$E$2:$E$1534,"&lt;="&amp;(E1424+Assumptions!$B$5))&gt;1),1,0)</f>
        <v>0</v>
      </c>
      <c r="N1424" s="13">
        <f>IF(AND(G1424&gt;=Assumptions!$B$4*(1-Assumptions!$B$6),G1424&lt;Assumptions!$B$4),1,0)</f>
        <v>0</v>
      </c>
      <c r="O1424" s="13">
        <f>IF(AND(G1424&gt;=Assumptions!$B$7,MOD(G1424,Assumptions!$B$7)=0),1,0)</f>
        <v>0</v>
      </c>
      <c r="P1424" s="13">
        <f t="shared" si="112"/>
        <v>0</v>
      </c>
      <c r="Q1424" s="13">
        <f t="shared" si="113"/>
        <v>0</v>
      </c>
      <c r="R1424" s="13">
        <f>L1424*Assumptions!$B$11+M1424*Assumptions!$B$12+N1424*Assumptions!$B$13+O1424*Assumptions!$B$14+P1424*Assumptions!$B$15+Q1424*Assumptions!$B$16</f>
        <v>0</v>
      </c>
      <c r="S1424" s="13" t="str">
        <f>IF(R1424&gt;=Assumptions!$B$20,"High",IF(R1424&gt;=Assumptions!$B$21,"Medium",IF(R1424&gt;=1,"Low","Clear")))</f>
        <v>Clear</v>
      </c>
      <c r="T1424" s="13" t="str">
        <f t="shared" si="114"/>
        <v/>
      </c>
    </row>
    <row r="1425" spans="1:20" x14ac:dyDescent="0.35">
      <c r="A1425" s="13" t="s">
        <v>5702</v>
      </c>
      <c r="B1425" s="13" t="s">
        <v>138</v>
      </c>
      <c r="C1425" s="13" t="s">
        <v>139</v>
      </c>
      <c r="D1425" s="13" t="s">
        <v>5703</v>
      </c>
      <c r="E1425" s="14">
        <v>46082</v>
      </c>
      <c r="F1425" s="14">
        <v>46118</v>
      </c>
      <c r="G1425" s="15">
        <v>16881.189999999999</v>
      </c>
      <c r="H1425" s="13" t="s">
        <v>5704</v>
      </c>
      <c r="I1425" s="13" t="s">
        <v>5705</v>
      </c>
      <c r="J1425" s="13" t="s">
        <v>136</v>
      </c>
      <c r="K1425" s="13">
        <f t="shared" si="110"/>
        <v>1</v>
      </c>
      <c r="L1425" s="13">
        <f t="shared" si="111"/>
        <v>0</v>
      </c>
      <c r="M1425" s="13">
        <f>IF(AND(L1425=0,COUNTIFS($B$2:$B$1534,B1425,$G$2:$G$1534,G1425,$E$2:$E$1534,"&gt;="&amp;(E1425-Assumptions!$B$5),$E$2:$E$1534,"&lt;="&amp;(E1425+Assumptions!$B$5))&gt;1),1,0)</f>
        <v>0</v>
      </c>
      <c r="N1425" s="13">
        <f>IF(AND(G1425&gt;=Assumptions!$B$4*(1-Assumptions!$B$6),G1425&lt;Assumptions!$B$4),1,0)</f>
        <v>0</v>
      </c>
      <c r="O1425" s="13">
        <f>IF(AND(G1425&gt;=Assumptions!$B$7,MOD(G1425,Assumptions!$B$7)=0),1,0)</f>
        <v>0</v>
      </c>
      <c r="P1425" s="13">
        <f t="shared" si="112"/>
        <v>0</v>
      </c>
      <c r="Q1425" s="13">
        <f t="shared" si="113"/>
        <v>0</v>
      </c>
      <c r="R1425" s="13">
        <f>L1425*Assumptions!$B$11+M1425*Assumptions!$B$12+N1425*Assumptions!$B$13+O1425*Assumptions!$B$14+P1425*Assumptions!$B$15+Q1425*Assumptions!$B$16</f>
        <v>0</v>
      </c>
      <c r="S1425" s="13" t="str">
        <f>IF(R1425&gt;=Assumptions!$B$20,"High",IF(R1425&gt;=Assumptions!$B$21,"Medium",IF(R1425&gt;=1,"Low","Clear")))</f>
        <v>Clear</v>
      </c>
      <c r="T1425" s="13" t="str">
        <f t="shared" si="114"/>
        <v/>
      </c>
    </row>
    <row r="1426" spans="1:20" x14ac:dyDescent="0.35">
      <c r="A1426" s="13" t="s">
        <v>5706</v>
      </c>
      <c r="B1426" s="13" t="s">
        <v>339</v>
      </c>
      <c r="C1426" s="13" t="s">
        <v>340</v>
      </c>
      <c r="D1426" s="13" t="s">
        <v>5707</v>
      </c>
      <c r="E1426" s="14">
        <v>46089</v>
      </c>
      <c r="F1426" s="14">
        <v>46118</v>
      </c>
      <c r="G1426" s="15">
        <v>1368.52</v>
      </c>
      <c r="H1426" s="13" t="s">
        <v>5708</v>
      </c>
      <c r="I1426" s="13" t="s">
        <v>5709</v>
      </c>
      <c r="J1426" s="13" t="s">
        <v>111</v>
      </c>
      <c r="K1426" s="13">
        <f t="shared" si="110"/>
        <v>1</v>
      </c>
      <c r="L1426" s="13">
        <f t="shared" si="111"/>
        <v>0</v>
      </c>
      <c r="M1426" s="13">
        <f>IF(AND(L1426=0,COUNTIFS($B$2:$B$1534,B1426,$G$2:$G$1534,G1426,$E$2:$E$1534,"&gt;="&amp;(E1426-Assumptions!$B$5),$E$2:$E$1534,"&lt;="&amp;(E1426+Assumptions!$B$5))&gt;1),1,0)</f>
        <v>0</v>
      </c>
      <c r="N1426" s="13">
        <f>IF(AND(G1426&gt;=Assumptions!$B$4*(1-Assumptions!$B$6),G1426&lt;Assumptions!$B$4),1,0)</f>
        <v>0</v>
      </c>
      <c r="O1426" s="13">
        <f>IF(AND(G1426&gt;=Assumptions!$B$7,MOD(G1426,Assumptions!$B$7)=0),1,0)</f>
        <v>0</v>
      </c>
      <c r="P1426" s="13">
        <f t="shared" si="112"/>
        <v>0</v>
      </c>
      <c r="Q1426" s="13">
        <f t="shared" si="113"/>
        <v>0</v>
      </c>
      <c r="R1426" s="13">
        <f>L1426*Assumptions!$B$11+M1426*Assumptions!$B$12+N1426*Assumptions!$B$13+O1426*Assumptions!$B$14+P1426*Assumptions!$B$15+Q1426*Assumptions!$B$16</f>
        <v>0</v>
      </c>
      <c r="S1426" s="13" t="str">
        <f>IF(R1426&gt;=Assumptions!$B$20,"High",IF(R1426&gt;=Assumptions!$B$21,"Medium",IF(R1426&gt;=1,"Low","Clear")))</f>
        <v>Clear</v>
      </c>
      <c r="T1426" s="13" t="str">
        <f t="shared" si="114"/>
        <v/>
      </c>
    </row>
    <row r="1427" spans="1:20" x14ac:dyDescent="0.35">
      <c r="A1427" s="13" t="s">
        <v>5710</v>
      </c>
      <c r="B1427" s="13" t="s">
        <v>339</v>
      </c>
      <c r="C1427" s="13" t="s">
        <v>340</v>
      </c>
      <c r="D1427" s="13" t="s">
        <v>5711</v>
      </c>
      <c r="E1427" s="14">
        <v>46094</v>
      </c>
      <c r="F1427" s="14">
        <v>46118</v>
      </c>
      <c r="G1427" s="15">
        <v>4126.3100000000004</v>
      </c>
      <c r="H1427" s="13" t="s">
        <v>5712</v>
      </c>
      <c r="I1427" s="13" t="s">
        <v>5713</v>
      </c>
      <c r="J1427" s="13" t="s">
        <v>98</v>
      </c>
      <c r="K1427" s="13">
        <f t="shared" si="110"/>
        <v>4</v>
      </c>
      <c r="L1427" s="13">
        <f t="shared" si="111"/>
        <v>0</v>
      </c>
      <c r="M1427" s="13">
        <f>IF(AND(L1427=0,COUNTIFS($B$2:$B$1534,B1427,$G$2:$G$1534,G1427,$E$2:$E$1534,"&gt;="&amp;(E1427-Assumptions!$B$5),$E$2:$E$1534,"&lt;="&amp;(E1427+Assumptions!$B$5))&gt;1),1,0)</f>
        <v>0</v>
      </c>
      <c r="N1427" s="13">
        <f>IF(AND(G1427&gt;=Assumptions!$B$4*(1-Assumptions!$B$6),G1427&lt;Assumptions!$B$4),1,0)</f>
        <v>0</v>
      </c>
      <c r="O1427" s="13">
        <f>IF(AND(G1427&gt;=Assumptions!$B$7,MOD(G1427,Assumptions!$B$7)=0),1,0)</f>
        <v>0</v>
      </c>
      <c r="P1427" s="13">
        <f t="shared" si="112"/>
        <v>0</v>
      </c>
      <c r="Q1427" s="13">
        <f t="shared" si="113"/>
        <v>0</v>
      </c>
      <c r="R1427" s="13">
        <f>L1427*Assumptions!$B$11+M1427*Assumptions!$B$12+N1427*Assumptions!$B$13+O1427*Assumptions!$B$14+P1427*Assumptions!$B$15+Q1427*Assumptions!$B$16</f>
        <v>0</v>
      </c>
      <c r="S1427" s="13" t="str">
        <f>IF(R1427&gt;=Assumptions!$B$20,"High",IF(R1427&gt;=Assumptions!$B$21,"Medium",IF(R1427&gt;=1,"Low","Clear")))</f>
        <v>Clear</v>
      </c>
      <c r="T1427" s="13" t="str">
        <f t="shared" si="114"/>
        <v/>
      </c>
    </row>
    <row r="1428" spans="1:20" x14ac:dyDescent="0.35">
      <c r="A1428" s="13" t="s">
        <v>5714</v>
      </c>
      <c r="B1428" s="13" t="s">
        <v>556</v>
      </c>
      <c r="C1428" s="13" t="s">
        <v>557</v>
      </c>
      <c r="D1428" s="13" t="s">
        <v>5715</v>
      </c>
      <c r="E1428" s="14">
        <v>46093</v>
      </c>
      <c r="F1428" s="14">
        <v>46118</v>
      </c>
      <c r="G1428" s="15">
        <v>5482.12</v>
      </c>
      <c r="H1428" s="13" t="s">
        <v>5716</v>
      </c>
      <c r="I1428" s="13" t="s">
        <v>5717</v>
      </c>
      <c r="J1428" s="13" t="s">
        <v>143</v>
      </c>
      <c r="K1428" s="13">
        <f t="shared" si="110"/>
        <v>5</v>
      </c>
      <c r="L1428" s="13">
        <f t="shared" si="111"/>
        <v>0</v>
      </c>
      <c r="M1428" s="13">
        <f>IF(AND(L1428=0,COUNTIFS($B$2:$B$1534,B1428,$G$2:$G$1534,G1428,$E$2:$E$1534,"&gt;="&amp;(E1428-Assumptions!$B$5),$E$2:$E$1534,"&lt;="&amp;(E1428+Assumptions!$B$5))&gt;1),1,0)</f>
        <v>0</v>
      </c>
      <c r="N1428" s="13">
        <f>IF(AND(G1428&gt;=Assumptions!$B$4*(1-Assumptions!$B$6),G1428&lt;Assumptions!$B$4),1,0)</f>
        <v>0</v>
      </c>
      <c r="O1428" s="13">
        <f>IF(AND(G1428&gt;=Assumptions!$B$7,MOD(G1428,Assumptions!$B$7)=0),1,0)</f>
        <v>0</v>
      </c>
      <c r="P1428" s="13">
        <f t="shared" si="112"/>
        <v>0</v>
      </c>
      <c r="Q1428" s="13">
        <f t="shared" si="113"/>
        <v>0</v>
      </c>
      <c r="R1428" s="13">
        <f>L1428*Assumptions!$B$11+M1428*Assumptions!$B$12+N1428*Assumptions!$B$13+O1428*Assumptions!$B$14+P1428*Assumptions!$B$15+Q1428*Assumptions!$B$16</f>
        <v>0</v>
      </c>
      <c r="S1428" s="13" t="str">
        <f>IF(R1428&gt;=Assumptions!$B$20,"High",IF(R1428&gt;=Assumptions!$B$21,"Medium",IF(R1428&gt;=1,"Low","Clear")))</f>
        <v>Clear</v>
      </c>
      <c r="T1428" s="13" t="str">
        <f t="shared" si="114"/>
        <v/>
      </c>
    </row>
    <row r="1429" spans="1:20" x14ac:dyDescent="0.35">
      <c r="A1429" s="13" t="s">
        <v>5718</v>
      </c>
      <c r="B1429" s="13" t="s">
        <v>125</v>
      </c>
      <c r="C1429" s="13" t="s">
        <v>126</v>
      </c>
      <c r="D1429" s="13" t="s">
        <v>5719</v>
      </c>
      <c r="E1429" s="14">
        <v>46084</v>
      </c>
      <c r="F1429" s="14">
        <v>46118</v>
      </c>
      <c r="G1429" s="15">
        <v>2474.4299999999998</v>
      </c>
      <c r="H1429" s="13" t="s">
        <v>5720</v>
      </c>
      <c r="I1429" s="13" t="s">
        <v>5721</v>
      </c>
      <c r="J1429" s="13" t="s">
        <v>98</v>
      </c>
      <c r="K1429" s="13">
        <f t="shared" si="110"/>
        <v>2</v>
      </c>
      <c r="L1429" s="13">
        <f t="shared" si="111"/>
        <v>0</v>
      </c>
      <c r="M1429" s="13">
        <f>IF(AND(L1429=0,COUNTIFS($B$2:$B$1534,B1429,$G$2:$G$1534,G1429,$E$2:$E$1534,"&gt;="&amp;(E1429-Assumptions!$B$5),$E$2:$E$1534,"&lt;="&amp;(E1429+Assumptions!$B$5))&gt;1),1,0)</f>
        <v>0</v>
      </c>
      <c r="N1429" s="13">
        <f>IF(AND(G1429&gt;=Assumptions!$B$4*(1-Assumptions!$B$6),G1429&lt;Assumptions!$B$4),1,0)</f>
        <v>0</v>
      </c>
      <c r="O1429" s="13">
        <f>IF(AND(G1429&gt;=Assumptions!$B$7,MOD(G1429,Assumptions!$B$7)=0),1,0)</f>
        <v>0</v>
      </c>
      <c r="P1429" s="13">
        <f t="shared" si="112"/>
        <v>0</v>
      </c>
      <c r="Q1429" s="13">
        <f t="shared" si="113"/>
        <v>0</v>
      </c>
      <c r="R1429" s="13">
        <f>L1429*Assumptions!$B$11+M1429*Assumptions!$B$12+N1429*Assumptions!$B$13+O1429*Assumptions!$B$14+P1429*Assumptions!$B$15+Q1429*Assumptions!$B$16</f>
        <v>0</v>
      </c>
      <c r="S1429" s="13" t="str">
        <f>IF(R1429&gt;=Assumptions!$B$20,"High",IF(R1429&gt;=Assumptions!$B$21,"Medium",IF(R1429&gt;=1,"Low","Clear")))</f>
        <v>Clear</v>
      </c>
      <c r="T1429" s="13" t="str">
        <f t="shared" si="114"/>
        <v/>
      </c>
    </row>
    <row r="1430" spans="1:20" x14ac:dyDescent="0.35">
      <c r="A1430" s="13" t="s">
        <v>5722</v>
      </c>
      <c r="B1430" s="13" t="s">
        <v>176</v>
      </c>
      <c r="C1430" s="13" t="s">
        <v>177</v>
      </c>
      <c r="D1430" s="13" t="s">
        <v>5723</v>
      </c>
      <c r="E1430" s="14">
        <v>46096</v>
      </c>
      <c r="F1430" s="14">
        <v>46119</v>
      </c>
      <c r="G1430" s="15">
        <v>110950.97</v>
      </c>
      <c r="H1430" s="13" t="s">
        <v>4030</v>
      </c>
      <c r="I1430" s="13" t="s">
        <v>4031</v>
      </c>
      <c r="J1430" s="13" t="s">
        <v>136</v>
      </c>
      <c r="K1430" s="13">
        <f t="shared" si="110"/>
        <v>1</v>
      </c>
      <c r="L1430" s="13">
        <f t="shared" si="111"/>
        <v>0</v>
      </c>
      <c r="M1430" s="13">
        <f>IF(AND(L1430=0,COUNTIFS($B$2:$B$1534,B1430,$G$2:$G$1534,G1430,$E$2:$E$1534,"&gt;="&amp;(E1430-Assumptions!$B$5),$E$2:$E$1534,"&lt;="&amp;(E1430+Assumptions!$B$5))&gt;1),1,0)</f>
        <v>0</v>
      </c>
      <c r="N1430" s="13">
        <f>IF(AND(G1430&gt;=Assumptions!$B$4*(1-Assumptions!$B$6),G1430&lt;Assumptions!$B$4),1,0)</f>
        <v>0</v>
      </c>
      <c r="O1430" s="13">
        <f>IF(AND(G1430&gt;=Assumptions!$B$7,MOD(G1430,Assumptions!$B$7)=0),1,0)</f>
        <v>0</v>
      </c>
      <c r="P1430" s="13">
        <f t="shared" si="112"/>
        <v>0</v>
      </c>
      <c r="Q1430" s="13">
        <f t="shared" si="113"/>
        <v>0</v>
      </c>
      <c r="R1430" s="13">
        <f>L1430*Assumptions!$B$11+M1430*Assumptions!$B$12+N1430*Assumptions!$B$13+O1430*Assumptions!$B$14+P1430*Assumptions!$B$15+Q1430*Assumptions!$B$16</f>
        <v>0</v>
      </c>
      <c r="S1430" s="13" t="str">
        <f>IF(R1430&gt;=Assumptions!$B$20,"High",IF(R1430&gt;=Assumptions!$B$21,"Medium",IF(R1430&gt;=1,"Low","Clear")))</f>
        <v>Clear</v>
      </c>
      <c r="T1430" s="13" t="str">
        <f t="shared" si="114"/>
        <v/>
      </c>
    </row>
    <row r="1431" spans="1:20" x14ac:dyDescent="0.35">
      <c r="A1431" s="13" t="s">
        <v>5724</v>
      </c>
      <c r="B1431" s="13" t="s">
        <v>228</v>
      </c>
      <c r="C1431" s="13" t="s">
        <v>229</v>
      </c>
      <c r="D1431" s="13" t="s">
        <v>5725</v>
      </c>
      <c r="E1431" s="14">
        <v>46094</v>
      </c>
      <c r="F1431" s="14">
        <v>46119</v>
      </c>
      <c r="G1431" s="15">
        <v>616264.77</v>
      </c>
      <c r="H1431" s="13" t="s">
        <v>5726</v>
      </c>
      <c r="I1431" s="13" t="s">
        <v>5727</v>
      </c>
      <c r="J1431" s="13" t="s">
        <v>91</v>
      </c>
      <c r="K1431" s="13">
        <f t="shared" si="110"/>
        <v>6</v>
      </c>
      <c r="L1431" s="13">
        <f t="shared" si="111"/>
        <v>0</v>
      </c>
      <c r="M1431" s="13">
        <f>IF(AND(L1431=0,COUNTIFS($B$2:$B$1534,B1431,$G$2:$G$1534,G1431,$E$2:$E$1534,"&gt;="&amp;(E1431-Assumptions!$B$5),$E$2:$E$1534,"&lt;="&amp;(E1431+Assumptions!$B$5))&gt;1),1,0)</f>
        <v>0</v>
      </c>
      <c r="N1431" s="13">
        <f>IF(AND(G1431&gt;=Assumptions!$B$4*(1-Assumptions!$B$6),G1431&lt;Assumptions!$B$4),1,0)</f>
        <v>0</v>
      </c>
      <c r="O1431" s="13">
        <f>IF(AND(G1431&gt;=Assumptions!$B$7,MOD(G1431,Assumptions!$B$7)=0),1,0)</f>
        <v>0</v>
      </c>
      <c r="P1431" s="13">
        <f t="shared" si="112"/>
        <v>0</v>
      </c>
      <c r="Q1431" s="13">
        <f t="shared" si="113"/>
        <v>0</v>
      </c>
      <c r="R1431" s="13">
        <f>L1431*Assumptions!$B$11+M1431*Assumptions!$B$12+N1431*Assumptions!$B$13+O1431*Assumptions!$B$14+P1431*Assumptions!$B$15+Q1431*Assumptions!$B$16</f>
        <v>0</v>
      </c>
      <c r="S1431" s="13" t="str">
        <f>IF(R1431&gt;=Assumptions!$B$20,"High",IF(R1431&gt;=Assumptions!$B$21,"Medium",IF(R1431&gt;=1,"Low","Clear")))</f>
        <v>Clear</v>
      </c>
      <c r="T1431" s="13" t="str">
        <f t="shared" si="114"/>
        <v/>
      </c>
    </row>
    <row r="1432" spans="1:20" x14ac:dyDescent="0.35">
      <c r="A1432" s="13" t="s">
        <v>5728</v>
      </c>
      <c r="B1432" s="13" t="s">
        <v>131</v>
      </c>
      <c r="C1432" s="13" t="s">
        <v>132</v>
      </c>
      <c r="D1432" s="13" t="s">
        <v>5729</v>
      </c>
      <c r="E1432" s="14">
        <v>46080</v>
      </c>
      <c r="F1432" s="14">
        <v>46119</v>
      </c>
      <c r="G1432" s="15">
        <v>12792.04</v>
      </c>
      <c r="H1432" s="13" t="s">
        <v>5730</v>
      </c>
      <c r="I1432" s="13" t="s">
        <v>5731</v>
      </c>
      <c r="J1432" s="13" t="s">
        <v>98</v>
      </c>
      <c r="K1432" s="13">
        <f t="shared" si="110"/>
        <v>1</v>
      </c>
      <c r="L1432" s="13">
        <f t="shared" si="111"/>
        <v>0</v>
      </c>
      <c r="M1432" s="13">
        <f>IF(AND(L1432=0,COUNTIFS($B$2:$B$1534,B1432,$G$2:$G$1534,G1432,$E$2:$E$1534,"&gt;="&amp;(E1432-Assumptions!$B$5),$E$2:$E$1534,"&lt;="&amp;(E1432+Assumptions!$B$5))&gt;1),1,0)</f>
        <v>0</v>
      </c>
      <c r="N1432" s="13">
        <f>IF(AND(G1432&gt;=Assumptions!$B$4*(1-Assumptions!$B$6),G1432&lt;Assumptions!$B$4),1,0)</f>
        <v>0</v>
      </c>
      <c r="O1432" s="13">
        <f>IF(AND(G1432&gt;=Assumptions!$B$7,MOD(G1432,Assumptions!$B$7)=0),1,0)</f>
        <v>0</v>
      </c>
      <c r="P1432" s="13">
        <f t="shared" si="112"/>
        <v>0</v>
      </c>
      <c r="Q1432" s="13">
        <f t="shared" si="113"/>
        <v>0</v>
      </c>
      <c r="R1432" s="13">
        <f>L1432*Assumptions!$B$11+M1432*Assumptions!$B$12+N1432*Assumptions!$B$13+O1432*Assumptions!$B$14+P1432*Assumptions!$B$15+Q1432*Assumptions!$B$16</f>
        <v>0</v>
      </c>
      <c r="S1432" s="13" t="str">
        <f>IF(R1432&gt;=Assumptions!$B$20,"High",IF(R1432&gt;=Assumptions!$B$21,"Medium",IF(R1432&gt;=1,"Low","Clear")))</f>
        <v>Clear</v>
      </c>
      <c r="T1432" s="13" t="str">
        <f t="shared" si="114"/>
        <v/>
      </c>
    </row>
    <row r="1433" spans="1:20" x14ac:dyDescent="0.35">
      <c r="A1433" s="13" t="s">
        <v>5732</v>
      </c>
      <c r="B1433" s="13" t="s">
        <v>182</v>
      </c>
      <c r="C1433" s="13" t="s">
        <v>183</v>
      </c>
      <c r="D1433" s="13" t="s">
        <v>5733</v>
      </c>
      <c r="E1433" s="14">
        <v>46092</v>
      </c>
      <c r="F1433" s="14">
        <v>46120</v>
      </c>
      <c r="G1433" s="15">
        <v>53547.72</v>
      </c>
      <c r="H1433" s="13" t="s">
        <v>5734</v>
      </c>
      <c r="I1433" s="13" t="s">
        <v>5735</v>
      </c>
      <c r="J1433" s="13" t="s">
        <v>98</v>
      </c>
      <c r="K1433" s="13">
        <f t="shared" si="110"/>
        <v>5</v>
      </c>
      <c r="L1433" s="13">
        <f t="shared" si="111"/>
        <v>0</v>
      </c>
      <c r="M1433" s="13">
        <f>IF(AND(L1433=0,COUNTIFS($B$2:$B$1534,B1433,$G$2:$G$1534,G1433,$E$2:$E$1534,"&gt;="&amp;(E1433-Assumptions!$B$5),$E$2:$E$1534,"&lt;="&amp;(E1433+Assumptions!$B$5))&gt;1),1,0)</f>
        <v>0</v>
      </c>
      <c r="N1433" s="13">
        <f>IF(AND(G1433&gt;=Assumptions!$B$4*(1-Assumptions!$B$6),G1433&lt;Assumptions!$B$4),1,0)</f>
        <v>0</v>
      </c>
      <c r="O1433" s="13">
        <f>IF(AND(G1433&gt;=Assumptions!$B$7,MOD(G1433,Assumptions!$B$7)=0),1,0)</f>
        <v>0</v>
      </c>
      <c r="P1433" s="13">
        <f t="shared" si="112"/>
        <v>0</v>
      </c>
      <c r="Q1433" s="13">
        <f t="shared" si="113"/>
        <v>0</v>
      </c>
      <c r="R1433" s="13">
        <f>L1433*Assumptions!$B$11+M1433*Assumptions!$B$12+N1433*Assumptions!$B$13+O1433*Assumptions!$B$14+P1433*Assumptions!$B$15+Q1433*Assumptions!$B$16</f>
        <v>0</v>
      </c>
      <c r="S1433" s="13" t="str">
        <f>IF(R1433&gt;=Assumptions!$B$20,"High",IF(R1433&gt;=Assumptions!$B$21,"Medium",IF(R1433&gt;=1,"Low","Clear")))</f>
        <v>Clear</v>
      </c>
      <c r="T1433" s="13" t="str">
        <f t="shared" si="114"/>
        <v/>
      </c>
    </row>
    <row r="1434" spans="1:20" x14ac:dyDescent="0.35">
      <c r="A1434" s="13" t="s">
        <v>5736</v>
      </c>
      <c r="B1434" s="13" t="s">
        <v>206</v>
      </c>
      <c r="C1434" s="13" t="s">
        <v>207</v>
      </c>
      <c r="D1434" s="13" t="s">
        <v>5737</v>
      </c>
      <c r="E1434" s="14">
        <v>46096</v>
      </c>
      <c r="F1434" s="14">
        <v>46120</v>
      </c>
      <c r="G1434" s="15">
        <v>145830.91</v>
      </c>
      <c r="H1434" s="13" t="s">
        <v>5738</v>
      </c>
      <c r="I1434" s="13" t="s">
        <v>5739</v>
      </c>
      <c r="J1434" s="13" t="s">
        <v>170</v>
      </c>
      <c r="K1434" s="13">
        <f t="shared" si="110"/>
        <v>1</v>
      </c>
      <c r="L1434" s="13">
        <f t="shared" si="111"/>
        <v>0</v>
      </c>
      <c r="M1434" s="13">
        <f>IF(AND(L1434=0,COUNTIFS($B$2:$B$1534,B1434,$G$2:$G$1534,G1434,$E$2:$E$1534,"&gt;="&amp;(E1434-Assumptions!$B$5),$E$2:$E$1534,"&lt;="&amp;(E1434+Assumptions!$B$5))&gt;1),1,0)</f>
        <v>0</v>
      </c>
      <c r="N1434" s="13">
        <f>IF(AND(G1434&gt;=Assumptions!$B$4*(1-Assumptions!$B$6),G1434&lt;Assumptions!$B$4),1,0)</f>
        <v>0</v>
      </c>
      <c r="O1434" s="13">
        <f>IF(AND(G1434&gt;=Assumptions!$B$7,MOD(G1434,Assumptions!$B$7)=0),1,0)</f>
        <v>0</v>
      </c>
      <c r="P1434" s="13">
        <f t="shared" si="112"/>
        <v>0</v>
      </c>
      <c r="Q1434" s="13">
        <f t="shared" si="113"/>
        <v>0</v>
      </c>
      <c r="R1434" s="13">
        <f>L1434*Assumptions!$B$11+M1434*Assumptions!$B$12+N1434*Assumptions!$B$13+O1434*Assumptions!$B$14+P1434*Assumptions!$B$15+Q1434*Assumptions!$B$16</f>
        <v>0</v>
      </c>
      <c r="S1434" s="13" t="str">
        <f>IF(R1434&gt;=Assumptions!$B$20,"High",IF(R1434&gt;=Assumptions!$B$21,"Medium",IF(R1434&gt;=1,"Low","Clear")))</f>
        <v>Clear</v>
      </c>
      <c r="T1434" s="13" t="str">
        <f t="shared" si="114"/>
        <v/>
      </c>
    </row>
    <row r="1435" spans="1:20" x14ac:dyDescent="0.35">
      <c r="A1435" s="13" t="s">
        <v>5740</v>
      </c>
      <c r="B1435" s="13" t="s">
        <v>323</v>
      </c>
      <c r="C1435" s="13" t="s">
        <v>324</v>
      </c>
      <c r="D1435" s="13" t="s">
        <v>5741</v>
      </c>
      <c r="E1435" s="14">
        <v>46088</v>
      </c>
      <c r="F1435" s="14">
        <v>46120</v>
      </c>
      <c r="G1435" s="15">
        <v>107635.08</v>
      </c>
      <c r="H1435" s="13" t="s">
        <v>5742</v>
      </c>
      <c r="I1435" s="13" t="s">
        <v>5743</v>
      </c>
      <c r="J1435" s="13" t="s">
        <v>91</v>
      </c>
      <c r="K1435" s="13">
        <f t="shared" si="110"/>
        <v>1</v>
      </c>
      <c r="L1435" s="13">
        <f t="shared" si="111"/>
        <v>0</v>
      </c>
      <c r="M1435" s="13">
        <f>IF(AND(L1435=0,COUNTIFS($B$2:$B$1534,B1435,$G$2:$G$1534,G1435,$E$2:$E$1534,"&gt;="&amp;(E1435-Assumptions!$B$5),$E$2:$E$1534,"&lt;="&amp;(E1435+Assumptions!$B$5))&gt;1),1,0)</f>
        <v>0</v>
      </c>
      <c r="N1435" s="13">
        <f>IF(AND(G1435&gt;=Assumptions!$B$4*(1-Assumptions!$B$6),G1435&lt;Assumptions!$B$4),1,0)</f>
        <v>0</v>
      </c>
      <c r="O1435" s="13">
        <f>IF(AND(G1435&gt;=Assumptions!$B$7,MOD(G1435,Assumptions!$B$7)=0),1,0)</f>
        <v>0</v>
      </c>
      <c r="P1435" s="13">
        <f t="shared" si="112"/>
        <v>0</v>
      </c>
      <c r="Q1435" s="13">
        <f t="shared" si="113"/>
        <v>0</v>
      </c>
      <c r="R1435" s="13">
        <f>L1435*Assumptions!$B$11+M1435*Assumptions!$B$12+N1435*Assumptions!$B$13+O1435*Assumptions!$B$14+P1435*Assumptions!$B$15+Q1435*Assumptions!$B$16</f>
        <v>0</v>
      </c>
      <c r="S1435" s="13" t="str">
        <f>IF(R1435&gt;=Assumptions!$B$20,"High",IF(R1435&gt;=Assumptions!$B$21,"Medium",IF(R1435&gt;=1,"Low","Clear")))</f>
        <v>Clear</v>
      </c>
      <c r="T1435" s="13" t="str">
        <f t="shared" si="114"/>
        <v/>
      </c>
    </row>
    <row r="1436" spans="1:20" x14ac:dyDescent="0.35">
      <c r="A1436" s="13" t="s">
        <v>5744</v>
      </c>
      <c r="B1436" s="13" t="s">
        <v>556</v>
      </c>
      <c r="C1436" s="13" t="s">
        <v>557</v>
      </c>
      <c r="D1436" s="13" t="s">
        <v>5745</v>
      </c>
      <c r="E1436" s="14">
        <v>46085</v>
      </c>
      <c r="F1436" s="14">
        <v>46120</v>
      </c>
      <c r="G1436" s="15">
        <v>22972.880000000001</v>
      </c>
      <c r="H1436" s="13" t="s">
        <v>5746</v>
      </c>
      <c r="I1436" s="13" t="s">
        <v>5747</v>
      </c>
      <c r="J1436" s="13" t="s">
        <v>91</v>
      </c>
      <c r="K1436" s="13">
        <f t="shared" si="110"/>
        <v>2</v>
      </c>
      <c r="L1436" s="13">
        <f t="shared" si="111"/>
        <v>0</v>
      </c>
      <c r="M1436" s="13">
        <f>IF(AND(L1436=0,COUNTIFS($B$2:$B$1534,B1436,$G$2:$G$1534,G1436,$E$2:$E$1534,"&gt;="&amp;(E1436-Assumptions!$B$5),$E$2:$E$1534,"&lt;="&amp;(E1436+Assumptions!$B$5))&gt;1),1,0)</f>
        <v>0</v>
      </c>
      <c r="N1436" s="13">
        <f>IF(AND(G1436&gt;=Assumptions!$B$4*(1-Assumptions!$B$6),G1436&lt;Assumptions!$B$4),1,0)</f>
        <v>0</v>
      </c>
      <c r="O1436" s="13">
        <f>IF(AND(G1436&gt;=Assumptions!$B$7,MOD(G1436,Assumptions!$B$7)=0),1,0)</f>
        <v>0</v>
      </c>
      <c r="P1436" s="13">
        <f t="shared" si="112"/>
        <v>0</v>
      </c>
      <c r="Q1436" s="13">
        <f t="shared" si="113"/>
        <v>0</v>
      </c>
      <c r="R1436" s="13">
        <f>L1436*Assumptions!$B$11+M1436*Assumptions!$B$12+N1436*Assumptions!$B$13+O1436*Assumptions!$B$14+P1436*Assumptions!$B$15+Q1436*Assumptions!$B$16</f>
        <v>0</v>
      </c>
      <c r="S1436" s="13" t="str">
        <f>IF(R1436&gt;=Assumptions!$B$20,"High",IF(R1436&gt;=Assumptions!$B$21,"Medium",IF(R1436&gt;=1,"Low","Clear")))</f>
        <v>Clear</v>
      </c>
      <c r="T1436" s="13" t="str">
        <f t="shared" si="114"/>
        <v/>
      </c>
    </row>
    <row r="1437" spans="1:20" x14ac:dyDescent="0.35">
      <c r="A1437" s="13" t="s">
        <v>5748</v>
      </c>
      <c r="B1437" s="13" t="s">
        <v>293</v>
      </c>
      <c r="C1437" s="13" t="s">
        <v>294</v>
      </c>
      <c r="D1437" s="13" t="s">
        <v>5749</v>
      </c>
      <c r="E1437" s="14">
        <v>46085</v>
      </c>
      <c r="F1437" s="14">
        <v>46121</v>
      </c>
      <c r="G1437" s="15">
        <v>8033.24</v>
      </c>
      <c r="H1437" s="13" t="s">
        <v>5750</v>
      </c>
      <c r="I1437" s="13" t="s">
        <v>5751</v>
      </c>
      <c r="J1437" s="13" t="s">
        <v>111</v>
      </c>
      <c r="K1437" s="13">
        <f t="shared" si="110"/>
        <v>8</v>
      </c>
      <c r="L1437" s="13">
        <f t="shared" si="111"/>
        <v>0</v>
      </c>
      <c r="M1437" s="13">
        <f>IF(AND(L1437=0,COUNTIFS($B$2:$B$1534,B1437,$G$2:$G$1534,G1437,$E$2:$E$1534,"&gt;="&amp;(E1437-Assumptions!$B$5),$E$2:$E$1534,"&lt;="&amp;(E1437+Assumptions!$B$5))&gt;1),1,0)</f>
        <v>0</v>
      </c>
      <c r="N1437" s="13">
        <f>IF(AND(G1437&gt;=Assumptions!$B$4*(1-Assumptions!$B$6),G1437&lt;Assumptions!$B$4),1,0)</f>
        <v>0</v>
      </c>
      <c r="O1437" s="13">
        <f>IF(AND(G1437&gt;=Assumptions!$B$7,MOD(G1437,Assumptions!$B$7)=0),1,0)</f>
        <v>0</v>
      </c>
      <c r="P1437" s="13">
        <f t="shared" si="112"/>
        <v>0</v>
      </c>
      <c r="Q1437" s="13">
        <f t="shared" si="113"/>
        <v>0</v>
      </c>
      <c r="R1437" s="13">
        <f>L1437*Assumptions!$B$11+M1437*Assumptions!$B$12+N1437*Assumptions!$B$13+O1437*Assumptions!$B$14+P1437*Assumptions!$B$15+Q1437*Assumptions!$B$16</f>
        <v>0</v>
      </c>
      <c r="S1437" s="13" t="str">
        <f>IF(R1437&gt;=Assumptions!$B$20,"High",IF(R1437&gt;=Assumptions!$B$21,"Medium",IF(R1437&gt;=1,"Low","Clear")))</f>
        <v>Clear</v>
      </c>
      <c r="T1437" s="13" t="str">
        <f t="shared" si="114"/>
        <v/>
      </c>
    </row>
    <row r="1438" spans="1:20" x14ac:dyDescent="0.35">
      <c r="A1438" s="13" t="s">
        <v>5752</v>
      </c>
      <c r="B1438" s="13" t="s">
        <v>409</v>
      </c>
      <c r="C1438" s="13" t="s">
        <v>410</v>
      </c>
      <c r="D1438" s="13" t="s">
        <v>5753</v>
      </c>
      <c r="E1438" s="14">
        <v>46090</v>
      </c>
      <c r="F1438" s="14">
        <v>46121</v>
      </c>
      <c r="G1438" s="15">
        <v>265791.12</v>
      </c>
      <c r="H1438" s="13" t="s">
        <v>5754</v>
      </c>
      <c r="I1438" s="13" t="s">
        <v>5755</v>
      </c>
      <c r="J1438" s="13" t="s">
        <v>143</v>
      </c>
      <c r="K1438" s="13">
        <f t="shared" si="110"/>
        <v>2</v>
      </c>
      <c r="L1438" s="13">
        <f t="shared" si="111"/>
        <v>0</v>
      </c>
      <c r="M1438" s="13">
        <f>IF(AND(L1438=0,COUNTIFS($B$2:$B$1534,B1438,$G$2:$G$1534,G1438,$E$2:$E$1534,"&gt;="&amp;(E1438-Assumptions!$B$5),$E$2:$E$1534,"&lt;="&amp;(E1438+Assumptions!$B$5))&gt;1),1,0)</f>
        <v>0</v>
      </c>
      <c r="N1438" s="13">
        <f>IF(AND(G1438&gt;=Assumptions!$B$4*(1-Assumptions!$B$6),G1438&lt;Assumptions!$B$4),1,0)</f>
        <v>0</v>
      </c>
      <c r="O1438" s="13">
        <f>IF(AND(G1438&gt;=Assumptions!$B$7,MOD(G1438,Assumptions!$B$7)=0),1,0)</f>
        <v>0</v>
      </c>
      <c r="P1438" s="13">
        <f t="shared" si="112"/>
        <v>0</v>
      </c>
      <c r="Q1438" s="13">
        <f t="shared" si="113"/>
        <v>0</v>
      </c>
      <c r="R1438" s="13">
        <f>L1438*Assumptions!$B$11+M1438*Assumptions!$B$12+N1438*Assumptions!$B$13+O1438*Assumptions!$B$14+P1438*Assumptions!$B$15+Q1438*Assumptions!$B$16</f>
        <v>0</v>
      </c>
      <c r="S1438" s="13" t="str">
        <f>IF(R1438&gt;=Assumptions!$B$20,"High",IF(R1438&gt;=Assumptions!$B$21,"Medium",IF(R1438&gt;=1,"Low","Clear")))</f>
        <v>Clear</v>
      </c>
      <c r="T1438" s="13" t="str">
        <f t="shared" si="114"/>
        <v/>
      </c>
    </row>
    <row r="1439" spans="1:20" x14ac:dyDescent="0.35">
      <c r="A1439" s="13" t="s">
        <v>5756</v>
      </c>
      <c r="B1439" s="13" t="s">
        <v>279</v>
      </c>
      <c r="C1439" s="13" t="s">
        <v>280</v>
      </c>
      <c r="D1439" s="13" t="s">
        <v>5757</v>
      </c>
      <c r="E1439" s="14">
        <v>46082</v>
      </c>
      <c r="F1439" s="14">
        <v>46121</v>
      </c>
      <c r="G1439" s="15">
        <v>610885.05000000005</v>
      </c>
      <c r="H1439" s="13" t="s">
        <v>5758</v>
      </c>
      <c r="I1439" s="13" t="s">
        <v>5759</v>
      </c>
      <c r="J1439" s="13" t="s">
        <v>98</v>
      </c>
      <c r="K1439" s="13">
        <f t="shared" si="110"/>
        <v>6</v>
      </c>
      <c r="L1439" s="13">
        <f t="shared" si="111"/>
        <v>0</v>
      </c>
      <c r="M1439" s="13">
        <f>IF(AND(L1439=0,COUNTIFS($B$2:$B$1534,B1439,$G$2:$G$1534,G1439,$E$2:$E$1534,"&gt;="&amp;(E1439-Assumptions!$B$5),$E$2:$E$1534,"&lt;="&amp;(E1439+Assumptions!$B$5))&gt;1),1,0)</f>
        <v>0</v>
      </c>
      <c r="N1439" s="13">
        <f>IF(AND(G1439&gt;=Assumptions!$B$4*(1-Assumptions!$B$6),G1439&lt;Assumptions!$B$4),1,0)</f>
        <v>0</v>
      </c>
      <c r="O1439" s="13">
        <f>IF(AND(G1439&gt;=Assumptions!$B$7,MOD(G1439,Assumptions!$B$7)=0),1,0)</f>
        <v>0</v>
      </c>
      <c r="P1439" s="13">
        <f t="shared" si="112"/>
        <v>0</v>
      </c>
      <c r="Q1439" s="13">
        <f t="shared" si="113"/>
        <v>0</v>
      </c>
      <c r="R1439" s="13">
        <f>L1439*Assumptions!$B$11+M1439*Assumptions!$B$12+N1439*Assumptions!$B$13+O1439*Assumptions!$B$14+P1439*Assumptions!$B$15+Q1439*Assumptions!$B$16</f>
        <v>0</v>
      </c>
      <c r="S1439" s="13" t="str">
        <f>IF(R1439&gt;=Assumptions!$B$20,"High",IF(R1439&gt;=Assumptions!$B$21,"Medium",IF(R1439&gt;=1,"Low","Clear")))</f>
        <v>Clear</v>
      </c>
      <c r="T1439" s="13" t="str">
        <f t="shared" si="114"/>
        <v/>
      </c>
    </row>
    <row r="1440" spans="1:20" x14ac:dyDescent="0.35">
      <c r="A1440" s="13" t="s">
        <v>5760</v>
      </c>
      <c r="B1440" s="13" t="s">
        <v>774</v>
      </c>
      <c r="C1440" s="13" t="s">
        <v>775</v>
      </c>
      <c r="D1440" s="13" t="s">
        <v>5761</v>
      </c>
      <c r="E1440" s="14">
        <v>46092</v>
      </c>
      <c r="F1440" s="14">
        <v>46121</v>
      </c>
      <c r="G1440" s="15">
        <v>4719.78</v>
      </c>
      <c r="H1440" s="13" t="s">
        <v>5762</v>
      </c>
      <c r="I1440" s="13" t="s">
        <v>5763</v>
      </c>
      <c r="J1440" s="13" t="s">
        <v>111</v>
      </c>
      <c r="K1440" s="13">
        <f t="shared" si="110"/>
        <v>4</v>
      </c>
      <c r="L1440" s="13">
        <f t="shared" si="111"/>
        <v>0</v>
      </c>
      <c r="M1440" s="13">
        <f>IF(AND(L1440=0,COUNTIFS($B$2:$B$1534,B1440,$G$2:$G$1534,G1440,$E$2:$E$1534,"&gt;="&amp;(E1440-Assumptions!$B$5),$E$2:$E$1534,"&lt;="&amp;(E1440+Assumptions!$B$5))&gt;1),1,0)</f>
        <v>0</v>
      </c>
      <c r="N1440" s="13">
        <f>IF(AND(G1440&gt;=Assumptions!$B$4*(1-Assumptions!$B$6),G1440&lt;Assumptions!$B$4),1,0)</f>
        <v>0</v>
      </c>
      <c r="O1440" s="13">
        <f>IF(AND(G1440&gt;=Assumptions!$B$7,MOD(G1440,Assumptions!$B$7)=0),1,0)</f>
        <v>0</v>
      </c>
      <c r="P1440" s="13">
        <f t="shared" si="112"/>
        <v>0</v>
      </c>
      <c r="Q1440" s="13">
        <f t="shared" si="113"/>
        <v>0</v>
      </c>
      <c r="R1440" s="13">
        <f>L1440*Assumptions!$B$11+M1440*Assumptions!$B$12+N1440*Assumptions!$B$13+O1440*Assumptions!$B$14+P1440*Assumptions!$B$15+Q1440*Assumptions!$B$16</f>
        <v>0</v>
      </c>
      <c r="S1440" s="13" t="str">
        <f>IF(R1440&gt;=Assumptions!$B$20,"High",IF(R1440&gt;=Assumptions!$B$21,"Medium",IF(R1440&gt;=1,"Low","Clear")))</f>
        <v>Clear</v>
      </c>
      <c r="T1440" s="13" t="str">
        <f t="shared" si="114"/>
        <v/>
      </c>
    </row>
    <row r="1441" spans="1:20" x14ac:dyDescent="0.35">
      <c r="A1441" s="13" t="s">
        <v>5764</v>
      </c>
      <c r="B1441" s="13" t="s">
        <v>161</v>
      </c>
      <c r="C1441" s="13" t="s">
        <v>162</v>
      </c>
      <c r="D1441" s="13" t="s">
        <v>5765</v>
      </c>
      <c r="E1441" s="14">
        <v>46092</v>
      </c>
      <c r="F1441" s="14">
        <v>46121</v>
      </c>
      <c r="G1441" s="15">
        <v>147856.44</v>
      </c>
      <c r="H1441" s="13" t="s">
        <v>5766</v>
      </c>
      <c r="I1441" s="13" t="s">
        <v>5767</v>
      </c>
      <c r="J1441" s="13" t="s">
        <v>111</v>
      </c>
      <c r="K1441" s="13">
        <f t="shared" si="110"/>
        <v>1</v>
      </c>
      <c r="L1441" s="13">
        <f t="shared" si="111"/>
        <v>0</v>
      </c>
      <c r="M1441" s="13">
        <f>IF(AND(L1441=0,COUNTIFS($B$2:$B$1534,B1441,$G$2:$G$1534,G1441,$E$2:$E$1534,"&gt;="&amp;(E1441-Assumptions!$B$5),$E$2:$E$1534,"&lt;="&amp;(E1441+Assumptions!$B$5))&gt;1),1,0)</f>
        <v>0</v>
      </c>
      <c r="N1441" s="13">
        <f>IF(AND(G1441&gt;=Assumptions!$B$4*(1-Assumptions!$B$6),G1441&lt;Assumptions!$B$4),1,0)</f>
        <v>0</v>
      </c>
      <c r="O1441" s="13">
        <f>IF(AND(G1441&gt;=Assumptions!$B$7,MOD(G1441,Assumptions!$B$7)=0),1,0)</f>
        <v>0</v>
      </c>
      <c r="P1441" s="13">
        <f t="shared" si="112"/>
        <v>0</v>
      </c>
      <c r="Q1441" s="13">
        <f t="shared" si="113"/>
        <v>0</v>
      </c>
      <c r="R1441" s="13">
        <f>L1441*Assumptions!$B$11+M1441*Assumptions!$B$12+N1441*Assumptions!$B$13+O1441*Assumptions!$B$14+P1441*Assumptions!$B$15+Q1441*Assumptions!$B$16</f>
        <v>0</v>
      </c>
      <c r="S1441" s="13" t="str">
        <f>IF(R1441&gt;=Assumptions!$B$20,"High",IF(R1441&gt;=Assumptions!$B$21,"Medium",IF(R1441&gt;=1,"Low","Clear")))</f>
        <v>Clear</v>
      </c>
      <c r="T1441" s="13" t="str">
        <f t="shared" si="114"/>
        <v/>
      </c>
    </row>
    <row r="1442" spans="1:20" x14ac:dyDescent="0.35">
      <c r="A1442" s="13" t="s">
        <v>5768</v>
      </c>
      <c r="B1442" s="13" t="s">
        <v>106</v>
      </c>
      <c r="C1442" s="13" t="s">
        <v>107</v>
      </c>
      <c r="D1442" s="13" t="s">
        <v>5769</v>
      </c>
      <c r="E1442" s="14">
        <v>46086</v>
      </c>
      <c r="F1442" s="14">
        <v>46121</v>
      </c>
      <c r="G1442" s="15">
        <v>160000</v>
      </c>
      <c r="H1442" s="13" t="s">
        <v>5770</v>
      </c>
      <c r="I1442" s="13" t="s">
        <v>5771</v>
      </c>
      <c r="J1442" s="13" t="s">
        <v>111</v>
      </c>
      <c r="K1442" s="13">
        <f t="shared" si="110"/>
        <v>1</v>
      </c>
      <c r="L1442" s="13">
        <f t="shared" si="111"/>
        <v>0</v>
      </c>
      <c r="M1442" s="13">
        <f>IF(AND(L1442=0,COUNTIFS($B$2:$B$1534,B1442,$G$2:$G$1534,G1442,$E$2:$E$1534,"&gt;="&amp;(E1442-Assumptions!$B$5),$E$2:$E$1534,"&lt;="&amp;(E1442+Assumptions!$B$5))&gt;1),1,0)</f>
        <v>0</v>
      </c>
      <c r="N1442" s="13">
        <f>IF(AND(G1442&gt;=Assumptions!$B$4*(1-Assumptions!$B$6),G1442&lt;Assumptions!$B$4),1,0)</f>
        <v>0</v>
      </c>
      <c r="O1442" s="13">
        <f>IF(AND(G1442&gt;=Assumptions!$B$7,MOD(G1442,Assumptions!$B$7)=0),1,0)</f>
        <v>1</v>
      </c>
      <c r="P1442" s="13">
        <f t="shared" si="112"/>
        <v>0</v>
      </c>
      <c r="Q1442" s="13">
        <f t="shared" si="113"/>
        <v>0</v>
      </c>
      <c r="R1442" s="13">
        <f>L1442*Assumptions!$B$11+M1442*Assumptions!$B$12+N1442*Assumptions!$B$13+O1442*Assumptions!$B$14+P1442*Assumptions!$B$15+Q1442*Assumptions!$B$16</f>
        <v>1</v>
      </c>
      <c r="S1442" s="13" t="str">
        <f>IF(R1442&gt;=Assumptions!$B$20,"High",IF(R1442&gt;=Assumptions!$B$21,"Medium",IF(R1442&gt;=1,"Low","Clear")))</f>
        <v>Low</v>
      </c>
      <c r="T1442" s="13" t="str">
        <f t="shared" si="114"/>
        <v xml:space="preserve">Round amount; </v>
      </c>
    </row>
    <row r="1443" spans="1:20" x14ac:dyDescent="0.35">
      <c r="A1443" s="13" t="s">
        <v>5772</v>
      </c>
      <c r="B1443" s="13" t="s">
        <v>391</v>
      </c>
      <c r="C1443" s="13" t="s">
        <v>392</v>
      </c>
      <c r="D1443" s="13" t="s">
        <v>5773</v>
      </c>
      <c r="E1443" s="14">
        <v>46085</v>
      </c>
      <c r="F1443" s="14">
        <v>46122</v>
      </c>
      <c r="G1443" s="15">
        <v>286516.21000000002</v>
      </c>
      <c r="H1443" s="13" t="s">
        <v>5774</v>
      </c>
      <c r="I1443" s="13" t="s">
        <v>5775</v>
      </c>
      <c r="J1443" s="13" t="s">
        <v>136</v>
      </c>
      <c r="K1443" s="13">
        <f t="shared" si="110"/>
        <v>2</v>
      </c>
      <c r="L1443" s="13">
        <f t="shared" si="111"/>
        <v>0</v>
      </c>
      <c r="M1443" s="13">
        <f>IF(AND(L1443=0,COUNTIFS($B$2:$B$1534,B1443,$G$2:$G$1534,G1443,$E$2:$E$1534,"&gt;="&amp;(E1443-Assumptions!$B$5),$E$2:$E$1534,"&lt;="&amp;(E1443+Assumptions!$B$5))&gt;1),1,0)</f>
        <v>0</v>
      </c>
      <c r="N1443" s="13">
        <f>IF(AND(G1443&gt;=Assumptions!$B$4*(1-Assumptions!$B$6),G1443&lt;Assumptions!$B$4),1,0)</f>
        <v>0</v>
      </c>
      <c r="O1443" s="13">
        <f>IF(AND(G1443&gt;=Assumptions!$B$7,MOD(G1443,Assumptions!$B$7)=0),1,0)</f>
        <v>0</v>
      </c>
      <c r="P1443" s="13">
        <f t="shared" si="112"/>
        <v>0</v>
      </c>
      <c r="Q1443" s="13">
        <f t="shared" si="113"/>
        <v>0</v>
      </c>
      <c r="R1443" s="13">
        <f>L1443*Assumptions!$B$11+M1443*Assumptions!$B$12+N1443*Assumptions!$B$13+O1443*Assumptions!$B$14+P1443*Assumptions!$B$15+Q1443*Assumptions!$B$16</f>
        <v>0</v>
      </c>
      <c r="S1443" s="13" t="str">
        <f>IF(R1443&gt;=Assumptions!$B$20,"High",IF(R1443&gt;=Assumptions!$B$21,"Medium",IF(R1443&gt;=1,"Low","Clear")))</f>
        <v>Clear</v>
      </c>
      <c r="T1443" s="13" t="str">
        <f t="shared" si="114"/>
        <v/>
      </c>
    </row>
    <row r="1444" spans="1:20" x14ac:dyDescent="0.35">
      <c r="A1444" s="13" t="s">
        <v>5776</v>
      </c>
      <c r="B1444" s="13" t="s">
        <v>498</v>
      </c>
      <c r="C1444" s="13" t="s">
        <v>499</v>
      </c>
      <c r="D1444" s="13" t="s">
        <v>5777</v>
      </c>
      <c r="E1444" s="14">
        <v>46100</v>
      </c>
      <c r="F1444" s="14">
        <v>46122</v>
      </c>
      <c r="G1444" s="15">
        <v>31796.44</v>
      </c>
      <c r="H1444" s="13" t="s">
        <v>5778</v>
      </c>
      <c r="I1444" s="13" t="s">
        <v>5779</v>
      </c>
      <c r="J1444" s="13" t="s">
        <v>111</v>
      </c>
      <c r="K1444" s="13">
        <f t="shared" si="110"/>
        <v>3</v>
      </c>
      <c r="L1444" s="13">
        <f t="shared" si="111"/>
        <v>0</v>
      </c>
      <c r="M1444" s="13">
        <f>IF(AND(L1444=0,COUNTIFS($B$2:$B$1534,B1444,$G$2:$G$1534,G1444,$E$2:$E$1534,"&gt;="&amp;(E1444-Assumptions!$B$5),$E$2:$E$1534,"&lt;="&amp;(E1444+Assumptions!$B$5))&gt;1),1,0)</f>
        <v>0</v>
      </c>
      <c r="N1444" s="13">
        <f>IF(AND(G1444&gt;=Assumptions!$B$4*(1-Assumptions!$B$6),G1444&lt;Assumptions!$B$4),1,0)</f>
        <v>0</v>
      </c>
      <c r="O1444" s="13">
        <f>IF(AND(G1444&gt;=Assumptions!$B$7,MOD(G1444,Assumptions!$B$7)=0),1,0)</f>
        <v>0</v>
      </c>
      <c r="P1444" s="13">
        <f t="shared" si="112"/>
        <v>0</v>
      </c>
      <c r="Q1444" s="13">
        <f t="shared" si="113"/>
        <v>0</v>
      </c>
      <c r="R1444" s="13">
        <f>L1444*Assumptions!$B$11+M1444*Assumptions!$B$12+N1444*Assumptions!$B$13+O1444*Assumptions!$B$14+P1444*Assumptions!$B$15+Q1444*Assumptions!$B$16</f>
        <v>0</v>
      </c>
      <c r="S1444" s="13" t="str">
        <f>IF(R1444&gt;=Assumptions!$B$20,"High",IF(R1444&gt;=Assumptions!$B$21,"Medium",IF(R1444&gt;=1,"Low","Clear")))</f>
        <v>Clear</v>
      </c>
      <c r="T1444" s="13" t="str">
        <f t="shared" si="114"/>
        <v/>
      </c>
    </row>
    <row r="1445" spans="1:20" x14ac:dyDescent="0.35">
      <c r="A1445" s="13" t="s">
        <v>5780</v>
      </c>
      <c r="B1445" s="13" t="s">
        <v>476</v>
      </c>
      <c r="C1445" s="13" t="s">
        <v>477</v>
      </c>
      <c r="D1445" s="13" t="s">
        <v>5781</v>
      </c>
      <c r="E1445" s="14">
        <v>46091</v>
      </c>
      <c r="F1445" s="14">
        <v>46122</v>
      </c>
      <c r="G1445" s="15">
        <v>33261.71</v>
      </c>
      <c r="H1445" s="13" t="s">
        <v>5782</v>
      </c>
      <c r="I1445" s="13" t="s">
        <v>5783</v>
      </c>
      <c r="J1445" s="13" t="s">
        <v>91</v>
      </c>
      <c r="K1445" s="13">
        <f t="shared" si="110"/>
        <v>3</v>
      </c>
      <c r="L1445" s="13">
        <f t="shared" si="111"/>
        <v>0</v>
      </c>
      <c r="M1445" s="13">
        <f>IF(AND(L1445=0,COUNTIFS($B$2:$B$1534,B1445,$G$2:$G$1534,G1445,$E$2:$E$1534,"&gt;="&amp;(E1445-Assumptions!$B$5),$E$2:$E$1534,"&lt;="&amp;(E1445+Assumptions!$B$5))&gt;1),1,0)</f>
        <v>1</v>
      </c>
      <c r="N1445" s="13">
        <f>IF(AND(G1445&gt;=Assumptions!$B$4*(1-Assumptions!$B$6),G1445&lt;Assumptions!$B$4),1,0)</f>
        <v>0</v>
      </c>
      <c r="O1445" s="13">
        <f>IF(AND(G1445&gt;=Assumptions!$B$7,MOD(G1445,Assumptions!$B$7)=0),1,0)</f>
        <v>0</v>
      </c>
      <c r="P1445" s="13">
        <f t="shared" si="112"/>
        <v>0</v>
      </c>
      <c r="Q1445" s="13">
        <f t="shared" si="113"/>
        <v>0</v>
      </c>
      <c r="R1445" s="13">
        <f>L1445*Assumptions!$B$11+M1445*Assumptions!$B$12+N1445*Assumptions!$B$13+O1445*Assumptions!$B$14+P1445*Assumptions!$B$15+Q1445*Assumptions!$B$16</f>
        <v>3</v>
      </c>
      <c r="S1445" s="13" t="str">
        <f>IF(R1445&gt;=Assumptions!$B$20,"High",IF(R1445&gt;=Assumptions!$B$21,"Medium",IF(R1445&gt;=1,"Low","Clear")))</f>
        <v>Medium</v>
      </c>
      <c r="T1445" s="13" t="str">
        <f t="shared" si="114"/>
        <v xml:space="preserve">Near-duplicate; </v>
      </c>
    </row>
    <row r="1446" spans="1:20" x14ac:dyDescent="0.35">
      <c r="A1446" s="13" t="s">
        <v>5784</v>
      </c>
      <c r="B1446" s="13" t="s">
        <v>438</v>
      </c>
      <c r="C1446" s="13" t="s">
        <v>439</v>
      </c>
      <c r="D1446" s="13" t="s">
        <v>5785</v>
      </c>
      <c r="E1446" s="14">
        <v>46097</v>
      </c>
      <c r="F1446" s="14">
        <v>46122</v>
      </c>
      <c r="G1446" s="15">
        <v>194168.07</v>
      </c>
      <c r="H1446" s="13" t="s">
        <v>5786</v>
      </c>
      <c r="I1446" s="13"/>
      <c r="J1446" s="13" t="s">
        <v>91</v>
      </c>
      <c r="K1446" s="13">
        <f t="shared" si="110"/>
        <v>1</v>
      </c>
      <c r="L1446" s="13">
        <f t="shared" si="111"/>
        <v>0</v>
      </c>
      <c r="M1446" s="13">
        <f>IF(AND(L1446=0,COUNTIFS($B$2:$B$1534,B1446,$G$2:$G$1534,G1446,$E$2:$E$1534,"&gt;="&amp;(E1446-Assumptions!$B$5),$E$2:$E$1534,"&lt;="&amp;(E1446+Assumptions!$B$5))&gt;1),1,0)</f>
        <v>0</v>
      </c>
      <c r="N1446" s="13">
        <f>IF(AND(G1446&gt;=Assumptions!$B$4*(1-Assumptions!$B$6),G1446&lt;Assumptions!$B$4),1,0)</f>
        <v>0</v>
      </c>
      <c r="O1446" s="13">
        <f>IF(AND(G1446&gt;=Assumptions!$B$7,MOD(G1446,Assumptions!$B$7)=0),1,0)</f>
        <v>0</v>
      </c>
      <c r="P1446" s="13">
        <f t="shared" si="112"/>
        <v>1</v>
      </c>
      <c r="Q1446" s="13">
        <f t="shared" si="113"/>
        <v>0</v>
      </c>
      <c r="R1446" s="13">
        <f>L1446*Assumptions!$B$11+M1446*Assumptions!$B$12+N1446*Assumptions!$B$13+O1446*Assumptions!$B$14+P1446*Assumptions!$B$15+Q1446*Assumptions!$B$16</f>
        <v>4</v>
      </c>
      <c r="S1446" s="13" t="str">
        <f>IF(R1446&gt;=Assumptions!$B$20,"High",IF(R1446&gt;=Assumptions!$B$21,"Medium",IF(R1446&gt;=1,"Low","Clear")))</f>
        <v>Medium</v>
      </c>
      <c r="T1446" s="13" t="str">
        <f t="shared" si="114"/>
        <v xml:space="preserve">No PO/GRN; </v>
      </c>
    </row>
    <row r="1447" spans="1:20" x14ac:dyDescent="0.35">
      <c r="A1447" s="13" t="s">
        <v>5787</v>
      </c>
      <c r="B1447" s="13" t="s">
        <v>252</v>
      </c>
      <c r="C1447" s="13" t="s">
        <v>253</v>
      </c>
      <c r="D1447" s="13" t="s">
        <v>5788</v>
      </c>
      <c r="E1447" s="14">
        <v>46096</v>
      </c>
      <c r="F1447" s="14">
        <v>46125</v>
      </c>
      <c r="G1447" s="15">
        <v>1243.69</v>
      </c>
      <c r="H1447" s="13" t="s">
        <v>5789</v>
      </c>
      <c r="I1447" s="13" t="s">
        <v>5790</v>
      </c>
      <c r="J1447" s="13" t="s">
        <v>143</v>
      </c>
      <c r="K1447" s="13">
        <f t="shared" si="110"/>
        <v>1</v>
      </c>
      <c r="L1447" s="13">
        <f t="shared" si="111"/>
        <v>0</v>
      </c>
      <c r="M1447" s="13">
        <f>IF(AND(L1447=0,COUNTIFS($B$2:$B$1534,B1447,$G$2:$G$1534,G1447,$E$2:$E$1534,"&gt;="&amp;(E1447-Assumptions!$B$5),$E$2:$E$1534,"&lt;="&amp;(E1447+Assumptions!$B$5))&gt;1),1,0)</f>
        <v>0</v>
      </c>
      <c r="N1447" s="13">
        <f>IF(AND(G1447&gt;=Assumptions!$B$4*(1-Assumptions!$B$6),G1447&lt;Assumptions!$B$4),1,0)</f>
        <v>0</v>
      </c>
      <c r="O1447" s="13">
        <f>IF(AND(G1447&gt;=Assumptions!$B$7,MOD(G1447,Assumptions!$B$7)=0),1,0)</f>
        <v>0</v>
      </c>
      <c r="P1447" s="13">
        <f t="shared" si="112"/>
        <v>0</v>
      </c>
      <c r="Q1447" s="13">
        <f t="shared" si="113"/>
        <v>0</v>
      </c>
      <c r="R1447" s="13">
        <f>L1447*Assumptions!$B$11+M1447*Assumptions!$B$12+N1447*Assumptions!$B$13+O1447*Assumptions!$B$14+P1447*Assumptions!$B$15+Q1447*Assumptions!$B$16</f>
        <v>0</v>
      </c>
      <c r="S1447" s="13" t="str">
        <f>IF(R1447&gt;=Assumptions!$B$20,"High",IF(R1447&gt;=Assumptions!$B$21,"Medium",IF(R1447&gt;=1,"Low","Clear")))</f>
        <v>Clear</v>
      </c>
      <c r="T1447" s="13" t="str">
        <f t="shared" si="114"/>
        <v/>
      </c>
    </row>
    <row r="1448" spans="1:20" x14ac:dyDescent="0.35">
      <c r="A1448" s="13" t="s">
        <v>5791</v>
      </c>
      <c r="B1448" s="13" t="s">
        <v>200</v>
      </c>
      <c r="C1448" s="13" t="s">
        <v>201</v>
      </c>
      <c r="D1448" s="13" t="s">
        <v>5792</v>
      </c>
      <c r="E1448" s="14">
        <v>46097</v>
      </c>
      <c r="F1448" s="14">
        <v>46125</v>
      </c>
      <c r="G1448" s="15">
        <v>31404.94</v>
      </c>
      <c r="H1448" s="13" t="s">
        <v>5793</v>
      </c>
      <c r="I1448" s="13" t="s">
        <v>5794</v>
      </c>
      <c r="J1448" s="13" t="s">
        <v>136</v>
      </c>
      <c r="K1448" s="13">
        <f t="shared" si="110"/>
        <v>3</v>
      </c>
      <c r="L1448" s="13">
        <f t="shared" si="111"/>
        <v>0</v>
      </c>
      <c r="M1448" s="13">
        <f>IF(AND(L1448=0,COUNTIFS($B$2:$B$1534,B1448,$G$2:$G$1534,G1448,$E$2:$E$1534,"&gt;="&amp;(E1448-Assumptions!$B$5),$E$2:$E$1534,"&lt;="&amp;(E1448+Assumptions!$B$5))&gt;1),1,0)</f>
        <v>0</v>
      </c>
      <c r="N1448" s="13">
        <f>IF(AND(G1448&gt;=Assumptions!$B$4*(1-Assumptions!$B$6),G1448&lt;Assumptions!$B$4),1,0)</f>
        <v>0</v>
      </c>
      <c r="O1448" s="13">
        <f>IF(AND(G1448&gt;=Assumptions!$B$7,MOD(G1448,Assumptions!$B$7)=0),1,0)</f>
        <v>0</v>
      </c>
      <c r="P1448" s="13">
        <f t="shared" si="112"/>
        <v>0</v>
      </c>
      <c r="Q1448" s="13">
        <f t="shared" si="113"/>
        <v>0</v>
      </c>
      <c r="R1448" s="13">
        <f>L1448*Assumptions!$B$11+M1448*Assumptions!$B$12+N1448*Assumptions!$B$13+O1448*Assumptions!$B$14+P1448*Assumptions!$B$15+Q1448*Assumptions!$B$16</f>
        <v>0</v>
      </c>
      <c r="S1448" s="13" t="str">
        <f>IF(R1448&gt;=Assumptions!$B$20,"High",IF(R1448&gt;=Assumptions!$B$21,"Medium",IF(R1448&gt;=1,"Low","Clear")))</f>
        <v>Clear</v>
      </c>
      <c r="T1448" s="13" t="str">
        <f t="shared" si="114"/>
        <v/>
      </c>
    </row>
    <row r="1449" spans="1:20" x14ac:dyDescent="0.35">
      <c r="A1449" s="13" t="s">
        <v>5795</v>
      </c>
      <c r="B1449" s="13" t="s">
        <v>93</v>
      </c>
      <c r="C1449" s="13" t="s">
        <v>94</v>
      </c>
      <c r="D1449" s="13" t="s">
        <v>5796</v>
      </c>
      <c r="E1449" s="14">
        <v>46089</v>
      </c>
      <c r="F1449" s="14">
        <v>46125</v>
      </c>
      <c r="G1449" s="15">
        <v>121435.24</v>
      </c>
      <c r="H1449" s="13" t="s">
        <v>5797</v>
      </c>
      <c r="I1449" s="13" t="s">
        <v>5798</v>
      </c>
      <c r="J1449" s="13" t="s">
        <v>136</v>
      </c>
      <c r="K1449" s="13">
        <f t="shared" si="110"/>
        <v>1</v>
      </c>
      <c r="L1449" s="13">
        <f t="shared" si="111"/>
        <v>0</v>
      </c>
      <c r="M1449" s="13">
        <f>IF(AND(L1449=0,COUNTIFS($B$2:$B$1534,B1449,$G$2:$G$1534,G1449,$E$2:$E$1534,"&gt;="&amp;(E1449-Assumptions!$B$5),$E$2:$E$1534,"&lt;="&amp;(E1449+Assumptions!$B$5))&gt;1),1,0)</f>
        <v>0</v>
      </c>
      <c r="N1449" s="13">
        <f>IF(AND(G1449&gt;=Assumptions!$B$4*(1-Assumptions!$B$6),G1449&lt;Assumptions!$B$4),1,0)</f>
        <v>0</v>
      </c>
      <c r="O1449" s="13">
        <f>IF(AND(G1449&gt;=Assumptions!$B$7,MOD(G1449,Assumptions!$B$7)=0),1,0)</f>
        <v>0</v>
      </c>
      <c r="P1449" s="13">
        <f t="shared" si="112"/>
        <v>0</v>
      </c>
      <c r="Q1449" s="13">
        <f t="shared" si="113"/>
        <v>0</v>
      </c>
      <c r="R1449" s="13">
        <f>L1449*Assumptions!$B$11+M1449*Assumptions!$B$12+N1449*Assumptions!$B$13+O1449*Assumptions!$B$14+P1449*Assumptions!$B$15+Q1449*Assumptions!$B$16</f>
        <v>0</v>
      </c>
      <c r="S1449" s="13" t="str">
        <f>IF(R1449&gt;=Assumptions!$B$20,"High",IF(R1449&gt;=Assumptions!$B$21,"Medium",IF(R1449&gt;=1,"Low","Clear")))</f>
        <v>Clear</v>
      </c>
      <c r="T1449" s="13" t="str">
        <f t="shared" si="114"/>
        <v/>
      </c>
    </row>
    <row r="1450" spans="1:20" x14ac:dyDescent="0.35">
      <c r="A1450" s="13" t="s">
        <v>5799</v>
      </c>
      <c r="B1450" s="13" t="s">
        <v>774</v>
      </c>
      <c r="C1450" s="13" t="s">
        <v>775</v>
      </c>
      <c r="D1450" s="13" t="s">
        <v>5800</v>
      </c>
      <c r="E1450" s="14">
        <v>46084</v>
      </c>
      <c r="F1450" s="14">
        <v>46125</v>
      </c>
      <c r="G1450" s="15">
        <v>2046.41</v>
      </c>
      <c r="H1450" s="13" t="s">
        <v>5801</v>
      </c>
      <c r="I1450" s="13" t="s">
        <v>5802</v>
      </c>
      <c r="J1450" s="13" t="s">
        <v>143</v>
      </c>
      <c r="K1450" s="13">
        <f t="shared" si="110"/>
        <v>2</v>
      </c>
      <c r="L1450" s="13">
        <f t="shared" si="111"/>
        <v>0</v>
      </c>
      <c r="M1450" s="13">
        <f>IF(AND(L1450=0,COUNTIFS($B$2:$B$1534,B1450,$G$2:$G$1534,G1450,$E$2:$E$1534,"&gt;="&amp;(E1450-Assumptions!$B$5),$E$2:$E$1534,"&lt;="&amp;(E1450+Assumptions!$B$5))&gt;1),1,0)</f>
        <v>0</v>
      </c>
      <c r="N1450" s="13">
        <f>IF(AND(G1450&gt;=Assumptions!$B$4*(1-Assumptions!$B$6),G1450&lt;Assumptions!$B$4),1,0)</f>
        <v>0</v>
      </c>
      <c r="O1450" s="13">
        <f>IF(AND(G1450&gt;=Assumptions!$B$7,MOD(G1450,Assumptions!$B$7)=0),1,0)</f>
        <v>0</v>
      </c>
      <c r="P1450" s="13">
        <f t="shared" si="112"/>
        <v>0</v>
      </c>
      <c r="Q1450" s="13">
        <f t="shared" si="113"/>
        <v>0</v>
      </c>
      <c r="R1450" s="13">
        <f>L1450*Assumptions!$B$11+M1450*Assumptions!$B$12+N1450*Assumptions!$B$13+O1450*Assumptions!$B$14+P1450*Assumptions!$B$15+Q1450*Assumptions!$B$16</f>
        <v>0</v>
      </c>
      <c r="S1450" s="13" t="str">
        <f>IF(R1450&gt;=Assumptions!$B$20,"High",IF(R1450&gt;=Assumptions!$B$21,"Medium",IF(R1450&gt;=1,"Low","Clear")))</f>
        <v>Clear</v>
      </c>
      <c r="T1450" s="13" t="str">
        <f t="shared" si="114"/>
        <v/>
      </c>
    </row>
    <row r="1451" spans="1:20" x14ac:dyDescent="0.35">
      <c r="A1451" s="13" t="s">
        <v>5803</v>
      </c>
      <c r="B1451" s="13" t="s">
        <v>466</v>
      </c>
      <c r="C1451" s="13" t="s">
        <v>467</v>
      </c>
      <c r="D1451" s="13" t="s">
        <v>5804</v>
      </c>
      <c r="E1451" s="14">
        <v>46097</v>
      </c>
      <c r="F1451" s="14">
        <v>46125</v>
      </c>
      <c r="G1451" s="15">
        <v>49115.519999999997</v>
      </c>
      <c r="H1451" s="13" t="s">
        <v>5805</v>
      </c>
      <c r="I1451" s="13" t="s">
        <v>5806</v>
      </c>
      <c r="J1451" s="13" t="s">
        <v>98</v>
      </c>
      <c r="K1451" s="13">
        <f t="shared" si="110"/>
        <v>4</v>
      </c>
      <c r="L1451" s="13">
        <f t="shared" si="111"/>
        <v>0</v>
      </c>
      <c r="M1451" s="13">
        <f>IF(AND(L1451=0,COUNTIFS($B$2:$B$1534,B1451,$G$2:$G$1534,G1451,$E$2:$E$1534,"&gt;="&amp;(E1451-Assumptions!$B$5),$E$2:$E$1534,"&lt;="&amp;(E1451+Assumptions!$B$5))&gt;1),1,0)</f>
        <v>0</v>
      </c>
      <c r="N1451" s="13">
        <f>IF(AND(G1451&gt;=Assumptions!$B$4*(1-Assumptions!$B$6),G1451&lt;Assumptions!$B$4),1,0)</f>
        <v>1</v>
      </c>
      <c r="O1451" s="13">
        <f>IF(AND(G1451&gt;=Assumptions!$B$7,MOD(G1451,Assumptions!$B$7)=0),1,0)</f>
        <v>0</v>
      </c>
      <c r="P1451" s="13">
        <f t="shared" si="112"/>
        <v>0</v>
      </c>
      <c r="Q1451" s="13">
        <f t="shared" si="113"/>
        <v>0</v>
      </c>
      <c r="R1451" s="13">
        <f>L1451*Assumptions!$B$11+M1451*Assumptions!$B$12+N1451*Assumptions!$B$13+O1451*Assumptions!$B$14+P1451*Assumptions!$B$15+Q1451*Assumptions!$B$16</f>
        <v>3</v>
      </c>
      <c r="S1451" s="13" t="str">
        <f>IF(R1451&gt;=Assumptions!$B$20,"High",IF(R1451&gt;=Assumptions!$B$21,"Medium",IF(R1451&gt;=1,"Low","Clear")))</f>
        <v>Medium</v>
      </c>
      <c r="T1451" s="13" t="str">
        <f t="shared" si="114"/>
        <v xml:space="preserve">Just below limit; </v>
      </c>
    </row>
    <row r="1452" spans="1:20" x14ac:dyDescent="0.35">
      <c r="A1452" s="13" t="s">
        <v>5807</v>
      </c>
      <c r="B1452" s="13" t="s">
        <v>466</v>
      </c>
      <c r="C1452" s="13" t="s">
        <v>467</v>
      </c>
      <c r="D1452" s="13" t="s">
        <v>5808</v>
      </c>
      <c r="E1452" s="14">
        <v>46097</v>
      </c>
      <c r="F1452" s="14">
        <v>46125</v>
      </c>
      <c r="G1452" s="15">
        <v>2749.7</v>
      </c>
      <c r="H1452" s="13" t="s">
        <v>5809</v>
      </c>
      <c r="I1452" s="13" t="s">
        <v>5810</v>
      </c>
      <c r="J1452" s="13" t="s">
        <v>143</v>
      </c>
      <c r="K1452" s="13">
        <f t="shared" si="110"/>
        <v>2</v>
      </c>
      <c r="L1452" s="13">
        <f t="shared" si="111"/>
        <v>0</v>
      </c>
      <c r="M1452" s="13">
        <f>IF(AND(L1452=0,COUNTIFS($B$2:$B$1534,B1452,$G$2:$G$1534,G1452,$E$2:$E$1534,"&gt;="&amp;(E1452-Assumptions!$B$5),$E$2:$E$1534,"&lt;="&amp;(E1452+Assumptions!$B$5))&gt;1),1,0)</f>
        <v>0</v>
      </c>
      <c r="N1452" s="13">
        <f>IF(AND(G1452&gt;=Assumptions!$B$4*(1-Assumptions!$B$6),G1452&lt;Assumptions!$B$4),1,0)</f>
        <v>0</v>
      </c>
      <c r="O1452" s="13">
        <f>IF(AND(G1452&gt;=Assumptions!$B$7,MOD(G1452,Assumptions!$B$7)=0),1,0)</f>
        <v>0</v>
      </c>
      <c r="P1452" s="13">
        <f t="shared" si="112"/>
        <v>0</v>
      </c>
      <c r="Q1452" s="13">
        <f t="shared" si="113"/>
        <v>0</v>
      </c>
      <c r="R1452" s="13">
        <f>L1452*Assumptions!$B$11+M1452*Assumptions!$B$12+N1452*Assumptions!$B$13+O1452*Assumptions!$B$14+P1452*Assumptions!$B$15+Q1452*Assumptions!$B$16</f>
        <v>0</v>
      </c>
      <c r="S1452" s="13" t="str">
        <f>IF(R1452&gt;=Assumptions!$B$20,"High",IF(R1452&gt;=Assumptions!$B$21,"Medium",IF(R1452&gt;=1,"Low","Clear")))</f>
        <v>Clear</v>
      </c>
      <c r="T1452" s="13" t="str">
        <f t="shared" si="114"/>
        <v/>
      </c>
    </row>
    <row r="1453" spans="1:20" x14ac:dyDescent="0.35">
      <c r="A1453" s="13" t="s">
        <v>5811</v>
      </c>
      <c r="B1453" s="13" t="s">
        <v>218</v>
      </c>
      <c r="C1453" s="13" t="s">
        <v>219</v>
      </c>
      <c r="D1453" s="13" t="s">
        <v>5812</v>
      </c>
      <c r="E1453" s="14">
        <v>46084</v>
      </c>
      <c r="F1453" s="14">
        <v>46125</v>
      </c>
      <c r="G1453" s="15">
        <v>65838.86</v>
      </c>
      <c r="H1453" s="13" t="s">
        <v>5813</v>
      </c>
      <c r="I1453" s="13" t="s">
        <v>5814</v>
      </c>
      <c r="J1453" s="13" t="s">
        <v>98</v>
      </c>
      <c r="K1453" s="13">
        <f t="shared" si="110"/>
        <v>6</v>
      </c>
      <c r="L1453" s="13">
        <f t="shared" si="111"/>
        <v>0</v>
      </c>
      <c r="M1453" s="13">
        <f>IF(AND(L1453=0,COUNTIFS($B$2:$B$1534,B1453,$G$2:$G$1534,G1453,$E$2:$E$1534,"&gt;="&amp;(E1453-Assumptions!$B$5),$E$2:$E$1534,"&lt;="&amp;(E1453+Assumptions!$B$5))&gt;1),1,0)</f>
        <v>0</v>
      </c>
      <c r="N1453" s="13">
        <f>IF(AND(G1453&gt;=Assumptions!$B$4*(1-Assumptions!$B$6),G1453&lt;Assumptions!$B$4),1,0)</f>
        <v>0</v>
      </c>
      <c r="O1453" s="13">
        <f>IF(AND(G1453&gt;=Assumptions!$B$7,MOD(G1453,Assumptions!$B$7)=0),1,0)</f>
        <v>0</v>
      </c>
      <c r="P1453" s="13">
        <f t="shared" si="112"/>
        <v>0</v>
      </c>
      <c r="Q1453" s="13">
        <f t="shared" si="113"/>
        <v>0</v>
      </c>
      <c r="R1453" s="13">
        <f>L1453*Assumptions!$B$11+M1453*Assumptions!$B$12+N1453*Assumptions!$B$13+O1453*Assumptions!$B$14+P1453*Assumptions!$B$15+Q1453*Assumptions!$B$16</f>
        <v>0</v>
      </c>
      <c r="S1453" s="13" t="str">
        <f>IF(R1453&gt;=Assumptions!$B$20,"High",IF(R1453&gt;=Assumptions!$B$21,"Medium",IF(R1453&gt;=1,"Low","Clear")))</f>
        <v>Clear</v>
      </c>
      <c r="T1453" s="13" t="str">
        <f t="shared" si="114"/>
        <v/>
      </c>
    </row>
    <row r="1454" spans="1:20" x14ac:dyDescent="0.35">
      <c r="A1454" s="13" t="s">
        <v>5815</v>
      </c>
      <c r="B1454" s="13" t="s">
        <v>218</v>
      </c>
      <c r="C1454" s="13" t="s">
        <v>219</v>
      </c>
      <c r="D1454" s="13" t="s">
        <v>5816</v>
      </c>
      <c r="E1454" s="14">
        <v>46095</v>
      </c>
      <c r="F1454" s="14">
        <v>46125</v>
      </c>
      <c r="G1454" s="15">
        <v>767870.83</v>
      </c>
      <c r="H1454" s="13" t="s">
        <v>5817</v>
      </c>
      <c r="I1454" s="13" t="s">
        <v>5818</v>
      </c>
      <c r="J1454" s="13" t="s">
        <v>111</v>
      </c>
      <c r="K1454" s="13">
        <f t="shared" si="110"/>
        <v>7</v>
      </c>
      <c r="L1454" s="13">
        <f t="shared" si="111"/>
        <v>0</v>
      </c>
      <c r="M1454" s="13">
        <f>IF(AND(L1454=0,COUNTIFS($B$2:$B$1534,B1454,$G$2:$G$1534,G1454,$E$2:$E$1534,"&gt;="&amp;(E1454-Assumptions!$B$5),$E$2:$E$1534,"&lt;="&amp;(E1454+Assumptions!$B$5))&gt;1),1,0)</f>
        <v>0</v>
      </c>
      <c r="N1454" s="13">
        <f>IF(AND(G1454&gt;=Assumptions!$B$4*(1-Assumptions!$B$6),G1454&lt;Assumptions!$B$4),1,0)</f>
        <v>0</v>
      </c>
      <c r="O1454" s="13">
        <f>IF(AND(G1454&gt;=Assumptions!$B$7,MOD(G1454,Assumptions!$B$7)=0),1,0)</f>
        <v>0</v>
      </c>
      <c r="P1454" s="13">
        <f t="shared" si="112"/>
        <v>0</v>
      </c>
      <c r="Q1454" s="13">
        <f t="shared" si="113"/>
        <v>0</v>
      </c>
      <c r="R1454" s="13">
        <f>L1454*Assumptions!$B$11+M1454*Assumptions!$B$12+N1454*Assumptions!$B$13+O1454*Assumptions!$B$14+P1454*Assumptions!$B$15+Q1454*Assumptions!$B$16</f>
        <v>0</v>
      </c>
      <c r="S1454" s="13" t="str">
        <f>IF(R1454&gt;=Assumptions!$B$20,"High",IF(R1454&gt;=Assumptions!$B$21,"Medium",IF(R1454&gt;=1,"Low","Clear")))</f>
        <v>Clear</v>
      </c>
      <c r="T1454" s="13" t="str">
        <f t="shared" si="114"/>
        <v/>
      </c>
    </row>
    <row r="1455" spans="1:20" x14ac:dyDescent="0.35">
      <c r="A1455" s="13" t="s">
        <v>5819</v>
      </c>
      <c r="B1455" s="13" t="s">
        <v>329</v>
      </c>
      <c r="C1455" s="13" t="s">
        <v>330</v>
      </c>
      <c r="D1455" s="13" t="s">
        <v>5820</v>
      </c>
      <c r="E1455" s="14">
        <v>46099</v>
      </c>
      <c r="F1455" s="14">
        <v>46125</v>
      </c>
      <c r="G1455" s="15">
        <v>10670.84</v>
      </c>
      <c r="H1455" s="13"/>
      <c r="I1455" s="13"/>
      <c r="J1455" s="13" t="s">
        <v>143</v>
      </c>
      <c r="K1455" s="13">
        <f t="shared" si="110"/>
        <v>1</v>
      </c>
      <c r="L1455" s="13">
        <f t="shared" si="111"/>
        <v>0</v>
      </c>
      <c r="M1455" s="13">
        <f>IF(AND(L1455=0,COUNTIFS($B$2:$B$1534,B1455,$G$2:$G$1534,G1455,$E$2:$E$1534,"&gt;="&amp;(E1455-Assumptions!$B$5),$E$2:$E$1534,"&lt;="&amp;(E1455+Assumptions!$B$5))&gt;1),1,0)</f>
        <v>0</v>
      </c>
      <c r="N1455" s="13">
        <f>IF(AND(G1455&gt;=Assumptions!$B$4*(1-Assumptions!$B$6),G1455&lt;Assumptions!$B$4),1,0)</f>
        <v>0</v>
      </c>
      <c r="O1455" s="13">
        <f>IF(AND(G1455&gt;=Assumptions!$B$7,MOD(G1455,Assumptions!$B$7)=0),1,0)</f>
        <v>0</v>
      </c>
      <c r="P1455" s="13">
        <f t="shared" si="112"/>
        <v>1</v>
      </c>
      <c r="Q1455" s="13">
        <f t="shared" si="113"/>
        <v>0</v>
      </c>
      <c r="R1455" s="13">
        <f>L1455*Assumptions!$B$11+M1455*Assumptions!$B$12+N1455*Assumptions!$B$13+O1455*Assumptions!$B$14+P1455*Assumptions!$B$15+Q1455*Assumptions!$B$16</f>
        <v>4</v>
      </c>
      <c r="S1455" s="13" t="str">
        <f>IF(R1455&gt;=Assumptions!$B$20,"High",IF(R1455&gt;=Assumptions!$B$21,"Medium",IF(R1455&gt;=1,"Low","Clear")))</f>
        <v>Medium</v>
      </c>
      <c r="T1455" s="13" t="str">
        <f t="shared" si="114"/>
        <v xml:space="preserve">No PO/GRN; </v>
      </c>
    </row>
    <row r="1456" spans="1:20" x14ac:dyDescent="0.35">
      <c r="A1456" s="13" t="s">
        <v>5821</v>
      </c>
      <c r="B1456" s="13" t="s">
        <v>329</v>
      </c>
      <c r="C1456" s="13" t="s">
        <v>330</v>
      </c>
      <c r="D1456" s="13" t="s">
        <v>5822</v>
      </c>
      <c r="E1456" s="14">
        <v>46087</v>
      </c>
      <c r="F1456" s="14">
        <v>46125</v>
      </c>
      <c r="G1456" s="15">
        <v>8710.82</v>
      </c>
      <c r="H1456" s="13" t="s">
        <v>5823</v>
      </c>
      <c r="I1456" s="13" t="s">
        <v>5824</v>
      </c>
      <c r="J1456" s="13" t="s">
        <v>170</v>
      </c>
      <c r="K1456" s="13">
        <f t="shared" si="110"/>
        <v>8</v>
      </c>
      <c r="L1456" s="13">
        <f t="shared" si="111"/>
        <v>0</v>
      </c>
      <c r="M1456" s="13">
        <f>IF(AND(L1456=0,COUNTIFS($B$2:$B$1534,B1456,$G$2:$G$1534,G1456,$E$2:$E$1534,"&gt;="&amp;(E1456-Assumptions!$B$5),$E$2:$E$1534,"&lt;="&amp;(E1456+Assumptions!$B$5))&gt;1),1,0)</f>
        <v>0</v>
      </c>
      <c r="N1456" s="13">
        <f>IF(AND(G1456&gt;=Assumptions!$B$4*(1-Assumptions!$B$6),G1456&lt;Assumptions!$B$4),1,0)</f>
        <v>0</v>
      </c>
      <c r="O1456" s="13">
        <f>IF(AND(G1456&gt;=Assumptions!$B$7,MOD(G1456,Assumptions!$B$7)=0),1,0)</f>
        <v>0</v>
      </c>
      <c r="P1456" s="13">
        <f t="shared" si="112"/>
        <v>0</v>
      </c>
      <c r="Q1456" s="13">
        <f t="shared" si="113"/>
        <v>0</v>
      </c>
      <c r="R1456" s="13">
        <f>L1456*Assumptions!$B$11+M1456*Assumptions!$B$12+N1456*Assumptions!$B$13+O1456*Assumptions!$B$14+P1456*Assumptions!$B$15+Q1456*Assumptions!$B$16</f>
        <v>0</v>
      </c>
      <c r="S1456" s="13" t="str">
        <f>IF(R1456&gt;=Assumptions!$B$20,"High",IF(R1456&gt;=Assumptions!$B$21,"Medium",IF(R1456&gt;=1,"Low","Clear")))</f>
        <v>Clear</v>
      </c>
      <c r="T1456" s="13" t="str">
        <f t="shared" si="114"/>
        <v/>
      </c>
    </row>
    <row r="1457" spans="1:20" x14ac:dyDescent="0.35">
      <c r="A1457" s="13" t="s">
        <v>5825</v>
      </c>
      <c r="B1457" s="13" t="s">
        <v>161</v>
      </c>
      <c r="C1457" s="13" t="s">
        <v>162</v>
      </c>
      <c r="D1457" s="13" t="s">
        <v>5826</v>
      </c>
      <c r="E1457" s="14">
        <v>46089</v>
      </c>
      <c r="F1457" s="14">
        <v>46125</v>
      </c>
      <c r="G1457" s="15">
        <v>919766.02</v>
      </c>
      <c r="H1457" s="13" t="s">
        <v>5827</v>
      </c>
      <c r="I1457" s="13" t="s">
        <v>5828</v>
      </c>
      <c r="J1457" s="13" t="s">
        <v>98</v>
      </c>
      <c r="K1457" s="13">
        <f t="shared" si="110"/>
        <v>9</v>
      </c>
      <c r="L1457" s="13">
        <f t="shared" si="111"/>
        <v>0</v>
      </c>
      <c r="M1457" s="13">
        <f>IF(AND(L1457=0,COUNTIFS($B$2:$B$1534,B1457,$G$2:$G$1534,G1457,$E$2:$E$1534,"&gt;="&amp;(E1457-Assumptions!$B$5),$E$2:$E$1534,"&lt;="&amp;(E1457+Assumptions!$B$5))&gt;1),1,0)</f>
        <v>0</v>
      </c>
      <c r="N1457" s="13">
        <f>IF(AND(G1457&gt;=Assumptions!$B$4*(1-Assumptions!$B$6),G1457&lt;Assumptions!$B$4),1,0)</f>
        <v>0</v>
      </c>
      <c r="O1457" s="13">
        <f>IF(AND(G1457&gt;=Assumptions!$B$7,MOD(G1457,Assumptions!$B$7)=0),1,0)</f>
        <v>0</v>
      </c>
      <c r="P1457" s="13">
        <f t="shared" si="112"/>
        <v>0</v>
      </c>
      <c r="Q1457" s="13">
        <f t="shared" si="113"/>
        <v>0</v>
      </c>
      <c r="R1457" s="13">
        <f>L1457*Assumptions!$B$11+M1457*Assumptions!$B$12+N1457*Assumptions!$B$13+O1457*Assumptions!$B$14+P1457*Assumptions!$B$15+Q1457*Assumptions!$B$16</f>
        <v>0</v>
      </c>
      <c r="S1457" s="13" t="str">
        <f>IF(R1457&gt;=Assumptions!$B$20,"High",IF(R1457&gt;=Assumptions!$B$21,"Medium",IF(R1457&gt;=1,"Low","Clear")))</f>
        <v>Clear</v>
      </c>
      <c r="T1457" s="13" t="str">
        <f t="shared" si="114"/>
        <v/>
      </c>
    </row>
    <row r="1458" spans="1:20" x14ac:dyDescent="0.35">
      <c r="A1458" s="13" t="s">
        <v>5829</v>
      </c>
      <c r="B1458" s="13" t="s">
        <v>476</v>
      </c>
      <c r="C1458" s="13" t="s">
        <v>477</v>
      </c>
      <c r="D1458" s="13" t="s">
        <v>5830</v>
      </c>
      <c r="E1458" s="14">
        <v>46095</v>
      </c>
      <c r="F1458" s="14">
        <v>46125</v>
      </c>
      <c r="G1458" s="15">
        <v>33261.71</v>
      </c>
      <c r="H1458" s="13" t="s">
        <v>5782</v>
      </c>
      <c r="I1458" s="13" t="s">
        <v>5783</v>
      </c>
      <c r="J1458" s="13" t="s">
        <v>91</v>
      </c>
      <c r="K1458" s="13">
        <f t="shared" si="110"/>
        <v>3</v>
      </c>
      <c r="L1458" s="13">
        <f t="shared" si="111"/>
        <v>0</v>
      </c>
      <c r="M1458" s="13">
        <f>IF(AND(L1458=0,COUNTIFS($B$2:$B$1534,B1458,$G$2:$G$1534,G1458,$E$2:$E$1534,"&gt;="&amp;(E1458-Assumptions!$B$5),$E$2:$E$1534,"&lt;="&amp;(E1458+Assumptions!$B$5))&gt;1),1,0)</f>
        <v>1</v>
      </c>
      <c r="N1458" s="13">
        <f>IF(AND(G1458&gt;=Assumptions!$B$4*(1-Assumptions!$B$6),G1458&lt;Assumptions!$B$4),1,0)</f>
        <v>0</v>
      </c>
      <c r="O1458" s="13">
        <f>IF(AND(G1458&gt;=Assumptions!$B$7,MOD(G1458,Assumptions!$B$7)=0),1,0)</f>
        <v>0</v>
      </c>
      <c r="P1458" s="13">
        <f t="shared" si="112"/>
        <v>0</v>
      </c>
      <c r="Q1458" s="13">
        <f t="shared" si="113"/>
        <v>0</v>
      </c>
      <c r="R1458" s="13">
        <f>L1458*Assumptions!$B$11+M1458*Assumptions!$B$12+N1458*Assumptions!$B$13+O1458*Assumptions!$B$14+P1458*Assumptions!$B$15+Q1458*Assumptions!$B$16</f>
        <v>3</v>
      </c>
      <c r="S1458" s="13" t="str">
        <f>IF(R1458&gt;=Assumptions!$B$20,"High",IF(R1458&gt;=Assumptions!$B$21,"Medium",IF(R1458&gt;=1,"Low","Clear")))</f>
        <v>Medium</v>
      </c>
      <c r="T1458" s="13" t="str">
        <f t="shared" si="114"/>
        <v xml:space="preserve">Near-duplicate; </v>
      </c>
    </row>
    <row r="1459" spans="1:20" x14ac:dyDescent="0.35">
      <c r="A1459" s="13" t="s">
        <v>5831</v>
      </c>
      <c r="B1459" s="13" t="s">
        <v>339</v>
      </c>
      <c r="C1459" s="13" t="s">
        <v>340</v>
      </c>
      <c r="D1459" s="13" t="s">
        <v>5663</v>
      </c>
      <c r="E1459" s="14">
        <v>46075</v>
      </c>
      <c r="F1459" s="14">
        <v>46125</v>
      </c>
      <c r="G1459" s="15">
        <v>39934.879999999997</v>
      </c>
      <c r="H1459" s="13" t="s">
        <v>5664</v>
      </c>
      <c r="I1459" s="13" t="s">
        <v>5665</v>
      </c>
      <c r="J1459" s="13" t="s">
        <v>91</v>
      </c>
      <c r="K1459" s="13">
        <f t="shared" si="110"/>
        <v>3</v>
      </c>
      <c r="L1459" s="13">
        <f t="shared" si="111"/>
        <v>1</v>
      </c>
      <c r="M1459" s="13">
        <f>IF(AND(L1459=0,COUNTIFS($B$2:$B$1534,B1459,$G$2:$G$1534,G1459,$E$2:$E$1534,"&gt;="&amp;(E1459-Assumptions!$B$5),$E$2:$E$1534,"&lt;="&amp;(E1459+Assumptions!$B$5))&gt;1),1,0)</f>
        <v>0</v>
      </c>
      <c r="N1459" s="13">
        <f>IF(AND(G1459&gt;=Assumptions!$B$4*(1-Assumptions!$B$6),G1459&lt;Assumptions!$B$4),1,0)</f>
        <v>0</v>
      </c>
      <c r="O1459" s="13">
        <f>IF(AND(G1459&gt;=Assumptions!$B$7,MOD(G1459,Assumptions!$B$7)=0),1,0)</f>
        <v>0</v>
      </c>
      <c r="P1459" s="13">
        <f t="shared" si="112"/>
        <v>0</v>
      </c>
      <c r="Q1459" s="13">
        <f t="shared" si="113"/>
        <v>0</v>
      </c>
      <c r="R1459" s="13">
        <f>L1459*Assumptions!$B$11+M1459*Assumptions!$B$12+N1459*Assumptions!$B$13+O1459*Assumptions!$B$14+P1459*Assumptions!$B$15+Q1459*Assumptions!$B$16</f>
        <v>5</v>
      </c>
      <c r="S1459" s="13" t="str">
        <f>IF(R1459&gt;=Assumptions!$B$20,"High",IF(R1459&gt;=Assumptions!$B$21,"Medium",IF(R1459&gt;=1,"Low","Clear")))</f>
        <v>High</v>
      </c>
      <c r="T1459" s="13" t="str">
        <f t="shared" si="114"/>
        <v xml:space="preserve">Duplicate invoice; </v>
      </c>
    </row>
    <row r="1460" spans="1:20" x14ac:dyDescent="0.35">
      <c r="A1460" s="13" t="s">
        <v>5832</v>
      </c>
      <c r="B1460" s="13" t="s">
        <v>106</v>
      </c>
      <c r="C1460" s="13" t="s">
        <v>107</v>
      </c>
      <c r="D1460" s="13" t="s">
        <v>5833</v>
      </c>
      <c r="E1460" s="14">
        <v>46084</v>
      </c>
      <c r="F1460" s="14">
        <v>46125</v>
      </c>
      <c r="G1460" s="15">
        <v>248119.3</v>
      </c>
      <c r="H1460" s="13" t="s">
        <v>5834</v>
      </c>
      <c r="I1460" s="13" t="s">
        <v>5835</v>
      </c>
      <c r="J1460" s="13" t="s">
        <v>143</v>
      </c>
      <c r="K1460" s="13">
        <f t="shared" si="110"/>
        <v>2</v>
      </c>
      <c r="L1460" s="13">
        <f t="shared" si="111"/>
        <v>0</v>
      </c>
      <c r="M1460" s="13">
        <f>IF(AND(L1460=0,COUNTIFS($B$2:$B$1534,B1460,$G$2:$G$1534,G1460,$E$2:$E$1534,"&gt;="&amp;(E1460-Assumptions!$B$5),$E$2:$E$1534,"&lt;="&amp;(E1460+Assumptions!$B$5))&gt;1),1,0)</f>
        <v>0</v>
      </c>
      <c r="N1460" s="13">
        <f>IF(AND(G1460&gt;=Assumptions!$B$4*(1-Assumptions!$B$6),G1460&lt;Assumptions!$B$4),1,0)</f>
        <v>0</v>
      </c>
      <c r="O1460" s="13">
        <f>IF(AND(G1460&gt;=Assumptions!$B$7,MOD(G1460,Assumptions!$B$7)=0),1,0)</f>
        <v>0</v>
      </c>
      <c r="P1460" s="13">
        <f t="shared" si="112"/>
        <v>0</v>
      </c>
      <c r="Q1460" s="13">
        <f t="shared" si="113"/>
        <v>0</v>
      </c>
      <c r="R1460" s="13">
        <f>L1460*Assumptions!$B$11+M1460*Assumptions!$B$12+N1460*Assumptions!$B$13+O1460*Assumptions!$B$14+P1460*Assumptions!$B$15+Q1460*Assumptions!$B$16</f>
        <v>0</v>
      </c>
      <c r="S1460" s="13" t="str">
        <f>IF(R1460&gt;=Assumptions!$B$20,"High",IF(R1460&gt;=Assumptions!$B$21,"Medium",IF(R1460&gt;=1,"Low","Clear")))</f>
        <v>Clear</v>
      </c>
      <c r="T1460" s="13" t="str">
        <f t="shared" si="114"/>
        <v/>
      </c>
    </row>
    <row r="1461" spans="1:20" x14ac:dyDescent="0.35">
      <c r="A1461" s="13" t="s">
        <v>5836</v>
      </c>
      <c r="B1461" s="13" t="s">
        <v>145</v>
      </c>
      <c r="C1461" s="13" t="s">
        <v>146</v>
      </c>
      <c r="D1461" s="13" t="s">
        <v>5837</v>
      </c>
      <c r="E1461" s="14">
        <v>46090</v>
      </c>
      <c r="F1461" s="14">
        <v>46125</v>
      </c>
      <c r="G1461" s="15">
        <v>2801.78</v>
      </c>
      <c r="H1461" s="13" t="s">
        <v>5838</v>
      </c>
      <c r="I1461" s="13" t="s">
        <v>5839</v>
      </c>
      <c r="J1461" s="13" t="s">
        <v>111</v>
      </c>
      <c r="K1461" s="13">
        <f t="shared" si="110"/>
        <v>2</v>
      </c>
      <c r="L1461" s="13">
        <f t="shared" si="111"/>
        <v>0</v>
      </c>
      <c r="M1461" s="13">
        <f>IF(AND(L1461=0,COUNTIFS($B$2:$B$1534,B1461,$G$2:$G$1534,G1461,$E$2:$E$1534,"&gt;="&amp;(E1461-Assumptions!$B$5),$E$2:$E$1534,"&lt;="&amp;(E1461+Assumptions!$B$5))&gt;1),1,0)</f>
        <v>0</v>
      </c>
      <c r="N1461" s="13">
        <f>IF(AND(G1461&gt;=Assumptions!$B$4*(1-Assumptions!$B$6),G1461&lt;Assumptions!$B$4),1,0)</f>
        <v>0</v>
      </c>
      <c r="O1461" s="13">
        <f>IF(AND(G1461&gt;=Assumptions!$B$7,MOD(G1461,Assumptions!$B$7)=0),1,0)</f>
        <v>0</v>
      </c>
      <c r="P1461" s="13">
        <f t="shared" si="112"/>
        <v>0</v>
      </c>
      <c r="Q1461" s="13">
        <f t="shared" si="113"/>
        <v>0</v>
      </c>
      <c r="R1461" s="13">
        <f>L1461*Assumptions!$B$11+M1461*Assumptions!$B$12+N1461*Assumptions!$B$13+O1461*Assumptions!$B$14+P1461*Assumptions!$B$15+Q1461*Assumptions!$B$16</f>
        <v>0</v>
      </c>
      <c r="S1461" s="13" t="str">
        <f>IF(R1461&gt;=Assumptions!$B$20,"High",IF(R1461&gt;=Assumptions!$B$21,"Medium",IF(R1461&gt;=1,"Low","Clear")))</f>
        <v>Clear</v>
      </c>
      <c r="T1461" s="13" t="str">
        <f t="shared" si="114"/>
        <v/>
      </c>
    </row>
    <row r="1462" spans="1:20" x14ac:dyDescent="0.35">
      <c r="A1462" s="13" t="s">
        <v>5840</v>
      </c>
      <c r="B1462" s="13" t="s">
        <v>556</v>
      </c>
      <c r="C1462" s="13" t="s">
        <v>557</v>
      </c>
      <c r="D1462" s="13" t="s">
        <v>5841</v>
      </c>
      <c r="E1462" s="14">
        <v>46104</v>
      </c>
      <c r="F1462" s="14">
        <v>46125</v>
      </c>
      <c r="G1462" s="15">
        <v>371703.03</v>
      </c>
      <c r="H1462" s="13" t="s">
        <v>5842</v>
      </c>
      <c r="I1462" s="13" t="s">
        <v>5843</v>
      </c>
      <c r="J1462" s="13" t="s">
        <v>98</v>
      </c>
      <c r="K1462" s="13">
        <f t="shared" si="110"/>
        <v>3</v>
      </c>
      <c r="L1462" s="13">
        <f t="shared" si="111"/>
        <v>0</v>
      </c>
      <c r="M1462" s="13">
        <f>IF(AND(L1462=0,COUNTIFS($B$2:$B$1534,B1462,$G$2:$G$1534,G1462,$E$2:$E$1534,"&gt;="&amp;(E1462-Assumptions!$B$5),$E$2:$E$1534,"&lt;="&amp;(E1462+Assumptions!$B$5))&gt;1),1,0)</f>
        <v>0</v>
      </c>
      <c r="N1462" s="13">
        <f>IF(AND(G1462&gt;=Assumptions!$B$4*(1-Assumptions!$B$6),G1462&lt;Assumptions!$B$4),1,0)</f>
        <v>0</v>
      </c>
      <c r="O1462" s="13">
        <f>IF(AND(G1462&gt;=Assumptions!$B$7,MOD(G1462,Assumptions!$B$7)=0),1,0)</f>
        <v>0</v>
      </c>
      <c r="P1462" s="13">
        <f t="shared" si="112"/>
        <v>0</v>
      </c>
      <c r="Q1462" s="13">
        <f t="shared" si="113"/>
        <v>0</v>
      </c>
      <c r="R1462" s="13">
        <f>L1462*Assumptions!$B$11+M1462*Assumptions!$B$12+N1462*Assumptions!$B$13+O1462*Assumptions!$B$14+P1462*Assumptions!$B$15+Q1462*Assumptions!$B$16</f>
        <v>0</v>
      </c>
      <c r="S1462" s="13" t="str">
        <f>IF(R1462&gt;=Assumptions!$B$20,"High",IF(R1462&gt;=Assumptions!$B$21,"Medium",IF(R1462&gt;=1,"Low","Clear")))</f>
        <v>Clear</v>
      </c>
      <c r="T1462" s="13" t="str">
        <f t="shared" si="114"/>
        <v/>
      </c>
    </row>
    <row r="1463" spans="1:20" x14ac:dyDescent="0.35">
      <c r="A1463" s="13" t="s">
        <v>5844</v>
      </c>
      <c r="B1463" s="13" t="s">
        <v>556</v>
      </c>
      <c r="C1463" s="13" t="s">
        <v>557</v>
      </c>
      <c r="D1463" s="13" t="s">
        <v>5845</v>
      </c>
      <c r="E1463" s="14">
        <v>46087</v>
      </c>
      <c r="F1463" s="14">
        <v>46125</v>
      </c>
      <c r="G1463" s="15">
        <v>1350.35</v>
      </c>
      <c r="H1463" s="13" t="s">
        <v>5846</v>
      </c>
      <c r="I1463" s="13" t="s">
        <v>5847</v>
      </c>
      <c r="J1463" s="13" t="s">
        <v>170</v>
      </c>
      <c r="K1463" s="13">
        <f t="shared" si="110"/>
        <v>1</v>
      </c>
      <c r="L1463" s="13">
        <f t="shared" si="111"/>
        <v>0</v>
      </c>
      <c r="M1463" s="13">
        <f>IF(AND(L1463=0,COUNTIFS($B$2:$B$1534,B1463,$G$2:$G$1534,G1463,$E$2:$E$1534,"&gt;="&amp;(E1463-Assumptions!$B$5),$E$2:$E$1534,"&lt;="&amp;(E1463+Assumptions!$B$5))&gt;1),1,0)</f>
        <v>0</v>
      </c>
      <c r="N1463" s="13">
        <f>IF(AND(G1463&gt;=Assumptions!$B$4*(1-Assumptions!$B$6),G1463&lt;Assumptions!$B$4),1,0)</f>
        <v>0</v>
      </c>
      <c r="O1463" s="13">
        <f>IF(AND(G1463&gt;=Assumptions!$B$7,MOD(G1463,Assumptions!$B$7)=0),1,0)</f>
        <v>0</v>
      </c>
      <c r="P1463" s="13">
        <f t="shared" si="112"/>
        <v>0</v>
      </c>
      <c r="Q1463" s="13">
        <f t="shared" si="113"/>
        <v>0</v>
      </c>
      <c r="R1463" s="13">
        <f>L1463*Assumptions!$B$11+M1463*Assumptions!$B$12+N1463*Assumptions!$B$13+O1463*Assumptions!$B$14+P1463*Assumptions!$B$15+Q1463*Assumptions!$B$16</f>
        <v>0</v>
      </c>
      <c r="S1463" s="13" t="str">
        <f>IF(R1463&gt;=Assumptions!$B$20,"High",IF(R1463&gt;=Assumptions!$B$21,"Medium",IF(R1463&gt;=1,"Low","Clear")))</f>
        <v>Clear</v>
      </c>
      <c r="T1463" s="13" t="str">
        <f t="shared" si="114"/>
        <v/>
      </c>
    </row>
    <row r="1464" spans="1:20" x14ac:dyDescent="0.35">
      <c r="A1464" s="13" t="s">
        <v>5848</v>
      </c>
      <c r="B1464" s="13" t="s">
        <v>556</v>
      </c>
      <c r="C1464" s="13" t="s">
        <v>557</v>
      </c>
      <c r="D1464" s="13" t="s">
        <v>5849</v>
      </c>
      <c r="E1464" s="14">
        <v>46088</v>
      </c>
      <c r="F1464" s="14">
        <v>46125</v>
      </c>
      <c r="G1464" s="15">
        <v>335524.02</v>
      </c>
      <c r="H1464" s="13" t="s">
        <v>5850</v>
      </c>
      <c r="I1464" s="13" t="s">
        <v>5851</v>
      </c>
      <c r="J1464" s="13" t="s">
        <v>170</v>
      </c>
      <c r="K1464" s="13">
        <f t="shared" si="110"/>
        <v>3</v>
      </c>
      <c r="L1464" s="13">
        <f t="shared" si="111"/>
        <v>0</v>
      </c>
      <c r="M1464" s="13">
        <f>IF(AND(L1464=0,COUNTIFS($B$2:$B$1534,B1464,$G$2:$G$1534,G1464,$E$2:$E$1534,"&gt;="&amp;(E1464-Assumptions!$B$5),$E$2:$E$1534,"&lt;="&amp;(E1464+Assumptions!$B$5))&gt;1),1,0)</f>
        <v>0</v>
      </c>
      <c r="N1464" s="13">
        <f>IF(AND(G1464&gt;=Assumptions!$B$4*(1-Assumptions!$B$6),G1464&lt;Assumptions!$B$4),1,0)</f>
        <v>0</v>
      </c>
      <c r="O1464" s="13">
        <f>IF(AND(G1464&gt;=Assumptions!$B$7,MOD(G1464,Assumptions!$B$7)=0),1,0)</f>
        <v>0</v>
      </c>
      <c r="P1464" s="13">
        <f t="shared" si="112"/>
        <v>0</v>
      </c>
      <c r="Q1464" s="13">
        <f t="shared" si="113"/>
        <v>0</v>
      </c>
      <c r="R1464" s="13">
        <f>L1464*Assumptions!$B$11+M1464*Assumptions!$B$12+N1464*Assumptions!$B$13+O1464*Assumptions!$B$14+P1464*Assumptions!$B$15+Q1464*Assumptions!$B$16</f>
        <v>0</v>
      </c>
      <c r="S1464" s="13" t="str">
        <f>IF(R1464&gt;=Assumptions!$B$20,"High",IF(R1464&gt;=Assumptions!$B$21,"Medium",IF(R1464&gt;=1,"Low","Clear")))</f>
        <v>Clear</v>
      </c>
      <c r="T1464" s="13" t="str">
        <f t="shared" si="114"/>
        <v/>
      </c>
    </row>
    <row r="1465" spans="1:20" x14ac:dyDescent="0.35">
      <c r="A1465" s="13" t="s">
        <v>5852</v>
      </c>
      <c r="B1465" s="13" t="s">
        <v>188</v>
      </c>
      <c r="C1465" s="13" t="s">
        <v>189</v>
      </c>
      <c r="D1465" s="13" t="s">
        <v>5853</v>
      </c>
      <c r="E1465" s="14">
        <v>46090</v>
      </c>
      <c r="F1465" s="14">
        <v>46126</v>
      </c>
      <c r="G1465" s="15">
        <v>4753.5200000000004</v>
      </c>
      <c r="H1465" s="13" t="s">
        <v>5854</v>
      </c>
      <c r="I1465" s="13" t="s">
        <v>5855</v>
      </c>
      <c r="J1465" s="13" t="s">
        <v>111</v>
      </c>
      <c r="K1465" s="13">
        <f t="shared" si="110"/>
        <v>4</v>
      </c>
      <c r="L1465" s="13">
        <f t="shared" si="111"/>
        <v>0</v>
      </c>
      <c r="M1465" s="13">
        <f>IF(AND(L1465=0,COUNTIFS($B$2:$B$1534,B1465,$G$2:$G$1534,G1465,$E$2:$E$1534,"&gt;="&amp;(E1465-Assumptions!$B$5),$E$2:$E$1534,"&lt;="&amp;(E1465+Assumptions!$B$5))&gt;1),1,0)</f>
        <v>0</v>
      </c>
      <c r="N1465" s="13">
        <f>IF(AND(G1465&gt;=Assumptions!$B$4*(1-Assumptions!$B$6),G1465&lt;Assumptions!$B$4),1,0)</f>
        <v>0</v>
      </c>
      <c r="O1465" s="13">
        <f>IF(AND(G1465&gt;=Assumptions!$B$7,MOD(G1465,Assumptions!$B$7)=0),1,0)</f>
        <v>0</v>
      </c>
      <c r="P1465" s="13">
        <f t="shared" si="112"/>
        <v>0</v>
      </c>
      <c r="Q1465" s="13">
        <f t="shared" si="113"/>
        <v>0</v>
      </c>
      <c r="R1465" s="13">
        <f>L1465*Assumptions!$B$11+M1465*Assumptions!$B$12+N1465*Assumptions!$B$13+O1465*Assumptions!$B$14+P1465*Assumptions!$B$15+Q1465*Assumptions!$B$16</f>
        <v>0</v>
      </c>
      <c r="S1465" s="13" t="str">
        <f>IF(R1465&gt;=Assumptions!$B$20,"High",IF(R1465&gt;=Assumptions!$B$21,"Medium",IF(R1465&gt;=1,"Low","Clear")))</f>
        <v>Clear</v>
      </c>
      <c r="T1465" s="13" t="str">
        <f t="shared" si="114"/>
        <v/>
      </c>
    </row>
    <row r="1466" spans="1:20" x14ac:dyDescent="0.35">
      <c r="A1466" s="13" t="s">
        <v>5856</v>
      </c>
      <c r="B1466" s="13" t="s">
        <v>228</v>
      </c>
      <c r="C1466" s="13" t="s">
        <v>229</v>
      </c>
      <c r="D1466" s="13" t="s">
        <v>5857</v>
      </c>
      <c r="E1466" s="14">
        <v>46101</v>
      </c>
      <c r="F1466" s="14">
        <v>46126</v>
      </c>
      <c r="G1466" s="15">
        <v>1513.94</v>
      </c>
      <c r="H1466" s="13" t="s">
        <v>5858</v>
      </c>
      <c r="I1466" s="13" t="s">
        <v>5859</v>
      </c>
      <c r="J1466" s="13" t="s">
        <v>136</v>
      </c>
      <c r="K1466" s="13">
        <f t="shared" si="110"/>
        <v>1</v>
      </c>
      <c r="L1466" s="13">
        <f t="shared" si="111"/>
        <v>0</v>
      </c>
      <c r="M1466" s="13">
        <f>IF(AND(L1466=0,COUNTIFS($B$2:$B$1534,B1466,$G$2:$G$1534,G1466,$E$2:$E$1534,"&gt;="&amp;(E1466-Assumptions!$B$5),$E$2:$E$1534,"&lt;="&amp;(E1466+Assumptions!$B$5))&gt;1),1,0)</f>
        <v>0</v>
      </c>
      <c r="N1466" s="13">
        <f>IF(AND(G1466&gt;=Assumptions!$B$4*(1-Assumptions!$B$6),G1466&lt;Assumptions!$B$4),1,0)</f>
        <v>0</v>
      </c>
      <c r="O1466" s="13">
        <f>IF(AND(G1466&gt;=Assumptions!$B$7,MOD(G1466,Assumptions!$B$7)=0),1,0)</f>
        <v>0</v>
      </c>
      <c r="P1466" s="13">
        <f t="shared" si="112"/>
        <v>0</v>
      </c>
      <c r="Q1466" s="13">
        <f t="shared" si="113"/>
        <v>0</v>
      </c>
      <c r="R1466" s="13">
        <f>L1466*Assumptions!$B$11+M1466*Assumptions!$B$12+N1466*Assumptions!$B$13+O1466*Assumptions!$B$14+P1466*Assumptions!$B$15+Q1466*Assumptions!$B$16</f>
        <v>0</v>
      </c>
      <c r="S1466" s="13" t="str">
        <f>IF(R1466&gt;=Assumptions!$B$20,"High",IF(R1466&gt;=Assumptions!$B$21,"Medium",IF(R1466&gt;=1,"Low","Clear")))</f>
        <v>Clear</v>
      </c>
      <c r="T1466" s="13" t="str">
        <f t="shared" si="114"/>
        <v/>
      </c>
    </row>
    <row r="1467" spans="1:20" x14ac:dyDescent="0.35">
      <c r="A1467" s="13" t="s">
        <v>5860</v>
      </c>
      <c r="B1467" s="13" t="s">
        <v>279</v>
      </c>
      <c r="C1467" s="13" t="s">
        <v>280</v>
      </c>
      <c r="D1467" s="13" t="s">
        <v>5861</v>
      </c>
      <c r="E1467" s="14">
        <v>46088</v>
      </c>
      <c r="F1467" s="14">
        <v>46126</v>
      </c>
      <c r="G1467" s="15">
        <v>277563.73</v>
      </c>
      <c r="H1467" s="13" t="s">
        <v>5862</v>
      </c>
      <c r="I1467" s="13" t="s">
        <v>5863</v>
      </c>
      <c r="J1467" s="13" t="s">
        <v>136</v>
      </c>
      <c r="K1467" s="13">
        <f t="shared" si="110"/>
        <v>2</v>
      </c>
      <c r="L1467" s="13">
        <f t="shared" si="111"/>
        <v>0</v>
      </c>
      <c r="M1467" s="13">
        <f>IF(AND(L1467=0,COUNTIFS($B$2:$B$1534,B1467,$G$2:$G$1534,G1467,$E$2:$E$1534,"&gt;="&amp;(E1467-Assumptions!$B$5),$E$2:$E$1534,"&lt;="&amp;(E1467+Assumptions!$B$5))&gt;1),1,0)</f>
        <v>0</v>
      </c>
      <c r="N1467" s="13">
        <f>IF(AND(G1467&gt;=Assumptions!$B$4*(1-Assumptions!$B$6),G1467&lt;Assumptions!$B$4),1,0)</f>
        <v>0</v>
      </c>
      <c r="O1467" s="13">
        <f>IF(AND(G1467&gt;=Assumptions!$B$7,MOD(G1467,Assumptions!$B$7)=0),1,0)</f>
        <v>0</v>
      </c>
      <c r="P1467" s="13">
        <f t="shared" si="112"/>
        <v>0</v>
      </c>
      <c r="Q1467" s="13">
        <f t="shared" si="113"/>
        <v>0</v>
      </c>
      <c r="R1467" s="13">
        <f>L1467*Assumptions!$B$11+M1467*Assumptions!$B$12+N1467*Assumptions!$B$13+O1467*Assumptions!$B$14+P1467*Assumptions!$B$15+Q1467*Assumptions!$B$16</f>
        <v>0</v>
      </c>
      <c r="S1467" s="13" t="str">
        <f>IF(R1467&gt;=Assumptions!$B$20,"High",IF(R1467&gt;=Assumptions!$B$21,"Medium",IF(R1467&gt;=1,"Low","Clear")))</f>
        <v>Clear</v>
      </c>
      <c r="T1467" s="13" t="str">
        <f t="shared" si="114"/>
        <v/>
      </c>
    </row>
    <row r="1468" spans="1:20" x14ac:dyDescent="0.35">
      <c r="A1468" s="13" t="s">
        <v>5864</v>
      </c>
      <c r="B1468" s="13" t="s">
        <v>476</v>
      </c>
      <c r="C1468" s="13" t="s">
        <v>477</v>
      </c>
      <c r="D1468" s="13" t="s">
        <v>5865</v>
      </c>
      <c r="E1468" s="14">
        <v>46102</v>
      </c>
      <c r="F1468" s="14">
        <v>46126</v>
      </c>
      <c r="G1468" s="15">
        <v>4154.1400000000003</v>
      </c>
      <c r="H1468" s="13" t="s">
        <v>5866</v>
      </c>
      <c r="I1468" s="13" t="s">
        <v>5867</v>
      </c>
      <c r="J1468" s="13" t="s">
        <v>91</v>
      </c>
      <c r="K1468" s="13">
        <f t="shared" si="110"/>
        <v>4</v>
      </c>
      <c r="L1468" s="13">
        <f t="shared" si="111"/>
        <v>0</v>
      </c>
      <c r="M1468" s="13">
        <f>IF(AND(L1468=0,COUNTIFS($B$2:$B$1534,B1468,$G$2:$G$1534,G1468,$E$2:$E$1534,"&gt;="&amp;(E1468-Assumptions!$B$5),$E$2:$E$1534,"&lt;="&amp;(E1468+Assumptions!$B$5))&gt;1),1,0)</f>
        <v>0</v>
      </c>
      <c r="N1468" s="13">
        <f>IF(AND(G1468&gt;=Assumptions!$B$4*(1-Assumptions!$B$6),G1468&lt;Assumptions!$B$4),1,0)</f>
        <v>0</v>
      </c>
      <c r="O1468" s="13">
        <f>IF(AND(G1468&gt;=Assumptions!$B$7,MOD(G1468,Assumptions!$B$7)=0),1,0)</f>
        <v>0</v>
      </c>
      <c r="P1468" s="13">
        <f t="shared" si="112"/>
        <v>0</v>
      </c>
      <c r="Q1468" s="13">
        <f t="shared" si="113"/>
        <v>0</v>
      </c>
      <c r="R1468" s="13">
        <f>L1468*Assumptions!$B$11+M1468*Assumptions!$B$12+N1468*Assumptions!$B$13+O1468*Assumptions!$B$14+P1468*Assumptions!$B$15+Q1468*Assumptions!$B$16</f>
        <v>0</v>
      </c>
      <c r="S1468" s="13" t="str">
        <f>IF(R1468&gt;=Assumptions!$B$20,"High",IF(R1468&gt;=Assumptions!$B$21,"Medium",IF(R1468&gt;=1,"Low","Clear")))</f>
        <v>Clear</v>
      </c>
      <c r="T1468" s="13" t="str">
        <f t="shared" si="114"/>
        <v/>
      </c>
    </row>
    <row r="1469" spans="1:20" x14ac:dyDescent="0.35">
      <c r="A1469" s="13" t="s">
        <v>5868</v>
      </c>
      <c r="B1469" s="13" t="s">
        <v>476</v>
      </c>
      <c r="C1469" s="13" t="s">
        <v>477</v>
      </c>
      <c r="D1469" s="13" t="s">
        <v>5869</v>
      </c>
      <c r="E1469" s="14">
        <v>46095</v>
      </c>
      <c r="F1469" s="14">
        <v>46126</v>
      </c>
      <c r="G1469" s="15">
        <v>3450.58</v>
      </c>
      <c r="H1469" s="13" t="s">
        <v>5870</v>
      </c>
      <c r="I1469" s="13" t="s">
        <v>5871</v>
      </c>
      <c r="J1469" s="13" t="s">
        <v>136</v>
      </c>
      <c r="K1469" s="13">
        <f t="shared" si="110"/>
        <v>3</v>
      </c>
      <c r="L1469" s="13">
        <f t="shared" si="111"/>
        <v>0</v>
      </c>
      <c r="M1469" s="13">
        <f>IF(AND(L1469=0,COUNTIFS($B$2:$B$1534,B1469,$G$2:$G$1534,G1469,$E$2:$E$1534,"&gt;="&amp;(E1469-Assumptions!$B$5),$E$2:$E$1534,"&lt;="&amp;(E1469+Assumptions!$B$5))&gt;1),1,0)</f>
        <v>0</v>
      </c>
      <c r="N1469" s="13">
        <f>IF(AND(G1469&gt;=Assumptions!$B$4*(1-Assumptions!$B$6),G1469&lt;Assumptions!$B$4),1,0)</f>
        <v>0</v>
      </c>
      <c r="O1469" s="13">
        <f>IF(AND(G1469&gt;=Assumptions!$B$7,MOD(G1469,Assumptions!$B$7)=0),1,0)</f>
        <v>0</v>
      </c>
      <c r="P1469" s="13">
        <f t="shared" si="112"/>
        <v>0</v>
      </c>
      <c r="Q1469" s="13">
        <f t="shared" si="113"/>
        <v>0</v>
      </c>
      <c r="R1469" s="13">
        <f>L1469*Assumptions!$B$11+M1469*Assumptions!$B$12+N1469*Assumptions!$B$13+O1469*Assumptions!$B$14+P1469*Assumptions!$B$15+Q1469*Assumptions!$B$16</f>
        <v>0</v>
      </c>
      <c r="S1469" s="13" t="str">
        <f>IF(R1469&gt;=Assumptions!$B$20,"High",IF(R1469&gt;=Assumptions!$B$21,"Medium",IF(R1469&gt;=1,"Low","Clear")))</f>
        <v>Clear</v>
      </c>
      <c r="T1469" s="13" t="str">
        <f t="shared" si="114"/>
        <v/>
      </c>
    </row>
    <row r="1470" spans="1:20" x14ac:dyDescent="0.35">
      <c r="A1470" s="13" t="s">
        <v>5872</v>
      </c>
      <c r="B1470" s="13" t="s">
        <v>339</v>
      </c>
      <c r="C1470" s="13" t="s">
        <v>340</v>
      </c>
      <c r="D1470" s="13" t="s">
        <v>5873</v>
      </c>
      <c r="E1470" s="14">
        <v>46088</v>
      </c>
      <c r="F1470" s="14">
        <v>46126</v>
      </c>
      <c r="G1470" s="15">
        <v>706355.78</v>
      </c>
      <c r="H1470" s="13" t="s">
        <v>5874</v>
      </c>
      <c r="I1470" s="13" t="s">
        <v>5875</v>
      </c>
      <c r="J1470" s="13" t="s">
        <v>98</v>
      </c>
      <c r="K1470" s="13">
        <f t="shared" si="110"/>
        <v>7</v>
      </c>
      <c r="L1470" s="13">
        <f t="shared" si="111"/>
        <v>0</v>
      </c>
      <c r="M1470" s="13">
        <f>IF(AND(L1470=0,COUNTIFS($B$2:$B$1534,B1470,$G$2:$G$1534,G1470,$E$2:$E$1534,"&gt;="&amp;(E1470-Assumptions!$B$5),$E$2:$E$1534,"&lt;="&amp;(E1470+Assumptions!$B$5))&gt;1),1,0)</f>
        <v>0</v>
      </c>
      <c r="N1470" s="13">
        <f>IF(AND(G1470&gt;=Assumptions!$B$4*(1-Assumptions!$B$6),G1470&lt;Assumptions!$B$4),1,0)</f>
        <v>0</v>
      </c>
      <c r="O1470" s="13">
        <f>IF(AND(G1470&gt;=Assumptions!$B$7,MOD(G1470,Assumptions!$B$7)=0),1,0)</f>
        <v>0</v>
      </c>
      <c r="P1470" s="13">
        <f t="shared" si="112"/>
        <v>0</v>
      </c>
      <c r="Q1470" s="13">
        <f t="shared" si="113"/>
        <v>0</v>
      </c>
      <c r="R1470" s="13">
        <f>L1470*Assumptions!$B$11+M1470*Assumptions!$B$12+N1470*Assumptions!$B$13+O1470*Assumptions!$B$14+P1470*Assumptions!$B$15+Q1470*Assumptions!$B$16</f>
        <v>0</v>
      </c>
      <c r="S1470" s="13" t="str">
        <f>IF(R1470&gt;=Assumptions!$B$20,"High",IF(R1470&gt;=Assumptions!$B$21,"Medium",IF(R1470&gt;=1,"Low","Clear")))</f>
        <v>Clear</v>
      </c>
      <c r="T1470" s="13" t="str">
        <f t="shared" si="114"/>
        <v/>
      </c>
    </row>
    <row r="1471" spans="1:20" x14ac:dyDescent="0.35">
      <c r="A1471" s="13" t="s">
        <v>5876</v>
      </c>
      <c r="B1471" s="13" t="s">
        <v>438</v>
      </c>
      <c r="C1471" s="13" t="s">
        <v>439</v>
      </c>
      <c r="D1471" s="13" t="s">
        <v>5877</v>
      </c>
      <c r="E1471" s="14">
        <v>46101</v>
      </c>
      <c r="F1471" s="14">
        <v>46126</v>
      </c>
      <c r="G1471" s="15">
        <v>3755.11</v>
      </c>
      <c r="H1471" s="13" t="s">
        <v>5878</v>
      </c>
      <c r="I1471" s="13" t="s">
        <v>5879</v>
      </c>
      <c r="J1471" s="13" t="s">
        <v>170</v>
      </c>
      <c r="K1471" s="13">
        <f t="shared" si="110"/>
        <v>3</v>
      </c>
      <c r="L1471" s="13">
        <f t="shared" si="111"/>
        <v>0</v>
      </c>
      <c r="M1471" s="13">
        <f>IF(AND(L1471=0,COUNTIFS($B$2:$B$1534,B1471,$G$2:$G$1534,G1471,$E$2:$E$1534,"&gt;="&amp;(E1471-Assumptions!$B$5),$E$2:$E$1534,"&lt;="&amp;(E1471+Assumptions!$B$5))&gt;1),1,0)</f>
        <v>0</v>
      </c>
      <c r="N1471" s="13">
        <f>IF(AND(G1471&gt;=Assumptions!$B$4*(1-Assumptions!$B$6),G1471&lt;Assumptions!$B$4),1,0)</f>
        <v>0</v>
      </c>
      <c r="O1471" s="13">
        <f>IF(AND(G1471&gt;=Assumptions!$B$7,MOD(G1471,Assumptions!$B$7)=0),1,0)</f>
        <v>0</v>
      </c>
      <c r="P1471" s="13">
        <f t="shared" si="112"/>
        <v>0</v>
      </c>
      <c r="Q1471" s="13">
        <f t="shared" si="113"/>
        <v>0</v>
      </c>
      <c r="R1471" s="13">
        <f>L1471*Assumptions!$B$11+M1471*Assumptions!$B$12+N1471*Assumptions!$B$13+O1471*Assumptions!$B$14+P1471*Assumptions!$B$15+Q1471*Assumptions!$B$16</f>
        <v>0</v>
      </c>
      <c r="S1471" s="13" t="str">
        <f>IF(R1471&gt;=Assumptions!$B$20,"High",IF(R1471&gt;=Assumptions!$B$21,"Medium",IF(R1471&gt;=1,"Low","Clear")))</f>
        <v>Clear</v>
      </c>
      <c r="T1471" s="13" t="str">
        <f t="shared" si="114"/>
        <v/>
      </c>
    </row>
    <row r="1472" spans="1:20" x14ac:dyDescent="0.35">
      <c r="A1472" s="13" t="s">
        <v>5880</v>
      </c>
      <c r="B1472" s="13" t="s">
        <v>145</v>
      </c>
      <c r="C1472" s="13" t="s">
        <v>146</v>
      </c>
      <c r="D1472" s="13" t="s">
        <v>5881</v>
      </c>
      <c r="E1472" s="14">
        <v>46099</v>
      </c>
      <c r="F1472" s="14">
        <v>46126</v>
      </c>
      <c r="G1472" s="15">
        <v>277058.83</v>
      </c>
      <c r="H1472" s="13" t="s">
        <v>5882</v>
      </c>
      <c r="I1472" s="13" t="s">
        <v>5883</v>
      </c>
      <c r="J1472" s="13" t="s">
        <v>143</v>
      </c>
      <c r="K1472" s="13">
        <f t="shared" si="110"/>
        <v>2</v>
      </c>
      <c r="L1472" s="13">
        <f t="shared" si="111"/>
        <v>0</v>
      </c>
      <c r="M1472" s="13">
        <f>IF(AND(L1472=0,COUNTIFS($B$2:$B$1534,B1472,$G$2:$G$1534,G1472,$E$2:$E$1534,"&gt;="&amp;(E1472-Assumptions!$B$5),$E$2:$E$1534,"&lt;="&amp;(E1472+Assumptions!$B$5))&gt;1),1,0)</f>
        <v>0</v>
      </c>
      <c r="N1472" s="13">
        <f>IF(AND(G1472&gt;=Assumptions!$B$4*(1-Assumptions!$B$6),G1472&lt;Assumptions!$B$4),1,0)</f>
        <v>0</v>
      </c>
      <c r="O1472" s="13">
        <f>IF(AND(G1472&gt;=Assumptions!$B$7,MOD(G1472,Assumptions!$B$7)=0),1,0)</f>
        <v>0</v>
      </c>
      <c r="P1472" s="13">
        <f t="shared" si="112"/>
        <v>0</v>
      </c>
      <c r="Q1472" s="13">
        <f t="shared" si="113"/>
        <v>0</v>
      </c>
      <c r="R1472" s="13">
        <f>L1472*Assumptions!$B$11+M1472*Assumptions!$B$12+N1472*Assumptions!$B$13+O1472*Assumptions!$B$14+P1472*Assumptions!$B$15+Q1472*Assumptions!$B$16</f>
        <v>0</v>
      </c>
      <c r="S1472" s="13" t="str">
        <f>IF(R1472&gt;=Assumptions!$B$20,"High",IF(R1472&gt;=Assumptions!$B$21,"Medium",IF(R1472&gt;=1,"Low","Clear")))</f>
        <v>Clear</v>
      </c>
      <c r="T1472" s="13" t="str">
        <f t="shared" si="114"/>
        <v/>
      </c>
    </row>
    <row r="1473" spans="1:20" x14ac:dyDescent="0.35">
      <c r="A1473" s="13" t="s">
        <v>5884</v>
      </c>
      <c r="B1473" s="13" t="s">
        <v>498</v>
      </c>
      <c r="C1473" s="13" t="s">
        <v>499</v>
      </c>
      <c r="D1473" s="13" t="s">
        <v>5885</v>
      </c>
      <c r="E1473" s="14">
        <v>46087</v>
      </c>
      <c r="F1473" s="14">
        <v>46127</v>
      </c>
      <c r="G1473" s="15">
        <v>3247.41</v>
      </c>
      <c r="H1473" s="13" t="s">
        <v>5886</v>
      </c>
      <c r="I1473" s="13" t="s">
        <v>5887</v>
      </c>
      <c r="J1473" s="13" t="s">
        <v>91</v>
      </c>
      <c r="K1473" s="13">
        <f t="shared" si="110"/>
        <v>3</v>
      </c>
      <c r="L1473" s="13">
        <f t="shared" si="111"/>
        <v>0</v>
      </c>
      <c r="M1473" s="13">
        <f>IF(AND(L1473=0,COUNTIFS($B$2:$B$1534,B1473,$G$2:$G$1534,G1473,$E$2:$E$1534,"&gt;="&amp;(E1473-Assumptions!$B$5),$E$2:$E$1534,"&lt;="&amp;(E1473+Assumptions!$B$5))&gt;1),1,0)</f>
        <v>0</v>
      </c>
      <c r="N1473" s="13">
        <f>IF(AND(G1473&gt;=Assumptions!$B$4*(1-Assumptions!$B$6),G1473&lt;Assumptions!$B$4),1,0)</f>
        <v>0</v>
      </c>
      <c r="O1473" s="13">
        <f>IF(AND(G1473&gt;=Assumptions!$B$7,MOD(G1473,Assumptions!$B$7)=0),1,0)</f>
        <v>0</v>
      </c>
      <c r="P1473" s="13">
        <f t="shared" si="112"/>
        <v>0</v>
      </c>
      <c r="Q1473" s="13">
        <f t="shared" si="113"/>
        <v>0</v>
      </c>
      <c r="R1473" s="13">
        <f>L1473*Assumptions!$B$11+M1473*Assumptions!$B$12+N1473*Assumptions!$B$13+O1473*Assumptions!$B$14+P1473*Assumptions!$B$15+Q1473*Assumptions!$B$16</f>
        <v>0</v>
      </c>
      <c r="S1473" s="13" t="str">
        <f>IF(R1473&gt;=Assumptions!$B$20,"High",IF(R1473&gt;=Assumptions!$B$21,"Medium",IF(R1473&gt;=1,"Low","Clear")))</f>
        <v>Clear</v>
      </c>
      <c r="T1473" s="13" t="str">
        <f t="shared" si="114"/>
        <v/>
      </c>
    </row>
    <row r="1474" spans="1:20" x14ac:dyDescent="0.35">
      <c r="A1474" s="13" t="s">
        <v>5888</v>
      </c>
      <c r="B1474" s="13" t="s">
        <v>498</v>
      </c>
      <c r="C1474" s="13" t="s">
        <v>499</v>
      </c>
      <c r="D1474" s="13" t="s">
        <v>5889</v>
      </c>
      <c r="E1474" s="14">
        <v>46103</v>
      </c>
      <c r="F1474" s="14">
        <v>46127</v>
      </c>
      <c r="G1474" s="15">
        <v>115915.49</v>
      </c>
      <c r="H1474" s="13" t="s">
        <v>5890</v>
      </c>
      <c r="I1474" s="13" t="s">
        <v>5891</v>
      </c>
      <c r="J1474" s="13" t="s">
        <v>143</v>
      </c>
      <c r="K1474" s="13">
        <f t="shared" ref="K1474:K1534" si="115">VALUE(LEFT(TEXT(G1474,"0"),1))</f>
        <v>1</v>
      </c>
      <c r="L1474" s="13">
        <f t="shared" ref="L1474:L1534" si="116">IF(COUNTIFS($B$2:$B$1534,B1474,$D$2:$D$1534,D1474)&gt;1,1,0)</f>
        <v>0</v>
      </c>
      <c r="M1474" s="13">
        <f>IF(AND(L1474=0,COUNTIFS($B$2:$B$1534,B1474,$G$2:$G$1534,G1474,$E$2:$E$1534,"&gt;="&amp;(E1474-Assumptions!$B$5),$E$2:$E$1534,"&lt;="&amp;(E1474+Assumptions!$B$5))&gt;1),1,0)</f>
        <v>0</v>
      </c>
      <c r="N1474" s="13">
        <f>IF(AND(G1474&gt;=Assumptions!$B$4*(1-Assumptions!$B$6),G1474&lt;Assumptions!$B$4),1,0)</f>
        <v>0</v>
      </c>
      <c r="O1474" s="13">
        <f>IF(AND(G1474&gt;=Assumptions!$B$7,MOD(G1474,Assumptions!$B$7)=0),1,0)</f>
        <v>0</v>
      </c>
      <c r="P1474" s="13">
        <f t="shared" ref="P1474:P1534" si="117">IF(OR(H1474="",I1474=""),1,0)</f>
        <v>0</v>
      </c>
      <c r="Q1474" s="13">
        <f t="shared" ref="Q1474:Q1534" si="118">IF(WEEKDAY(F1474,2)&gt;5,1,0)</f>
        <v>0</v>
      </c>
      <c r="R1474" s="13">
        <f>L1474*Assumptions!$B$11+M1474*Assumptions!$B$12+N1474*Assumptions!$B$13+O1474*Assumptions!$B$14+P1474*Assumptions!$B$15+Q1474*Assumptions!$B$16</f>
        <v>0</v>
      </c>
      <c r="S1474" s="13" t="str">
        <f>IF(R1474&gt;=Assumptions!$B$20,"High",IF(R1474&gt;=Assumptions!$B$21,"Medium",IF(R1474&gt;=1,"Low","Clear")))</f>
        <v>Clear</v>
      </c>
      <c r="T1474" s="13" t="str">
        <f t="shared" ref="T1474:T1534" si="119">IF(R1474=0,"",IF(L1474=1,"Duplicate invoice; ","")&amp;IF(M1474=1,"Near-duplicate; ","")&amp;IF(N1474=1,"Just below limit; ","")&amp;IF(O1474=1,"Round amount; ","")&amp;IF(P1474=1,"No PO/GRN; ","")&amp;IF(Q1474=1,"Weekend payment; ",""))</f>
        <v/>
      </c>
    </row>
    <row r="1475" spans="1:20" x14ac:dyDescent="0.35">
      <c r="A1475" s="13" t="s">
        <v>5892</v>
      </c>
      <c r="B1475" s="13" t="s">
        <v>498</v>
      </c>
      <c r="C1475" s="13" t="s">
        <v>499</v>
      </c>
      <c r="D1475" s="13" t="s">
        <v>5893</v>
      </c>
      <c r="E1475" s="14">
        <v>46098</v>
      </c>
      <c r="F1475" s="14">
        <v>46127</v>
      </c>
      <c r="G1475" s="15">
        <v>334667.75</v>
      </c>
      <c r="H1475" s="13" t="s">
        <v>5894</v>
      </c>
      <c r="I1475" s="13" t="s">
        <v>5895</v>
      </c>
      <c r="J1475" s="13" t="s">
        <v>170</v>
      </c>
      <c r="K1475" s="13">
        <f t="shared" si="115"/>
        <v>3</v>
      </c>
      <c r="L1475" s="13">
        <f t="shared" si="116"/>
        <v>0</v>
      </c>
      <c r="M1475" s="13">
        <f>IF(AND(L1475=0,COUNTIFS($B$2:$B$1534,B1475,$G$2:$G$1534,G1475,$E$2:$E$1534,"&gt;="&amp;(E1475-Assumptions!$B$5),$E$2:$E$1534,"&lt;="&amp;(E1475+Assumptions!$B$5))&gt;1),1,0)</f>
        <v>0</v>
      </c>
      <c r="N1475" s="13">
        <f>IF(AND(G1475&gt;=Assumptions!$B$4*(1-Assumptions!$B$6),G1475&lt;Assumptions!$B$4),1,0)</f>
        <v>0</v>
      </c>
      <c r="O1475" s="13">
        <f>IF(AND(G1475&gt;=Assumptions!$B$7,MOD(G1475,Assumptions!$B$7)=0),1,0)</f>
        <v>0</v>
      </c>
      <c r="P1475" s="13">
        <f t="shared" si="117"/>
        <v>0</v>
      </c>
      <c r="Q1475" s="13">
        <f t="shared" si="118"/>
        <v>0</v>
      </c>
      <c r="R1475" s="13">
        <f>L1475*Assumptions!$B$11+M1475*Assumptions!$B$12+N1475*Assumptions!$B$13+O1475*Assumptions!$B$14+P1475*Assumptions!$B$15+Q1475*Assumptions!$B$16</f>
        <v>0</v>
      </c>
      <c r="S1475" s="13" t="str">
        <f>IF(R1475&gt;=Assumptions!$B$20,"High",IF(R1475&gt;=Assumptions!$B$21,"Medium",IF(R1475&gt;=1,"Low","Clear")))</f>
        <v>Clear</v>
      </c>
      <c r="T1475" s="13" t="str">
        <f t="shared" si="119"/>
        <v/>
      </c>
    </row>
    <row r="1476" spans="1:20" x14ac:dyDescent="0.35">
      <c r="A1476" s="13" t="s">
        <v>5896</v>
      </c>
      <c r="B1476" s="13" t="s">
        <v>119</v>
      </c>
      <c r="C1476" s="13" t="s">
        <v>120</v>
      </c>
      <c r="D1476" s="13" t="s">
        <v>5897</v>
      </c>
      <c r="E1476" s="14">
        <v>46093</v>
      </c>
      <c r="F1476" s="14">
        <v>46127</v>
      </c>
      <c r="G1476" s="15">
        <v>130000</v>
      </c>
      <c r="H1476" s="13" t="s">
        <v>5898</v>
      </c>
      <c r="I1476" s="13" t="s">
        <v>5899</v>
      </c>
      <c r="J1476" s="13" t="s">
        <v>143</v>
      </c>
      <c r="K1476" s="13">
        <f t="shared" si="115"/>
        <v>1</v>
      </c>
      <c r="L1476" s="13">
        <f t="shared" si="116"/>
        <v>0</v>
      </c>
      <c r="M1476" s="13">
        <f>IF(AND(L1476=0,COUNTIFS($B$2:$B$1534,B1476,$G$2:$G$1534,G1476,$E$2:$E$1534,"&gt;="&amp;(E1476-Assumptions!$B$5),$E$2:$E$1534,"&lt;="&amp;(E1476+Assumptions!$B$5))&gt;1),1,0)</f>
        <v>0</v>
      </c>
      <c r="N1476" s="13">
        <f>IF(AND(G1476&gt;=Assumptions!$B$4*(1-Assumptions!$B$6),G1476&lt;Assumptions!$B$4),1,0)</f>
        <v>0</v>
      </c>
      <c r="O1476" s="13">
        <f>IF(AND(G1476&gt;=Assumptions!$B$7,MOD(G1476,Assumptions!$B$7)=0),1,0)</f>
        <v>1</v>
      </c>
      <c r="P1476" s="13">
        <f t="shared" si="117"/>
        <v>0</v>
      </c>
      <c r="Q1476" s="13">
        <f t="shared" si="118"/>
        <v>0</v>
      </c>
      <c r="R1476" s="13">
        <f>L1476*Assumptions!$B$11+M1476*Assumptions!$B$12+N1476*Assumptions!$B$13+O1476*Assumptions!$B$14+P1476*Assumptions!$B$15+Q1476*Assumptions!$B$16</f>
        <v>1</v>
      </c>
      <c r="S1476" s="13" t="str">
        <f>IF(R1476&gt;=Assumptions!$B$20,"High",IF(R1476&gt;=Assumptions!$B$21,"Medium",IF(R1476&gt;=1,"Low","Clear")))</f>
        <v>Low</v>
      </c>
      <c r="T1476" s="13" t="str">
        <f t="shared" si="119"/>
        <v xml:space="preserve">Round amount; </v>
      </c>
    </row>
    <row r="1477" spans="1:20" x14ac:dyDescent="0.35">
      <c r="A1477" s="13" t="s">
        <v>5900</v>
      </c>
      <c r="B1477" s="13" t="s">
        <v>438</v>
      </c>
      <c r="C1477" s="13" t="s">
        <v>439</v>
      </c>
      <c r="D1477" s="13" t="s">
        <v>5901</v>
      </c>
      <c r="E1477" s="14">
        <v>46101</v>
      </c>
      <c r="F1477" s="14">
        <v>46127</v>
      </c>
      <c r="G1477" s="15">
        <v>137672.41</v>
      </c>
      <c r="H1477" s="13" t="s">
        <v>5902</v>
      </c>
      <c r="I1477" s="13" t="s">
        <v>5903</v>
      </c>
      <c r="J1477" s="13" t="s">
        <v>136</v>
      </c>
      <c r="K1477" s="13">
        <f t="shared" si="115"/>
        <v>1</v>
      </c>
      <c r="L1477" s="13">
        <f t="shared" si="116"/>
        <v>0</v>
      </c>
      <c r="M1477" s="13">
        <f>IF(AND(L1477=0,COUNTIFS($B$2:$B$1534,B1477,$G$2:$G$1534,G1477,$E$2:$E$1534,"&gt;="&amp;(E1477-Assumptions!$B$5),$E$2:$E$1534,"&lt;="&amp;(E1477+Assumptions!$B$5))&gt;1),1,0)</f>
        <v>0</v>
      </c>
      <c r="N1477" s="13">
        <f>IF(AND(G1477&gt;=Assumptions!$B$4*(1-Assumptions!$B$6),G1477&lt;Assumptions!$B$4),1,0)</f>
        <v>0</v>
      </c>
      <c r="O1477" s="13">
        <f>IF(AND(G1477&gt;=Assumptions!$B$7,MOD(G1477,Assumptions!$B$7)=0),1,0)</f>
        <v>0</v>
      </c>
      <c r="P1477" s="13">
        <f t="shared" si="117"/>
        <v>0</v>
      </c>
      <c r="Q1477" s="13">
        <f t="shared" si="118"/>
        <v>0</v>
      </c>
      <c r="R1477" s="13">
        <f>L1477*Assumptions!$B$11+M1477*Assumptions!$B$12+N1477*Assumptions!$B$13+O1477*Assumptions!$B$14+P1477*Assumptions!$B$15+Q1477*Assumptions!$B$16</f>
        <v>0</v>
      </c>
      <c r="S1477" s="13" t="str">
        <f>IF(R1477&gt;=Assumptions!$B$20,"High",IF(R1477&gt;=Assumptions!$B$21,"Medium",IF(R1477&gt;=1,"Low","Clear")))</f>
        <v>Clear</v>
      </c>
      <c r="T1477" s="13" t="str">
        <f t="shared" si="119"/>
        <v/>
      </c>
    </row>
    <row r="1478" spans="1:20" x14ac:dyDescent="0.35">
      <c r="A1478" s="13" t="s">
        <v>5904</v>
      </c>
      <c r="B1478" s="13" t="s">
        <v>234</v>
      </c>
      <c r="C1478" s="13" t="s">
        <v>235</v>
      </c>
      <c r="D1478" s="13" t="s">
        <v>5905</v>
      </c>
      <c r="E1478" s="14">
        <v>46096</v>
      </c>
      <c r="F1478" s="14">
        <v>46128</v>
      </c>
      <c r="G1478" s="15">
        <v>994776.7</v>
      </c>
      <c r="H1478" s="13" t="s">
        <v>5906</v>
      </c>
      <c r="I1478" s="13" t="s">
        <v>5907</v>
      </c>
      <c r="J1478" s="13" t="s">
        <v>91</v>
      </c>
      <c r="K1478" s="13">
        <f t="shared" si="115"/>
        <v>9</v>
      </c>
      <c r="L1478" s="13">
        <f t="shared" si="116"/>
        <v>0</v>
      </c>
      <c r="M1478" s="13">
        <f>IF(AND(L1478=0,COUNTIFS($B$2:$B$1534,B1478,$G$2:$G$1534,G1478,$E$2:$E$1534,"&gt;="&amp;(E1478-Assumptions!$B$5),$E$2:$E$1534,"&lt;="&amp;(E1478+Assumptions!$B$5))&gt;1),1,0)</f>
        <v>0</v>
      </c>
      <c r="N1478" s="13">
        <f>IF(AND(G1478&gt;=Assumptions!$B$4*(1-Assumptions!$B$6),G1478&lt;Assumptions!$B$4),1,0)</f>
        <v>0</v>
      </c>
      <c r="O1478" s="13">
        <f>IF(AND(G1478&gt;=Assumptions!$B$7,MOD(G1478,Assumptions!$B$7)=0),1,0)</f>
        <v>0</v>
      </c>
      <c r="P1478" s="13">
        <f t="shared" si="117"/>
        <v>0</v>
      </c>
      <c r="Q1478" s="13">
        <f t="shared" si="118"/>
        <v>0</v>
      </c>
      <c r="R1478" s="13">
        <f>L1478*Assumptions!$B$11+M1478*Assumptions!$B$12+N1478*Assumptions!$B$13+O1478*Assumptions!$B$14+P1478*Assumptions!$B$15+Q1478*Assumptions!$B$16</f>
        <v>0</v>
      </c>
      <c r="S1478" s="13" t="str">
        <f>IF(R1478&gt;=Assumptions!$B$20,"High",IF(R1478&gt;=Assumptions!$B$21,"Medium",IF(R1478&gt;=1,"Low","Clear")))</f>
        <v>Clear</v>
      </c>
      <c r="T1478" s="13" t="str">
        <f t="shared" si="119"/>
        <v/>
      </c>
    </row>
    <row r="1479" spans="1:20" x14ac:dyDescent="0.35">
      <c r="A1479" s="13" t="s">
        <v>5908</v>
      </c>
      <c r="B1479" s="13" t="s">
        <v>212</v>
      </c>
      <c r="C1479" s="13" t="s">
        <v>213</v>
      </c>
      <c r="D1479" s="13" t="s">
        <v>5909</v>
      </c>
      <c r="E1479" s="14">
        <v>46091</v>
      </c>
      <c r="F1479" s="14">
        <v>46128</v>
      </c>
      <c r="G1479" s="15">
        <v>18087.57</v>
      </c>
      <c r="H1479" s="13" t="s">
        <v>5910</v>
      </c>
      <c r="I1479" s="13" t="s">
        <v>5911</v>
      </c>
      <c r="J1479" s="13" t="s">
        <v>98</v>
      </c>
      <c r="K1479" s="13">
        <f t="shared" si="115"/>
        <v>1</v>
      </c>
      <c r="L1479" s="13">
        <f t="shared" si="116"/>
        <v>0</v>
      </c>
      <c r="M1479" s="13">
        <f>IF(AND(L1479=0,COUNTIFS($B$2:$B$1534,B1479,$G$2:$G$1534,G1479,$E$2:$E$1534,"&gt;="&amp;(E1479-Assumptions!$B$5),$E$2:$E$1534,"&lt;="&amp;(E1479+Assumptions!$B$5))&gt;1),1,0)</f>
        <v>0</v>
      </c>
      <c r="N1479" s="13">
        <f>IF(AND(G1479&gt;=Assumptions!$B$4*(1-Assumptions!$B$6),G1479&lt;Assumptions!$B$4),1,0)</f>
        <v>0</v>
      </c>
      <c r="O1479" s="13">
        <f>IF(AND(G1479&gt;=Assumptions!$B$7,MOD(G1479,Assumptions!$B$7)=0),1,0)</f>
        <v>0</v>
      </c>
      <c r="P1479" s="13">
        <f t="shared" si="117"/>
        <v>0</v>
      </c>
      <c r="Q1479" s="13">
        <f t="shared" si="118"/>
        <v>0</v>
      </c>
      <c r="R1479" s="13">
        <f>L1479*Assumptions!$B$11+M1479*Assumptions!$B$12+N1479*Assumptions!$B$13+O1479*Assumptions!$B$14+P1479*Assumptions!$B$15+Q1479*Assumptions!$B$16</f>
        <v>0</v>
      </c>
      <c r="S1479" s="13" t="str">
        <f>IF(R1479&gt;=Assumptions!$B$20,"High",IF(R1479&gt;=Assumptions!$B$21,"Medium",IF(R1479&gt;=1,"Low","Clear")))</f>
        <v>Clear</v>
      </c>
      <c r="T1479" s="13" t="str">
        <f t="shared" si="119"/>
        <v/>
      </c>
    </row>
    <row r="1480" spans="1:20" x14ac:dyDescent="0.35">
      <c r="A1480" s="13" t="s">
        <v>5912</v>
      </c>
      <c r="B1480" s="13" t="s">
        <v>670</v>
      </c>
      <c r="C1480" s="13" t="s">
        <v>671</v>
      </c>
      <c r="D1480" s="13" t="s">
        <v>5913</v>
      </c>
      <c r="E1480" s="14">
        <v>46103</v>
      </c>
      <c r="F1480" s="14">
        <v>46129</v>
      </c>
      <c r="G1480" s="15">
        <v>23243.26</v>
      </c>
      <c r="H1480" s="13" t="s">
        <v>5914</v>
      </c>
      <c r="I1480" s="13" t="s">
        <v>5915</v>
      </c>
      <c r="J1480" s="13" t="s">
        <v>91</v>
      </c>
      <c r="K1480" s="13">
        <f t="shared" si="115"/>
        <v>2</v>
      </c>
      <c r="L1480" s="13">
        <f t="shared" si="116"/>
        <v>0</v>
      </c>
      <c r="M1480" s="13">
        <f>IF(AND(L1480=0,COUNTIFS($B$2:$B$1534,B1480,$G$2:$G$1534,G1480,$E$2:$E$1534,"&gt;="&amp;(E1480-Assumptions!$B$5),$E$2:$E$1534,"&lt;="&amp;(E1480+Assumptions!$B$5))&gt;1),1,0)</f>
        <v>0</v>
      </c>
      <c r="N1480" s="13">
        <f>IF(AND(G1480&gt;=Assumptions!$B$4*(1-Assumptions!$B$6),G1480&lt;Assumptions!$B$4),1,0)</f>
        <v>0</v>
      </c>
      <c r="O1480" s="13">
        <f>IF(AND(G1480&gt;=Assumptions!$B$7,MOD(G1480,Assumptions!$B$7)=0),1,0)</f>
        <v>0</v>
      </c>
      <c r="P1480" s="13">
        <f t="shared" si="117"/>
        <v>0</v>
      </c>
      <c r="Q1480" s="13">
        <f t="shared" si="118"/>
        <v>0</v>
      </c>
      <c r="R1480" s="13">
        <f>L1480*Assumptions!$B$11+M1480*Assumptions!$B$12+N1480*Assumptions!$B$13+O1480*Assumptions!$B$14+P1480*Assumptions!$B$15+Q1480*Assumptions!$B$16</f>
        <v>0</v>
      </c>
      <c r="S1480" s="13" t="str">
        <f>IF(R1480&gt;=Assumptions!$B$20,"High",IF(R1480&gt;=Assumptions!$B$21,"Medium",IF(R1480&gt;=1,"Low","Clear")))</f>
        <v>Clear</v>
      </c>
      <c r="T1480" s="13" t="str">
        <f t="shared" si="119"/>
        <v/>
      </c>
    </row>
    <row r="1481" spans="1:20" x14ac:dyDescent="0.35">
      <c r="A1481" s="13" t="s">
        <v>5916</v>
      </c>
      <c r="B1481" s="13" t="s">
        <v>212</v>
      </c>
      <c r="C1481" s="13" t="s">
        <v>213</v>
      </c>
      <c r="D1481" s="13" t="s">
        <v>5917</v>
      </c>
      <c r="E1481" s="14">
        <v>46102</v>
      </c>
      <c r="F1481" s="14">
        <v>46129</v>
      </c>
      <c r="G1481" s="15">
        <v>1535.94</v>
      </c>
      <c r="H1481" s="13" t="s">
        <v>5918</v>
      </c>
      <c r="I1481" s="13" t="s">
        <v>5919</v>
      </c>
      <c r="J1481" s="13" t="s">
        <v>170</v>
      </c>
      <c r="K1481" s="13">
        <f t="shared" si="115"/>
        <v>1</v>
      </c>
      <c r="L1481" s="13">
        <f t="shared" si="116"/>
        <v>0</v>
      </c>
      <c r="M1481" s="13">
        <f>IF(AND(L1481=0,COUNTIFS($B$2:$B$1534,B1481,$G$2:$G$1534,G1481,$E$2:$E$1534,"&gt;="&amp;(E1481-Assumptions!$B$5),$E$2:$E$1534,"&lt;="&amp;(E1481+Assumptions!$B$5))&gt;1),1,0)</f>
        <v>0</v>
      </c>
      <c r="N1481" s="13">
        <f>IF(AND(G1481&gt;=Assumptions!$B$4*(1-Assumptions!$B$6),G1481&lt;Assumptions!$B$4),1,0)</f>
        <v>0</v>
      </c>
      <c r="O1481" s="13">
        <f>IF(AND(G1481&gt;=Assumptions!$B$7,MOD(G1481,Assumptions!$B$7)=0),1,0)</f>
        <v>0</v>
      </c>
      <c r="P1481" s="13">
        <f t="shared" si="117"/>
        <v>0</v>
      </c>
      <c r="Q1481" s="13">
        <f t="shared" si="118"/>
        <v>0</v>
      </c>
      <c r="R1481" s="13">
        <f>L1481*Assumptions!$B$11+M1481*Assumptions!$B$12+N1481*Assumptions!$B$13+O1481*Assumptions!$B$14+P1481*Assumptions!$B$15+Q1481*Assumptions!$B$16</f>
        <v>0</v>
      </c>
      <c r="S1481" s="13" t="str">
        <f>IF(R1481&gt;=Assumptions!$B$20,"High",IF(R1481&gt;=Assumptions!$B$21,"Medium",IF(R1481&gt;=1,"Low","Clear")))</f>
        <v>Clear</v>
      </c>
      <c r="T1481" s="13" t="str">
        <f t="shared" si="119"/>
        <v/>
      </c>
    </row>
    <row r="1482" spans="1:20" x14ac:dyDescent="0.35">
      <c r="A1482" s="13" t="s">
        <v>5920</v>
      </c>
      <c r="B1482" s="13" t="s">
        <v>125</v>
      </c>
      <c r="C1482" s="13" t="s">
        <v>126</v>
      </c>
      <c r="D1482" s="13" t="s">
        <v>5921</v>
      </c>
      <c r="E1482" s="14">
        <v>46103</v>
      </c>
      <c r="F1482" s="14">
        <v>46130</v>
      </c>
      <c r="G1482" s="15">
        <v>27354.53</v>
      </c>
      <c r="H1482" s="13" t="s">
        <v>1402</v>
      </c>
      <c r="I1482" s="13" t="s">
        <v>1403</v>
      </c>
      <c r="J1482" s="13" t="s">
        <v>170</v>
      </c>
      <c r="K1482" s="13">
        <f t="shared" si="115"/>
        <v>2</v>
      </c>
      <c r="L1482" s="13">
        <f t="shared" si="116"/>
        <v>0</v>
      </c>
      <c r="M1482" s="13">
        <f>IF(AND(L1482=0,COUNTIFS($B$2:$B$1534,B1482,$G$2:$G$1534,G1482,$E$2:$E$1534,"&gt;="&amp;(E1482-Assumptions!$B$5),$E$2:$E$1534,"&lt;="&amp;(E1482+Assumptions!$B$5))&gt;1),1,0)</f>
        <v>0</v>
      </c>
      <c r="N1482" s="13">
        <f>IF(AND(G1482&gt;=Assumptions!$B$4*(1-Assumptions!$B$6),G1482&lt;Assumptions!$B$4),1,0)</f>
        <v>0</v>
      </c>
      <c r="O1482" s="13">
        <f>IF(AND(G1482&gt;=Assumptions!$B$7,MOD(G1482,Assumptions!$B$7)=0),1,0)</f>
        <v>0</v>
      </c>
      <c r="P1482" s="13">
        <f t="shared" si="117"/>
        <v>0</v>
      </c>
      <c r="Q1482" s="13">
        <f t="shared" si="118"/>
        <v>1</v>
      </c>
      <c r="R1482" s="13">
        <f>L1482*Assumptions!$B$11+M1482*Assumptions!$B$12+N1482*Assumptions!$B$13+O1482*Assumptions!$B$14+P1482*Assumptions!$B$15+Q1482*Assumptions!$B$16</f>
        <v>1</v>
      </c>
      <c r="S1482" s="13" t="str">
        <f>IF(R1482&gt;=Assumptions!$B$20,"High",IF(R1482&gt;=Assumptions!$B$21,"Medium",IF(R1482&gt;=1,"Low","Clear")))</f>
        <v>Low</v>
      </c>
      <c r="T1482" s="13" t="str">
        <f t="shared" si="119"/>
        <v xml:space="preserve">Weekend payment; </v>
      </c>
    </row>
    <row r="1483" spans="1:20" x14ac:dyDescent="0.35">
      <c r="A1483" s="13" t="s">
        <v>5922</v>
      </c>
      <c r="B1483" s="13" t="s">
        <v>176</v>
      </c>
      <c r="C1483" s="13" t="s">
        <v>177</v>
      </c>
      <c r="D1483" s="13" t="s">
        <v>5923</v>
      </c>
      <c r="E1483" s="14">
        <v>46107</v>
      </c>
      <c r="F1483" s="14">
        <v>46132</v>
      </c>
      <c r="G1483" s="15">
        <v>1770.35</v>
      </c>
      <c r="H1483" s="13"/>
      <c r="I1483" s="13"/>
      <c r="J1483" s="13" t="s">
        <v>170</v>
      </c>
      <c r="K1483" s="13">
        <f t="shared" si="115"/>
        <v>1</v>
      </c>
      <c r="L1483" s="13">
        <f t="shared" si="116"/>
        <v>0</v>
      </c>
      <c r="M1483" s="13">
        <f>IF(AND(L1483=0,COUNTIFS($B$2:$B$1534,B1483,$G$2:$G$1534,G1483,$E$2:$E$1534,"&gt;="&amp;(E1483-Assumptions!$B$5),$E$2:$E$1534,"&lt;="&amp;(E1483+Assumptions!$B$5))&gt;1),1,0)</f>
        <v>0</v>
      </c>
      <c r="N1483" s="13">
        <f>IF(AND(G1483&gt;=Assumptions!$B$4*(1-Assumptions!$B$6),G1483&lt;Assumptions!$B$4),1,0)</f>
        <v>0</v>
      </c>
      <c r="O1483" s="13">
        <f>IF(AND(G1483&gt;=Assumptions!$B$7,MOD(G1483,Assumptions!$B$7)=0),1,0)</f>
        <v>0</v>
      </c>
      <c r="P1483" s="13">
        <f t="shared" si="117"/>
        <v>1</v>
      </c>
      <c r="Q1483" s="13">
        <f t="shared" si="118"/>
        <v>0</v>
      </c>
      <c r="R1483" s="13">
        <f>L1483*Assumptions!$B$11+M1483*Assumptions!$B$12+N1483*Assumptions!$B$13+O1483*Assumptions!$B$14+P1483*Assumptions!$B$15+Q1483*Assumptions!$B$16</f>
        <v>4</v>
      </c>
      <c r="S1483" s="13" t="str">
        <f>IF(R1483&gt;=Assumptions!$B$20,"High",IF(R1483&gt;=Assumptions!$B$21,"Medium",IF(R1483&gt;=1,"Low","Clear")))</f>
        <v>Medium</v>
      </c>
      <c r="T1483" s="13" t="str">
        <f t="shared" si="119"/>
        <v xml:space="preserve">No PO/GRN; </v>
      </c>
    </row>
    <row r="1484" spans="1:20" x14ac:dyDescent="0.35">
      <c r="A1484" s="13" t="s">
        <v>5924</v>
      </c>
      <c r="B1484" s="13" t="s">
        <v>182</v>
      </c>
      <c r="C1484" s="13" t="s">
        <v>183</v>
      </c>
      <c r="D1484" s="13" t="s">
        <v>5925</v>
      </c>
      <c r="E1484" s="14">
        <v>46104</v>
      </c>
      <c r="F1484" s="14">
        <v>46132</v>
      </c>
      <c r="G1484" s="15">
        <v>377603.57</v>
      </c>
      <c r="H1484" s="13" t="s">
        <v>5926</v>
      </c>
      <c r="I1484" s="13" t="s">
        <v>5927</v>
      </c>
      <c r="J1484" s="13" t="s">
        <v>136</v>
      </c>
      <c r="K1484" s="13">
        <f t="shared" si="115"/>
        <v>3</v>
      </c>
      <c r="L1484" s="13">
        <f t="shared" si="116"/>
        <v>0</v>
      </c>
      <c r="M1484" s="13">
        <f>IF(AND(L1484=0,COUNTIFS($B$2:$B$1534,B1484,$G$2:$G$1534,G1484,$E$2:$E$1534,"&gt;="&amp;(E1484-Assumptions!$B$5),$E$2:$E$1534,"&lt;="&amp;(E1484+Assumptions!$B$5))&gt;1),1,0)</f>
        <v>0</v>
      </c>
      <c r="N1484" s="13">
        <f>IF(AND(G1484&gt;=Assumptions!$B$4*(1-Assumptions!$B$6),G1484&lt;Assumptions!$B$4),1,0)</f>
        <v>0</v>
      </c>
      <c r="O1484" s="13">
        <f>IF(AND(G1484&gt;=Assumptions!$B$7,MOD(G1484,Assumptions!$B$7)=0),1,0)</f>
        <v>0</v>
      </c>
      <c r="P1484" s="13">
        <f t="shared" si="117"/>
        <v>0</v>
      </c>
      <c r="Q1484" s="13">
        <f t="shared" si="118"/>
        <v>0</v>
      </c>
      <c r="R1484" s="13">
        <f>L1484*Assumptions!$B$11+M1484*Assumptions!$B$12+N1484*Assumptions!$B$13+O1484*Assumptions!$B$14+P1484*Assumptions!$B$15+Q1484*Assumptions!$B$16</f>
        <v>0</v>
      </c>
      <c r="S1484" s="13" t="str">
        <f>IF(R1484&gt;=Assumptions!$B$20,"High",IF(R1484&gt;=Assumptions!$B$21,"Medium",IF(R1484&gt;=1,"Low","Clear")))</f>
        <v>Clear</v>
      </c>
      <c r="T1484" s="13" t="str">
        <f t="shared" si="119"/>
        <v/>
      </c>
    </row>
    <row r="1485" spans="1:20" x14ac:dyDescent="0.35">
      <c r="A1485" s="13" t="s">
        <v>5928</v>
      </c>
      <c r="B1485" s="13" t="s">
        <v>188</v>
      </c>
      <c r="C1485" s="13" t="s">
        <v>189</v>
      </c>
      <c r="D1485" s="13" t="s">
        <v>5929</v>
      </c>
      <c r="E1485" s="14">
        <v>46092</v>
      </c>
      <c r="F1485" s="14">
        <v>46132</v>
      </c>
      <c r="G1485" s="15">
        <v>896387.17</v>
      </c>
      <c r="H1485" s="13" t="s">
        <v>5930</v>
      </c>
      <c r="I1485" s="13" t="s">
        <v>5931</v>
      </c>
      <c r="J1485" s="13" t="s">
        <v>98</v>
      </c>
      <c r="K1485" s="13">
        <f t="shared" si="115"/>
        <v>8</v>
      </c>
      <c r="L1485" s="13">
        <f t="shared" si="116"/>
        <v>0</v>
      </c>
      <c r="M1485" s="13">
        <f>IF(AND(L1485=0,COUNTIFS($B$2:$B$1534,B1485,$G$2:$G$1534,G1485,$E$2:$E$1534,"&gt;="&amp;(E1485-Assumptions!$B$5),$E$2:$E$1534,"&lt;="&amp;(E1485+Assumptions!$B$5))&gt;1),1,0)</f>
        <v>0</v>
      </c>
      <c r="N1485" s="13">
        <f>IF(AND(G1485&gt;=Assumptions!$B$4*(1-Assumptions!$B$6),G1485&lt;Assumptions!$B$4),1,0)</f>
        <v>0</v>
      </c>
      <c r="O1485" s="13">
        <f>IF(AND(G1485&gt;=Assumptions!$B$7,MOD(G1485,Assumptions!$B$7)=0),1,0)</f>
        <v>0</v>
      </c>
      <c r="P1485" s="13">
        <f t="shared" si="117"/>
        <v>0</v>
      </c>
      <c r="Q1485" s="13">
        <f t="shared" si="118"/>
        <v>0</v>
      </c>
      <c r="R1485" s="13">
        <f>L1485*Assumptions!$B$11+M1485*Assumptions!$B$12+N1485*Assumptions!$B$13+O1485*Assumptions!$B$14+P1485*Assumptions!$B$15+Q1485*Assumptions!$B$16</f>
        <v>0</v>
      </c>
      <c r="S1485" s="13" t="str">
        <f>IF(R1485&gt;=Assumptions!$B$20,"High",IF(R1485&gt;=Assumptions!$B$21,"Medium",IF(R1485&gt;=1,"Low","Clear")))</f>
        <v>Clear</v>
      </c>
      <c r="T1485" s="13" t="str">
        <f t="shared" si="119"/>
        <v/>
      </c>
    </row>
    <row r="1486" spans="1:20" x14ac:dyDescent="0.35">
      <c r="A1486" s="13" t="s">
        <v>5932</v>
      </c>
      <c r="B1486" s="13" t="s">
        <v>409</v>
      </c>
      <c r="C1486" s="13" t="s">
        <v>410</v>
      </c>
      <c r="D1486" s="13" t="s">
        <v>5933</v>
      </c>
      <c r="E1486" s="14">
        <v>46108</v>
      </c>
      <c r="F1486" s="14">
        <v>46132</v>
      </c>
      <c r="G1486" s="15">
        <v>1007.53</v>
      </c>
      <c r="H1486" s="13" t="s">
        <v>5934</v>
      </c>
      <c r="I1486" s="13" t="s">
        <v>5935</v>
      </c>
      <c r="J1486" s="13" t="s">
        <v>143</v>
      </c>
      <c r="K1486" s="13">
        <f t="shared" si="115"/>
        <v>1</v>
      </c>
      <c r="L1486" s="13">
        <f t="shared" si="116"/>
        <v>0</v>
      </c>
      <c r="M1486" s="13">
        <f>IF(AND(L1486=0,COUNTIFS($B$2:$B$1534,B1486,$G$2:$G$1534,G1486,$E$2:$E$1534,"&gt;="&amp;(E1486-Assumptions!$B$5),$E$2:$E$1534,"&lt;="&amp;(E1486+Assumptions!$B$5))&gt;1),1,0)</f>
        <v>0</v>
      </c>
      <c r="N1486" s="13">
        <f>IF(AND(G1486&gt;=Assumptions!$B$4*(1-Assumptions!$B$6),G1486&lt;Assumptions!$B$4),1,0)</f>
        <v>0</v>
      </c>
      <c r="O1486" s="13">
        <f>IF(AND(G1486&gt;=Assumptions!$B$7,MOD(G1486,Assumptions!$B$7)=0),1,0)</f>
        <v>0</v>
      </c>
      <c r="P1486" s="13">
        <f t="shared" si="117"/>
        <v>0</v>
      </c>
      <c r="Q1486" s="13">
        <f t="shared" si="118"/>
        <v>0</v>
      </c>
      <c r="R1486" s="13">
        <f>L1486*Assumptions!$B$11+M1486*Assumptions!$B$12+N1486*Assumptions!$B$13+O1486*Assumptions!$B$14+P1486*Assumptions!$B$15+Q1486*Assumptions!$B$16</f>
        <v>0</v>
      </c>
      <c r="S1486" s="13" t="str">
        <f>IF(R1486&gt;=Assumptions!$B$20,"High",IF(R1486&gt;=Assumptions!$B$21,"Medium",IF(R1486&gt;=1,"Low","Clear")))</f>
        <v>Clear</v>
      </c>
      <c r="T1486" s="13" t="str">
        <f t="shared" si="119"/>
        <v/>
      </c>
    </row>
    <row r="1487" spans="1:20" x14ac:dyDescent="0.35">
      <c r="A1487" s="13" t="s">
        <v>5936</v>
      </c>
      <c r="B1487" s="13" t="s">
        <v>498</v>
      </c>
      <c r="C1487" s="13" t="s">
        <v>499</v>
      </c>
      <c r="D1487" s="13" t="s">
        <v>5937</v>
      </c>
      <c r="E1487" s="14">
        <v>46095</v>
      </c>
      <c r="F1487" s="14">
        <v>46132</v>
      </c>
      <c r="G1487" s="15">
        <v>2241.96</v>
      </c>
      <c r="H1487" s="13" t="s">
        <v>5938</v>
      </c>
      <c r="I1487" s="13" t="s">
        <v>5939</v>
      </c>
      <c r="J1487" s="13" t="s">
        <v>91</v>
      </c>
      <c r="K1487" s="13">
        <f t="shared" si="115"/>
        <v>2</v>
      </c>
      <c r="L1487" s="13">
        <f t="shared" si="116"/>
        <v>0</v>
      </c>
      <c r="M1487" s="13">
        <f>IF(AND(L1487=0,COUNTIFS($B$2:$B$1534,B1487,$G$2:$G$1534,G1487,$E$2:$E$1534,"&gt;="&amp;(E1487-Assumptions!$B$5),$E$2:$E$1534,"&lt;="&amp;(E1487+Assumptions!$B$5))&gt;1),1,0)</f>
        <v>0</v>
      </c>
      <c r="N1487" s="13">
        <f>IF(AND(G1487&gt;=Assumptions!$B$4*(1-Assumptions!$B$6),G1487&lt;Assumptions!$B$4),1,0)</f>
        <v>0</v>
      </c>
      <c r="O1487" s="13">
        <f>IF(AND(G1487&gt;=Assumptions!$B$7,MOD(G1487,Assumptions!$B$7)=0),1,0)</f>
        <v>0</v>
      </c>
      <c r="P1487" s="13">
        <f t="shared" si="117"/>
        <v>0</v>
      </c>
      <c r="Q1487" s="13">
        <f t="shared" si="118"/>
        <v>0</v>
      </c>
      <c r="R1487" s="13">
        <f>L1487*Assumptions!$B$11+M1487*Assumptions!$B$12+N1487*Assumptions!$B$13+O1487*Assumptions!$B$14+P1487*Assumptions!$B$15+Q1487*Assumptions!$B$16</f>
        <v>0</v>
      </c>
      <c r="S1487" s="13" t="str">
        <f>IF(R1487&gt;=Assumptions!$B$20,"High",IF(R1487&gt;=Assumptions!$B$21,"Medium",IF(R1487&gt;=1,"Low","Clear")))</f>
        <v>Clear</v>
      </c>
      <c r="T1487" s="13" t="str">
        <f t="shared" si="119"/>
        <v/>
      </c>
    </row>
    <row r="1488" spans="1:20" x14ac:dyDescent="0.35">
      <c r="A1488" s="13" t="s">
        <v>5940</v>
      </c>
      <c r="B1488" s="13" t="s">
        <v>86</v>
      </c>
      <c r="C1488" s="13" t="s">
        <v>87</v>
      </c>
      <c r="D1488" s="13" t="s">
        <v>5941</v>
      </c>
      <c r="E1488" s="14">
        <v>46107</v>
      </c>
      <c r="F1488" s="14">
        <v>46132</v>
      </c>
      <c r="G1488" s="15">
        <v>14048.35</v>
      </c>
      <c r="H1488" s="13" t="s">
        <v>5942</v>
      </c>
      <c r="I1488" s="13" t="s">
        <v>5943</v>
      </c>
      <c r="J1488" s="13" t="s">
        <v>143</v>
      </c>
      <c r="K1488" s="13">
        <f t="shared" si="115"/>
        <v>1</v>
      </c>
      <c r="L1488" s="13">
        <f t="shared" si="116"/>
        <v>0</v>
      </c>
      <c r="M1488" s="13">
        <f>IF(AND(L1488=0,COUNTIFS($B$2:$B$1534,B1488,$G$2:$G$1534,G1488,$E$2:$E$1534,"&gt;="&amp;(E1488-Assumptions!$B$5),$E$2:$E$1534,"&lt;="&amp;(E1488+Assumptions!$B$5))&gt;1),1,0)</f>
        <v>0</v>
      </c>
      <c r="N1488" s="13">
        <f>IF(AND(G1488&gt;=Assumptions!$B$4*(1-Assumptions!$B$6),G1488&lt;Assumptions!$B$4),1,0)</f>
        <v>0</v>
      </c>
      <c r="O1488" s="13">
        <f>IF(AND(G1488&gt;=Assumptions!$B$7,MOD(G1488,Assumptions!$B$7)=0),1,0)</f>
        <v>0</v>
      </c>
      <c r="P1488" s="13">
        <f t="shared" si="117"/>
        <v>0</v>
      </c>
      <c r="Q1488" s="13">
        <f t="shared" si="118"/>
        <v>0</v>
      </c>
      <c r="R1488" s="13">
        <f>L1488*Assumptions!$B$11+M1488*Assumptions!$B$12+N1488*Assumptions!$B$13+O1488*Assumptions!$B$14+P1488*Assumptions!$B$15+Q1488*Assumptions!$B$16</f>
        <v>0</v>
      </c>
      <c r="S1488" s="13" t="str">
        <f>IF(R1488&gt;=Assumptions!$B$20,"High",IF(R1488&gt;=Assumptions!$B$21,"Medium",IF(R1488&gt;=1,"Low","Clear")))</f>
        <v>Clear</v>
      </c>
      <c r="T1488" s="13" t="str">
        <f t="shared" si="119"/>
        <v/>
      </c>
    </row>
    <row r="1489" spans="1:20" x14ac:dyDescent="0.35">
      <c r="A1489" s="13" t="s">
        <v>5944</v>
      </c>
      <c r="B1489" s="13" t="s">
        <v>680</v>
      </c>
      <c r="C1489" s="13" t="s">
        <v>681</v>
      </c>
      <c r="D1489" s="13" t="s">
        <v>5945</v>
      </c>
      <c r="E1489" s="14">
        <v>46098</v>
      </c>
      <c r="F1489" s="14">
        <v>46132</v>
      </c>
      <c r="G1489" s="15">
        <v>321362.53000000003</v>
      </c>
      <c r="H1489" s="13" t="s">
        <v>5946</v>
      </c>
      <c r="I1489" s="13" t="s">
        <v>5947</v>
      </c>
      <c r="J1489" s="13" t="s">
        <v>136</v>
      </c>
      <c r="K1489" s="13">
        <f t="shared" si="115"/>
        <v>3</v>
      </c>
      <c r="L1489" s="13">
        <f t="shared" si="116"/>
        <v>0</v>
      </c>
      <c r="M1489" s="13">
        <f>IF(AND(L1489=0,COUNTIFS($B$2:$B$1534,B1489,$G$2:$G$1534,G1489,$E$2:$E$1534,"&gt;="&amp;(E1489-Assumptions!$B$5),$E$2:$E$1534,"&lt;="&amp;(E1489+Assumptions!$B$5))&gt;1),1,0)</f>
        <v>0</v>
      </c>
      <c r="N1489" s="13">
        <f>IF(AND(G1489&gt;=Assumptions!$B$4*(1-Assumptions!$B$6),G1489&lt;Assumptions!$B$4),1,0)</f>
        <v>0</v>
      </c>
      <c r="O1489" s="13">
        <f>IF(AND(G1489&gt;=Assumptions!$B$7,MOD(G1489,Assumptions!$B$7)=0),1,0)</f>
        <v>0</v>
      </c>
      <c r="P1489" s="13">
        <f t="shared" si="117"/>
        <v>0</v>
      </c>
      <c r="Q1489" s="13">
        <f t="shared" si="118"/>
        <v>0</v>
      </c>
      <c r="R1489" s="13">
        <f>L1489*Assumptions!$B$11+M1489*Assumptions!$B$12+N1489*Assumptions!$B$13+O1489*Assumptions!$B$14+P1489*Assumptions!$B$15+Q1489*Assumptions!$B$16</f>
        <v>0</v>
      </c>
      <c r="S1489" s="13" t="str">
        <f>IF(R1489&gt;=Assumptions!$B$20,"High",IF(R1489&gt;=Assumptions!$B$21,"Medium",IF(R1489&gt;=1,"Low","Clear")))</f>
        <v>Clear</v>
      </c>
      <c r="T1489" s="13" t="str">
        <f t="shared" si="119"/>
        <v/>
      </c>
    </row>
    <row r="1490" spans="1:20" x14ac:dyDescent="0.35">
      <c r="A1490" s="13" t="s">
        <v>5948</v>
      </c>
      <c r="B1490" s="13" t="s">
        <v>774</v>
      </c>
      <c r="C1490" s="13" t="s">
        <v>775</v>
      </c>
      <c r="D1490" s="13" t="s">
        <v>5949</v>
      </c>
      <c r="E1490" s="14">
        <v>46098</v>
      </c>
      <c r="F1490" s="14">
        <v>46132</v>
      </c>
      <c r="G1490" s="15">
        <v>7803.72</v>
      </c>
      <c r="H1490" s="13" t="s">
        <v>5950</v>
      </c>
      <c r="I1490" s="13" t="s">
        <v>5951</v>
      </c>
      <c r="J1490" s="13" t="s">
        <v>143</v>
      </c>
      <c r="K1490" s="13">
        <f t="shared" si="115"/>
        <v>7</v>
      </c>
      <c r="L1490" s="13">
        <f t="shared" si="116"/>
        <v>0</v>
      </c>
      <c r="M1490" s="13">
        <f>IF(AND(L1490=0,COUNTIFS($B$2:$B$1534,B1490,$G$2:$G$1534,G1490,$E$2:$E$1534,"&gt;="&amp;(E1490-Assumptions!$B$5),$E$2:$E$1534,"&lt;="&amp;(E1490+Assumptions!$B$5))&gt;1),1,0)</f>
        <v>0</v>
      </c>
      <c r="N1490" s="13">
        <f>IF(AND(G1490&gt;=Assumptions!$B$4*(1-Assumptions!$B$6),G1490&lt;Assumptions!$B$4),1,0)</f>
        <v>0</v>
      </c>
      <c r="O1490" s="13">
        <f>IF(AND(G1490&gt;=Assumptions!$B$7,MOD(G1490,Assumptions!$B$7)=0),1,0)</f>
        <v>0</v>
      </c>
      <c r="P1490" s="13">
        <f t="shared" si="117"/>
        <v>0</v>
      </c>
      <c r="Q1490" s="13">
        <f t="shared" si="118"/>
        <v>0</v>
      </c>
      <c r="R1490" s="13">
        <f>L1490*Assumptions!$B$11+M1490*Assumptions!$B$12+N1490*Assumptions!$B$13+O1490*Assumptions!$B$14+P1490*Assumptions!$B$15+Q1490*Assumptions!$B$16</f>
        <v>0</v>
      </c>
      <c r="S1490" s="13" t="str">
        <f>IF(R1490&gt;=Assumptions!$B$20,"High",IF(R1490&gt;=Assumptions!$B$21,"Medium",IF(R1490&gt;=1,"Low","Clear")))</f>
        <v>Clear</v>
      </c>
      <c r="T1490" s="13" t="str">
        <f t="shared" si="119"/>
        <v/>
      </c>
    </row>
    <row r="1491" spans="1:20" x14ac:dyDescent="0.35">
      <c r="A1491" s="13" t="s">
        <v>5952</v>
      </c>
      <c r="B1491" s="13" t="s">
        <v>774</v>
      </c>
      <c r="C1491" s="13" t="s">
        <v>775</v>
      </c>
      <c r="D1491" s="13" t="s">
        <v>5953</v>
      </c>
      <c r="E1491" s="14">
        <v>46104</v>
      </c>
      <c r="F1491" s="14">
        <v>46132</v>
      </c>
      <c r="G1491" s="15">
        <v>7941.89</v>
      </c>
      <c r="H1491" s="13" t="s">
        <v>5954</v>
      </c>
      <c r="I1491" s="13" t="s">
        <v>5955</v>
      </c>
      <c r="J1491" s="13" t="s">
        <v>136</v>
      </c>
      <c r="K1491" s="13">
        <f t="shared" si="115"/>
        <v>7</v>
      </c>
      <c r="L1491" s="13">
        <f t="shared" si="116"/>
        <v>0</v>
      </c>
      <c r="M1491" s="13">
        <f>IF(AND(L1491=0,COUNTIFS($B$2:$B$1534,B1491,$G$2:$G$1534,G1491,$E$2:$E$1534,"&gt;="&amp;(E1491-Assumptions!$B$5),$E$2:$E$1534,"&lt;="&amp;(E1491+Assumptions!$B$5))&gt;1),1,0)</f>
        <v>0</v>
      </c>
      <c r="N1491" s="13">
        <f>IF(AND(G1491&gt;=Assumptions!$B$4*(1-Assumptions!$B$6),G1491&lt;Assumptions!$B$4),1,0)</f>
        <v>0</v>
      </c>
      <c r="O1491" s="13">
        <f>IF(AND(G1491&gt;=Assumptions!$B$7,MOD(G1491,Assumptions!$B$7)=0),1,0)</f>
        <v>0</v>
      </c>
      <c r="P1491" s="13">
        <f t="shared" si="117"/>
        <v>0</v>
      </c>
      <c r="Q1491" s="13">
        <f t="shared" si="118"/>
        <v>0</v>
      </c>
      <c r="R1491" s="13">
        <f>L1491*Assumptions!$B$11+M1491*Assumptions!$B$12+N1491*Assumptions!$B$13+O1491*Assumptions!$B$14+P1491*Assumptions!$B$15+Q1491*Assumptions!$B$16</f>
        <v>0</v>
      </c>
      <c r="S1491" s="13" t="str">
        <f>IF(R1491&gt;=Assumptions!$B$20,"High",IF(R1491&gt;=Assumptions!$B$21,"Medium",IF(R1491&gt;=1,"Low","Clear")))</f>
        <v>Clear</v>
      </c>
      <c r="T1491" s="13" t="str">
        <f t="shared" si="119"/>
        <v/>
      </c>
    </row>
    <row r="1492" spans="1:20" x14ac:dyDescent="0.35">
      <c r="A1492" s="13" t="s">
        <v>5956</v>
      </c>
      <c r="B1492" s="13" t="s">
        <v>234</v>
      </c>
      <c r="C1492" s="13" t="s">
        <v>235</v>
      </c>
      <c r="D1492" s="13" t="s">
        <v>5957</v>
      </c>
      <c r="E1492" s="14">
        <v>46102</v>
      </c>
      <c r="F1492" s="14">
        <v>46132</v>
      </c>
      <c r="G1492" s="15">
        <v>31764.39</v>
      </c>
      <c r="H1492" s="13" t="s">
        <v>5958</v>
      </c>
      <c r="I1492" s="13" t="s">
        <v>5959</v>
      </c>
      <c r="J1492" s="13" t="s">
        <v>98</v>
      </c>
      <c r="K1492" s="13">
        <f t="shared" si="115"/>
        <v>3</v>
      </c>
      <c r="L1492" s="13">
        <f t="shared" si="116"/>
        <v>0</v>
      </c>
      <c r="M1492" s="13">
        <f>IF(AND(L1492=0,COUNTIFS($B$2:$B$1534,B1492,$G$2:$G$1534,G1492,$E$2:$E$1534,"&gt;="&amp;(E1492-Assumptions!$B$5),$E$2:$E$1534,"&lt;="&amp;(E1492+Assumptions!$B$5))&gt;1),1,0)</f>
        <v>0</v>
      </c>
      <c r="N1492" s="13">
        <f>IF(AND(G1492&gt;=Assumptions!$B$4*(1-Assumptions!$B$6),G1492&lt;Assumptions!$B$4),1,0)</f>
        <v>0</v>
      </c>
      <c r="O1492" s="13">
        <f>IF(AND(G1492&gt;=Assumptions!$B$7,MOD(G1492,Assumptions!$B$7)=0),1,0)</f>
        <v>0</v>
      </c>
      <c r="P1492" s="13">
        <f t="shared" si="117"/>
        <v>0</v>
      </c>
      <c r="Q1492" s="13">
        <f t="shared" si="118"/>
        <v>0</v>
      </c>
      <c r="R1492" s="13">
        <f>L1492*Assumptions!$B$11+M1492*Assumptions!$B$12+N1492*Assumptions!$B$13+O1492*Assumptions!$B$14+P1492*Assumptions!$B$15+Q1492*Assumptions!$B$16</f>
        <v>0</v>
      </c>
      <c r="S1492" s="13" t="str">
        <f>IF(R1492&gt;=Assumptions!$B$20,"High",IF(R1492&gt;=Assumptions!$B$21,"Medium",IF(R1492&gt;=1,"Low","Clear")))</f>
        <v>Clear</v>
      </c>
      <c r="T1492" s="13" t="str">
        <f t="shared" si="119"/>
        <v/>
      </c>
    </row>
    <row r="1493" spans="1:20" x14ac:dyDescent="0.35">
      <c r="A1493" s="13" t="s">
        <v>5960</v>
      </c>
      <c r="B1493" s="13" t="s">
        <v>466</v>
      </c>
      <c r="C1493" s="13" t="s">
        <v>467</v>
      </c>
      <c r="D1493" s="13" t="s">
        <v>5961</v>
      </c>
      <c r="E1493" s="14">
        <v>46094</v>
      </c>
      <c r="F1493" s="14">
        <v>46132</v>
      </c>
      <c r="G1493" s="15">
        <v>2978.01</v>
      </c>
      <c r="H1493" s="13" t="s">
        <v>5962</v>
      </c>
      <c r="I1493" s="13" t="s">
        <v>5963</v>
      </c>
      <c r="J1493" s="13" t="s">
        <v>91</v>
      </c>
      <c r="K1493" s="13">
        <f t="shared" si="115"/>
        <v>2</v>
      </c>
      <c r="L1493" s="13">
        <f t="shared" si="116"/>
        <v>0</v>
      </c>
      <c r="M1493" s="13">
        <f>IF(AND(L1493=0,COUNTIFS($B$2:$B$1534,B1493,$G$2:$G$1534,G1493,$E$2:$E$1534,"&gt;="&amp;(E1493-Assumptions!$B$5),$E$2:$E$1534,"&lt;="&amp;(E1493+Assumptions!$B$5))&gt;1),1,0)</f>
        <v>0</v>
      </c>
      <c r="N1493" s="13">
        <f>IF(AND(G1493&gt;=Assumptions!$B$4*(1-Assumptions!$B$6),G1493&lt;Assumptions!$B$4),1,0)</f>
        <v>0</v>
      </c>
      <c r="O1493" s="13">
        <f>IF(AND(G1493&gt;=Assumptions!$B$7,MOD(G1493,Assumptions!$B$7)=0),1,0)</f>
        <v>0</v>
      </c>
      <c r="P1493" s="13">
        <f t="shared" si="117"/>
        <v>0</v>
      </c>
      <c r="Q1493" s="13">
        <f t="shared" si="118"/>
        <v>0</v>
      </c>
      <c r="R1493" s="13">
        <f>L1493*Assumptions!$B$11+M1493*Assumptions!$B$12+N1493*Assumptions!$B$13+O1493*Assumptions!$B$14+P1493*Assumptions!$B$15+Q1493*Assumptions!$B$16</f>
        <v>0</v>
      </c>
      <c r="S1493" s="13" t="str">
        <f>IF(R1493&gt;=Assumptions!$B$20,"High",IF(R1493&gt;=Assumptions!$B$21,"Medium",IF(R1493&gt;=1,"Low","Clear")))</f>
        <v>Clear</v>
      </c>
      <c r="T1493" s="13" t="str">
        <f t="shared" si="119"/>
        <v/>
      </c>
    </row>
    <row r="1494" spans="1:20" x14ac:dyDescent="0.35">
      <c r="A1494" s="13" t="s">
        <v>5964</v>
      </c>
      <c r="B1494" s="13" t="s">
        <v>466</v>
      </c>
      <c r="C1494" s="13" t="s">
        <v>467</v>
      </c>
      <c r="D1494" s="13" t="s">
        <v>5965</v>
      </c>
      <c r="E1494" s="14">
        <v>46099</v>
      </c>
      <c r="F1494" s="14">
        <v>46132</v>
      </c>
      <c r="G1494" s="15">
        <v>580196.75</v>
      </c>
      <c r="H1494" s="13" t="s">
        <v>5966</v>
      </c>
      <c r="I1494" s="13" t="s">
        <v>5967</v>
      </c>
      <c r="J1494" s="13" t="s">
        <v>143</v>
      </c>
      <c r="K1494" s="13">
        <f t="shared" si="115"/>
        <v>5</v>
      </c>
      <c r="L1494" s="13">
        <f t="shared" si="116"/>
        <v>0</v>
      </c>
      <c r="M1494" s="13">
        <f>IF(AND(L1494=0,COUNTIFS($B$2:$B$1534,B1494,$G$2:$G$1534,G1494,$E$2:$E$1534,"&gt;="&amp;(E1494-Assumptions!$B$5),$E$2:$E$1534,"&lt;="&amp;(E1494+Assumptions!$B$5))&gt;1),1,0)</f>
        <v>0</v>
      </c>
      <c r="N1494" s="13">
        <f>IF(AND(G1494&gt;=Assumptions!$B$4*(1-Assumptions!$B$6),G1494&lt;Assumptions!$B$4),1,0)</f>
        <v>0</v>
      </c>
      <c r="O1494" s="13">
        <f>IF(AND(G1494&gt;=Assumptions!$B$7,MOD(G1494,Assumptions!$B$7)=0),1,0)</f>
        <v>0</v>
      </c>
      <c r="P1494" s="13">
        <f t="shared" si="117"/>
        <v>0</v>
      </c>
      <c r="Q1494" s="13">
        <f t="shared" si="118"/>
        <v>0</v>
      </c>
      <c r="R1494" s="13">
        <f>L1494*Assumptions!$B$11+M1494*Assumptions!$B$12+N1494*Assumptions!$B$13+O1494*Assumptions!$B$14+P1494*Assumptions!$B$15+Q1494*Assumptions!$B$16</f>
        <v>0</v>
      </c>
      <c r="S1494" s="13" t="str">
        <f>IF(R1494&gt;=Assumptions!$B$20,"High",IF(R1494&gt;=Assumptions!$B$21,"Medium",IF(R1494&gt;=1,"Low","Clear")))</f>
        <v>Clear</v>
      </c>
      <c r="T1494" s="13" t="str">
        <f t="shared" si="119"/>
        <v/>
      </c>
    </row>
    <row r="1495" spans="1:20" x14ac:dyDescent="0.35">
      <c r="A1495" s="13" t="s">
        <v>5968</v>
      </c>
      <c r="B1495" s="13" t="s">
        <v>307</v>
      </c>
      <c r="C1495" s="13" t="s">
        <v>308</v>
      </c>
      <c r="D1495" s="13" t="s">
        <v>5969</v>
      </c>
      <c r="E1495" s="14">
        <v>46093</v>
      </c>
      <c r="F1495" s="14">
        <v>46132</v>
      </c>
      <c r="G1495" s="15">
        <v>13804.74</v>
      </c>
      <c r="H1495" s="13" t="s">
        <v>5970</v>
      </c>
      <c r="I1495" s="13" t="s">
        <v>5971</v>
      </c>
      <c r="J1495" s="13" t="s">
        <v>136</v>
      </c>
      <c r="K1495" s="13">
        <f t="shared" si="115"/>
        <v>1</v>
      </c>
      <c r="L1495" s="13">
        <f t="shared" si="116"/>
        <v>0</v>
      </c>
      <c r="M1495" s="13">
        <f>IF(AND(L1495=0,COUNTIFS($B$2:$B$1534,B1495,$G$2:$G$1534,G1495,$E$2:$E$1534,"&gt;="&amp;(E1495-Assumptions!$B$5),$E$2:$E$1534,"&lt;="&amp;(E1495+Assumptions!$B$5))&gt;1),1,0)</f>
        <v>0</v>
      </c>
      <c r="N1495" s="13">
        <f>IF(AND(G1495&gt;=Assumptions!$B$4*(1-Assumptions!$B$6),G1495&lt;Assumptions!$B$4),1,0)</f>
        <v>0</v>
      </c>
      <c r="O1495" s="13">
        <f>IF(AND(G1495&gt;=Assumptions!$B$7,MOD(G1495,Assumptions!$B$7)=0),1,0)</f>
        <v>0</v>
      </c>
      <c r="P1495" s="13">
        <f t="shared" si="117"/>
        <v>0</v>
      </c>
      <c r="Q1495" s="13">
        <f t="shared" si="118"/>
        <v>0</v>
      </c>
      <c r="R1495" s="13">
        <f>L1495*Assumptions!$B$11+M1495*Assumptions!$B$12+N1495*Assumptions!$B$13+O1495*Assumptions!$B$14+P1495*Assumptions!$B$15+Q1495*Assumptions!$B$16</f>
        <v>0</v>
      </c>
      <c r="S1495" s="13" t="str">
        <f>IF(R1495&gt;=Assumptions!$B$20,"High",IF(R1495&gt;=Assumptions!$B$21,"Medium",IF(R1495&gt;=1,"Low","Clear")))</f>
        <v>Clear</v>
      </c>
      <c r="T1495" s="13" t="str">
        <f t="shared" si="119"/>
        <v/>
      </c>
    </row>
    <row r="1496" spans="1:20" x14ac:dyDescent="0.35">
      <c r="A1496" s="13" t="s">
        <v>5972</v>
      </c>
      <c r="B1496" s="13" t="s">
        <v>218</v>
      </c>
      <c r="C1496" s="13" t="s">
        <v>219</v>
      </c>
      <c r="D1496" s="13" t="s">
        <v>5973</v>
      </c>
      <c r="E1496" s="14">
        <v>46092</v>
      </c>
      <c r="F1496" s="14">
        <v>46132</v>
      </c>
      <c r="G1496" s="15">
        <v>64382.25</v>
      </c>
      <c r="H1496" s="13" t="s">
        <v>5974</v>
      </c>
      <c r="I1496" s="13" t="s">
        <v>5975</v>
      </c>
      <c r="J1496" s="13" t="s">
        <v>91</v>
      </c>
      <c r="K1496" s="13">
        <f t="shared" si="115"/>
        <v>6</v>
      </c>
      <c r="L1496" s="13">
        <f t="shared" si="116"/>
        <v>0</v>
      </c>
      <c r="M1496" s="13">
        <f>IF(AND(L1496=0,COUNTIFS($B$2:$B$1534,B1496,$G$2:$G$1534,G1496,$E$2:$E$1534,"&gt;="&amp;(E1496-Assumptions!$B$5),$E$2:$E$1534,"&lt;="&amp;(E1496+Assumptions!$B$5))&gt;1),1,0)</f>
        <v>0</v>
      </c>
      <c r="N1496" s="13">
        <f>IF(AND(G1496&gt;=Assumptions!$B$4*(1-Assumptions!$B$6),G1496&lt;Assumptions!$B$4),1,0)</f>
        <v>0</v>
      </c>
      <c r="O1496" s="13">
        <f>IF(AND(G1496&gt;=Assumptions!$B$7,MOD(G1496,Assumptions!$B$7)=0),1,0)</f>
        <v>0</v>
      </c>
      <c r="P1496" s="13">
        <f t="shared" si="117"/>
        <v>0</v>
      </c>
      <c r="Q1496" s="13">
        <f t="shared" si="118"/>
        <v>0</v>
      </c>
      <c r="R1496" s="13">
        <f>L1496*Assumptions!$B$11+M1496*Assumptions!$B$12+N1496*Assumptions!$B$13+O1496*Assumptions!$B$14+P1496*Assumptions!$B$15+Q1496*Assumptions!$B$16</f>
        <v>0</v>
      </c>
      <c r="S1496" s="13" t="str">
        <f>IF(R1496&gt;=Assumptions!$B$20,"High",IF(R1496&gt;=Assumptions!$B$21,"Medium",IF(R1496&gt;=1,"Low","Clear")))</f>
        <v>Clear</v>
      </c>
      <c r="T1496" s="13" t="str">
        <f t="shared" si="119"/>
        <v/>
      </c>
    </row>
    <row r="1497" spans="1:20" x14ac:dyDescent="0.35">
      <c r="A1497" s="13" t="s">
        <v>5976</v>
      </c>
      <c r="B1497" s="13" t="s">
        <v>556</v>
      </c>
      <c r="C1497" s="13" t="s">
        <v>557</v>
      </c>
      <c r="D1497" s="13" t="s">
        <v>5977</v>
      </c>
      <c r="E1497" s="14">
        <v>46100</v>
      </c>
      <c r="F1497" s="14">
        <v>46132</v>
      </c>
      <c r="G1497" s="15">
        <v>382953.54</v>
      </c>
      <c r="H1497" s="13" t="s">
        <v>5978</v>
      </c>
      <c r="I1497" s="13" t="s">
        <v>5979</v>
      </c>
      <c r="J1497" s="13" t="s">
        <v>98</v>
      </c>
      <c r="K1497" s="13">
        <f t="shared" si="115"/>
        <v>3</v>
      </c>
      <c r="L1497" s="13">
        <f t="shared" si="116"/>
        <v>0</v>
      </c>
      <c r="M1497" s="13">
        <f>IF(AND(L1497=0,COUNTIFS($B$2:$B$1534,B1497,$G$2:$G$1534,G1497,$E$2:$E$1534,"&gt;="&amp;(E1497-Assumptions!$B$5),$E$2:$E$1534,"&lt;="&amp;(E1497+Assumptions!$B$5))&gt;1),1,0)</f>
        <v>0</v>
      </c>
      <c r="N1497" s="13">
        <f>IF(AND(G1497&gt;=Assumptions!$B$4*(1-Assumptions!$B$6),G1497&lt;Assumptions!$B$4),1,0)</f>
        <v>0</v>
      </c>
      <c r="O1497" s="13">
        <f>IF(AND(G1497&gt;=Assumptions!$B$7,MOD(G1497,Assumptions!$B$7)=0),1,0)</f>
        <v>0</v>
      </c>
      <c r="P1497" s="13">
        <f t="shared" si="117"/>
        <v>0</v>
      </c>
      <c r="Q1497" s="13">
        <f t="shared" si="118"/>
        <v>0</v>
      </c>
      <c r="R1497" s="13">
        <f>L1497*Assumptions!$B$11+M1497*Assumptions!$B$12+N1497*Assumptions!$B$13+O1497*Assumptions!$B$14+P1497*Assumptions!$B$15+Q1497*Assumptions!$B$16</f>
        <v>0</v>
      </c>
      <c r="S1497" s="13" t="str">
        <f>IF(R1497&gt;=Assumptions!$B$20,"High",IF(R1497&gt;=Assumptions!$B$21,"Medium",IF(R1497&gt;=1,"Low","Clear")))</f>
        <v>Clear</v>
      </c>
      <c r="T1497" s="13" t="str">
        <f t="shared" si="119"/>
        <v/>
      </c>
    </row>
    <row r="1498" spans="1:20" x14ac:dyDescent="0.35">
      <c r="A1498" s="13" t="s">
        <v>5980</v>
      </c>
      <c r="B1498" s="13" t="s">
        <v>125</v>
      </c>
      <c r="C1498" s="13" t="s">
        <v>126</v>
      </c>
      <c r="D1498" s="13" t="s">
        <v>5981</v>
      </c>
      <c r="E1498" s="14">
        <v>46091</v>
      </c>
      <c r="F1498" s="14">
        <v>46132</v>
      </c>
      <c r="G1498" s="15">
        <v>134492.45000000001</v>
      </c>
      <c r="H1498" s="13" t="s">
        <v>5982</v>
      </c>
      <c r="I1498" s="13" t="s">
        <v>5983</v>
      </c>
      <c r="J1498" s="13" t="s">
        <v>170</v>
      </c>
      <c r="K1498" s="13">
        <f t="shared" si="115"/>
        <v>1</v>
      </c>
      <c r="L1498" s="13">
        <f t="shared" si="116"/>
        <v>0</v>
      </c>
      <c r="M1498" s="13">
        <f>IF(AND(L1498=0,COUNTIFS($B$2:$B$1534,B1498,$G$2:$G$1534,G1498,$E$2:$E$1534,"&gt;="&amp;(E1498-Assumptions!$B$5),$E$2:$E$1534,"&lt;="&amp;(E1498+Assumptions!$B$5))&gt;1),1,0)</f>
        <v>0</v>
      </c>
      <c r="N1498" s="13">
        <f>IF(AND(G1498&gt;=Assumptions!$B$4*(1-Assumptions!$B$6),G1498&lt;Assumptions!$B$4),1,0)</f>
        <v>0</v>
      </c>
      <c r="O1498" s="13">
        <f>IF(AND(G1498&gt;=Assumptions!$B$7,MOD(G1498,Assumptions!$B$7)=0),1,0)</f>
        <v>0</v>
      </c>
      <c r="P1498" s="13">
        <f t="shared" si="117"/>
        <v>0</v>
      </c>
      <c r="Q1498" s="13">
        <f t="shared" si="118"/>
        <v>0</v>
      </c>
      <c r="R1498" s="13">
        <f>L1498*Assumptions!$B$11+M1498*Assumptions!$B$12+N1498*Assumptions!$B$13+O1498*Assumptions!$B$14+P1498*Assumptions!$B$15+Q1498*Assumptions!$B$16</f>
        <v>0</v>
      </c>
      <c r="S1498" s="13" t="str">
        <f>IF(R1498&gt;=Assumptions!$B$20,"High",IF(R1498&gt;=Assumptions!$B$21,"Medium",IF(R1498&gt;=1,"Low","Clear")))</f>
        <v>Clear</v>
      </c>
      <c r="T1498" s="13" t="str">
        <f t="shared" si="119"/>
        <v/>
      </c>
    </row>
    <row r="1499" spans="1:20" x14ac:dyDescent="0.35">
      <c r="A1499" s="13" t="s">
        <v>5984</v>
      </c>
      <c r="B1499" s="13" t="s">
        <v>228</v>
      </c>
      <c r="C1499" s="13" t="s">
        <v>229</v>
      </c>
      <c r="D1499" s="13" t="s">
        <v>5985</v>
      </c>
      <c r="E1499" s="14">
        <v>46104</v>
      </c>
      <c r="F1499" s="14">
        <v>46133</v>
      </c>
      <c r="G1499" s="15">
        <v>355532.84</v>
      </c>
      <c r="H1499" s="13" t="s">
        <v>5986</v>
      </c>
      <c r="I1499" s="13" t="s">
        <v>5987</v>
      </c>
      <c r="J1499" s="13" t="s">
        <v>91</v>
      </c>
      <c r="K1499" s="13">
        <f t="shared" si="115"/>
        <v>3</v>
      </c>
      <c r="L1499" s="13">
        <f t="shared" si="116"/>
        <v>0</v>
      </c>
      <c r="M1499" s="13">
        <f>IF(AND(L1499=0,COUNTIFS($B$2:$B$1534,B1499,$G$2:$G$1534,G1499,$E$2:$E$1534,"&gt;="&amp;(E1499-Assumptions!$B$5),$E$2:$E$1534,"&lt;="&amp;(E1499+Assumptions!$B$5))&gt;1),1,0)</f>
        <v>0</v>
      </c>
      <c r="N1499" s="13">
        <f>IF(AND(G1499&gt;=Assumptions!$B$4*(1-Assumptions!$B$6),G1499&lt;Assumptions!$B$4),1,0)</f>
        <v>0</v>
      </c>
      <c r="O1499" s="13">
        <f>IF(AND(G1499&gt;=Assumptions!$B$7,MOD(G1499,Assumptions!$B$7)=0),1,0)</f>
        <v>0</v>
      </c>
      <c r="P1499" s="13">
        <f t="shared" si="117"/>
        <v>0</v>
      </c>
      <c r="Q1499" s="13">
        <f t="shared" si="118"/>
        <v>0</v>
      </c>
      <c r="R1499" s="13">
        <f>L1499*Assumptions!$B$11+M1499*Assumptions!$B$12+N1499*Assumptions!$B$13+O1499*Assumptions!$B$14+P1499*Assumptions!$B$15+Q1499*Assumptions!$B$16</f>
        <v>0</v>
      </c>
      <c r="S1499" s="13" t="str">
        <f>IF(R1499&gt;=Assumptions!$B$20,"High",IF(R1499&gt;=Assumptions!$B$21,"Medium",IF(R1499&gt;=1,"Low","Clear")))</f>
        <v>Clear</v>
      </c>
      <c r="T1499" s="13" t="str">
        <f t="shared" si="119"/>
        <v/>
      </c>
    </row>
    <row r="1500" spans="1:20" x14ac:dyDescent="0.35">
      <c r="A1500" s="13" t="s">
        <v>5988</v>
      </c>
      <c r="B1500" s="13" t="s">
        <v>357</v>
      </c>
      <c r="C1500" s="13" t="s">
        <v>358</v>
      </c>
      <c r="D1500" s="13" t="s">
        <v>5989</v>
      </c>
      <c r="E1500" s="14">
        <v>46093</v>
      </c>
      <c r="F1500" s="14">
        <v>46133</v>
      </c>
      <c r="G1500" s="15">
        <v>10000</v>
      </c>
      <c r="H1500" s="13" t="s">
        <v>5990</v>
      </c>
      <c r="I1500" s="13" t="s">
        <v>5991</v>
      </c>
      <c r="J1500" s="13" t="s">
        <v>136</v>
      </c>
      <c r="K1500" s="13">
        <f t="shared" si="115"/>
        <v>1</v>
      </c>
      <c r="L1500" s="13">
        <f t="shared" si="116"/>
        <v>0</v>
      </c>
      <c r="M1500" s="13">
        <f>IF(AND(L1500=0,COUNTIFS($B$2:$B$1534,B1500,$G$2:$G$1534,G1500,$E$2:$E$1534,"&gt;="&amp;(E1500-Assumptions!$B$5),$E$2:$E$1534,"&lt;="&amp;(E1500+Assumptions!$B$5))&gt;1),1,0)</f>
        <v>0</v>
      </c>
      <c r="N1500" s="13">
        <f>IF(AND(G1500&gt;=Assumptions!$B$4*(1-Assumptions!$B$6),G1500&lt;Assumptions!$B$4),1,0)</f>
        <v>0</v>
      </c>
      <c r="O1500" s="13">
        <f>IF(AND(G1500&gt;=Assumptions!$B$7,MOD(G1500,Assumptions!$B$7)=0),1,0)</f>
        <v>1</v>
      </c>
      <c r="P1500" s="13">
        <f t="shared" si="117"/>
        <v>0</v>
      </c>
      <c r="Q1500" s="13">
        <f t="shared" si="118"/>
        <v>0</v>
      </c>
      <c r="R1500" s="13">
        <f>L1500*Assumptions!$B$11+M1500*Assumptions!$B$12+N1500*Assumptions!$B$13+O1500*Assumptions!$B$14+P1500*Assumptions!$B$15+Q1500*Assumptions!$B$16</f>
        <v>1</v>
      </c>
      <c r="S1500" s="13" t="str">
        <f>IF(R1500&gt;=Assumptions!$B$20,"High",IF(R1500&gt;=Assumptions!$B$21,"Medium",IF(R1500&gt;=1,"Low","Clear")))</f>
        <v>Low</v>
      </c>
      <c r="T1500" s="13" t="str">
        <f t="shared" si="119"/>
        <v xml:space="preserve">Round amount; </v>
      </c>
    </row>
    <row r="1501" spans="1:20" x14ac:dyDescent="0.35">
      <c r="A1501" s="13" t="s">
        <v>5992</v>
      </c>
      <c r="B1501" s="13" t="s">
        <v>228</v>
      </c>
      <c r="C1501" s="13" t="s">
        <v>229</v>
      </c>
      <c r="D1501" s="13" t="s">
        <v>5993</v>
      </c>
      <c r="E1501" s="14">
        <v>46110</v>
      </c>
      <c r="F1501" s="14">
        <v>46134</v>
      </c>
      <c r="G1501" s="15">
        <v>47661.279999999999</v>
      </c>
      <c r="H1501" s="13" t="s">
        <v>5994</v>
      </c>
      <c r="I1501" s="13" t="s">
        <v>5995</v>
      </c>
      <c r="J1501" s="13" t="s">
        <v>143</v>
      </c>
      <c r="K1501" s="13">
        <f t="shared" si="115"/>
        <v>4</v>
      </c>
      <c r="L1501" s="13">
        <f t="shared" si="116"/>
        <v>0</v>
      </c>
      <c r="M1501" s="13">
        <f>IF(AND(L1501=0,COUNTIFS($B$2:$B$1534,B1501,$G$2:$G$1534,G1501,$E$2:$E$1534,"&gt;="&amp;(E1501-Assumptions!$B$5),$E$2:$E$1534,"&lt;="&amp;(E1501+Assumptions!$B$5))&gt;1),1,0)</f>
        <v>0</v>
      </c>
      <c r="N1501" s="13">
        <f>IF(AND(G1501&gt;=Assumptions!$B$4*(1-Assumptions!$B$6),G1501&lt;Assumptions!$B$4),1,0)</f>
        <v>1</v>
      </c>
      <c r="O1501" s="13">
        <f>IF(AND(G1501&gt;=Assumptions!$B$7,MOD(G1501,Assumptions!$B$7)=0),1,0)</f>
        <v>0</v>
      </c>
      <c r="P1501" s="13">
        <f t="shared" si="117"/>
        <v>0</v>
      </c>
      <c r="Q1501" s="13">
        <f t="shared" si="118"/>
        <v>0</v>
      </c>
      <c r="R1501" s="13">
        <f>L1501*Assumptions!$B$11+M1501*Assumptions!$B$12+N1501*Assumptions!$B$13+O1501*Assumptions!$B$14+P1501*Assumptions!$B$15+Q1501*Assumptions!$B$16</f>
        <v>3</v>
      </c>
      <c r="S1501" s="13" t="str">
        <f>IF(R1501&gt;=Assumptions!$B$20,"High",IF(R1501&gt;=Assumptions!$B$21,"Medium",IF(R1501&gt;=1,"Low","Clear")))</f>
        <v>Medium</v>
      </c>
      <c r="T1501" s="13" t="str">
        <f t="shared" si="119"/>
        <v xml:space="preserve">Just below limit; </v>
      </c>
    </row>
    <row r="1502" spans="1:20" x14ac:dyDescent="0.35">
      <c r="A1502" s="13" t="s">
        <v>5996</v>
      </c>
      <c r="B1502" s="13" t="s">
        <v>131</v>
      </c>
      <c r="C1502" s="13" t="s">
        <v>132</v>
      </c>
      <c r="D1502" s="13" t="s">
        <v>5997</v>
      </c>
      <c r="E1502" s="14">
        <v>46103</v>
      </c>
      <c r="F1502" s="14">
        <v>46134</v>
      </c>
      <c r="G1502" s="15">
        <v>23125.279999999999</v>
      </c>
      <c r="H1502" s="13" t="s">
        <v>5998</v>
      </c>
      <c r="I1502" s="13" t="s">
        <v>5999</v>
      </c>
      <c r="J1502" s="13" t="s">
        <v>91</v>
      </c>
      <c r="K1502" s="13">
        <f t="shared" si="115"/>
        <v>2</v>
      </c>
      <c r="L1502" s="13">
        <f t="shared" si="116"/>
        <v>0</v>
      </c>
      <c r="M1502" s="13">
        <f>IF(AND(L1502=0,COUNTIFS($B$2:$B$1534,B1502,$G$2:$G$1534,G1502,$E$2:$E$1534,"&gt;="&amp;(E1502-Assumptions!$B$5),$E$2:$E$1534,"&lt;="&amp;(E1502+Assumptions!$B$5))&gt;1),1,0)</f>
        <v>0</v>
      </c>
      <c r="N1502" s="13">
        <f>IF(AND(G1502&gt;=Assumptions!$B$4*(1-Assumptions!$B$6),G1502&lt;Assumptions!$B$4),1,0)</f>
        <v>0</v>
      </c>
      <c r="O1502" s="13">
        <f>IF(AND(G1502&gt;=Assumptions!$B$7,MOD(G1502,Assumptions!$B$7)=0),1,0)</f>
        <v>0</v>
      </c>
      <c r="P1502" s="13">
        <f t="shared" si="117"/>
        <v>0</v>
      </c>
      <c r="Q1502" s="13">
        <f t="shared" si="118"/>
        <v>0</v>
      </c>
      <c r="R1502" s="13">
        <f>L1502*Assumptions!$B$11+M1502*Assumptions!$B$12+N1502*Assumptions!$B$13+O1502*Assumptions!$B$14+P1502*Assumptions!$B$15+Q1502*Assumptions!$B$16</f>
        <v>0</v>
      </c>
      <c r="S1502" s="13" t="str">
        <f>IF(R1502&gt;=Assumptions!$B$20,"High",IF(R1502&gt;=Assumptions!$B$21,"Medium",IF(R1502&gt;=1,"Low","Clear")))</f>
        <v>Clear</v>
      </c>
      <c r="T1502" s="13" t="str">
        <f t="shared" si="119"/>
        <v/>
      </c>
    </row>
    <row r="1503" spans="1:20" x14ac:dyDescent="0.35">
      <c r="A1503" s="13" t="s">
        <v>6000</v>
      </c>
      <c r="B1503" s="13" t="s">
        <v>307</v>
      </c>
      <c r="C1503" s="13" t="s">
        <v>308</v>
      </c>
      <c r="D1503" s="13" t="s">
        <v>6001</v>
      </c>
      <c r="E1503" s="14">
        <v>46095</v>
      </c>
      <c r="F1503" s="14">
        <v>46134</v>
      </c>
      <c r="G1503" s="15">
        <v>1435.81</v>
      </c>
      <c r="H1503" s="13" t="s">
        <v>6002</v>
      </c>
      <c r="I1503" s="13" t="s">
        <v>6003</v>
      </c>
      <c r="J1503" s="13" t="s">
        <v>170</v>
      </c>
      <c r="K1503" s="13">
        <f t="shared" si="115"/>
        <v>1</v>
      </c>
      <c r="L1503" s="13">
        <f t="shared" si="116"/>
        <v>0</v>
      </c>
      <c r="M1503" s="13">
        <f>IF(AND(L1503=0,COUNTIFS($B$2:$B$1534,B1503,$G$2:$G$1534,G1503,$E$2:$E$1534,"&gt;="&amp;(E1503-Assumptions!$B$5),$E$2:$E$1534,"&lt;="&amp;(E1503+Assumptions!$B$5))&gt;1),1,0)</f>
        <v>0</v>
      </c>
      <c r="N1503" s="13">
        <f>IF(AND(G1503&gt;=Assumptions!$B$4*(1-Assumptions!$B$6),G1503&lt;Assumptions!$B$4),1,0)</f>
        <v>0</v>
      </c>
      <c r="O1503" s="13">
        <f>IF(AND(G1503&gt;=Assumptions!$B$7,MOD(G1503,Assumptions!$B$7)=0),1,0)</f>
        <v>0</v>
      </c>
      <c r="P1503" s="13">
        <f t="shared" si="117"/>
        <v>0</v>
      </c>
      <c r="Q1503" s="13">
        <f t="shared" si="118"/>
        <v>0</v>
      </c>
      <c r="R1503" s="13">
        <f>L1503*Assumptions!$B$11+M1503*Assumptions!$B$12+N1503*Assumptions!$B$13+O1503*Assumptions!$B$14+P1503*Assumptions!$B$15+Q1503*Assumptions!$B$16</f>
        <v>0</v>
      </c>
      <c r="S1503" s="13" t="str">
        <f>IF(R1503&gt;=Assumptions!$B$20,"High",IF(R1503&gt;=Assumptions!$B$21,"Medium",IF(R1503&gt;=1,"Low","Clear")))</f>
        <v>Clear</v>
      </c>
      <c r="T1503" s="13" t="str">
        <f t="shared" si="119"/>
        <v/>
      </c>
    </row>
    <row r="1504" spans="1:20" x14ac:dyDescent="0.35">
      <c r="A1504" s="13" t="s">
        <v>6004</v>
      </c>
      <c r="B1504" s="13" t="s">
        <v>155</v>
      </c>
      <c r="C1504" s="13" t="s">
        <v>156</v>
      </c>
      <c r="D1504" s="13" t="s">
        <v>6005</v>
      </c>
      <c r="E1504" s="14">
        <v>46096</v>
      </c>
      <c r="F1504" s="14">
        <v>46134</v>
      </c>
      <c r="G1504" s="15">
        <v>84913.26</v>
      </c>
      <c r="H1504" s="13" t="s">
        <v>6006</v>
      </c>
      <c r="I1504" s="13" t="s">
        <v>6007</v>
      </c>
      <c r="J1504" s="13" t="s">
        <v>136</v>
      </c>
      <c r="K1504" s="13">
        <f t="shared" si="115"/>
        <v>8</v>
      </c>
      <c r="L1504" s="13">
        <f t="shared" si="116"/>
        <v>0</v>
      </c>
      <c r="M1504" s="13">
        <f>IF(AND(L1504=0,COUNTIFS($B$2:$B$1534,B1504,$G$2:$G$1534,G1504,$E$2:$E$1534,"&gt;="&amp;(E1504-Assumptions!$B$5),$E$2:$E$1534,"&lt;="&amp;(E1504+Assumptions!$B$5))&gt;1),1,0)</f>
        <v>0</v>
      </c>
      <c r="N1504" s="13">
        <f>IF(AND(G1504&gt;=Assumptions!$B$4*(1-Assumptions!$B$6),G1504&lt;Assumptions!$B$4),1,0)</f>
        <v>0</v>
      </c>
      <c r="O1504" s="13">
        <f>IF(AND(G1504&gt;=Assumptions!$B$7,MOD(G1504,Assumptions!$B$7)=0),1,0)</f>
        <v>0</v>
      </c>
      <c r="P1504" s="13">
        <f t="shared" si="117"/>
        <v>0</v>
      </c>
      <c r="Q1504" s="13">
        <f t="shared" si="118"/>
        <v>0</v>
      </c>
      <c r="R1504" s="13">
        <f>L1504*Assumptions!$B$11+M1504*Assumptions!$B$12+N1504*Assumptions!$B$13+O1504*Assumptions!$B$14+P1504*Assumptions!$B$15+Q1504*Assumptions!$B$16</f>
        <v>0</v>
      </c>
      <c r="S1504" s="13" t="str">
        <f>IF(R1504&gt;=Assumptions!$B$20,"High",IF(R1504&gt;=Assumptions!$B$21,"Medium",IF(R1504&gt;=1,"Low","Clear")))</f>
        <v>Clear</v>
      </c>
      <c r="T1504" s="13" t="str">
        <f t="shared" si="119"/>
        <v/>
      </c>
    </row>
    <row r="1505" spans="1:20" x14ac:dyDescent="0.35">
      <c r="A1505" s="13" t="s">
        <v>6008</v>
      </c>
      <c r="B1505" s="13" t="s">
        <v>161</v>
      </c>
      <c r="C1505" s="13" t="s">
        <v>162</v>
      </c>
      <c r="D1505" s="13" t="s">
        <v>6009</v>
      </c>
      <c r="E1505" s="14">
        <v>46102</v>
      </c>
      <c r="F1505" s="14">
        <v>46134</v>
      </c>
      <c r="G1505" s="15">
        <v>403962.98</v>
      </c>
      <c r="H1505" s="13" t="s">
        <v>6010</v>
      </c>
      <c r="I1505" s="13" t="s">
        <v>6011</v>
      </c>
      <c r="J1505" s="13" t="s">
        <v>136</v>
      </c>
      <c r="K1505" s="13">
        <f t="shared" si="115"/>
        <v>4</v>
      </c>
      <c r="L1505" s="13">
        <f t="shared" si="116"/>
        <v>0</v>
      </c>
      <c r="M1505" s="13">
        <f>IF(AND(L1505=0,COUNTIFS($B$2:$B$1534,B1505,$G$2:$G$1534,G1505,$E$2:$E$1534,"&gt;="&amp;(E1505-Assumptions!$B$5),$E$2:$E$1534,"&lt;="&amp;(E1505+Assumptions!$B$5))&gt;1),1,0)</f>
        <v>0</v>
      </c>
      <c r="N1505" s="13">
        <f>IF(AND(G1505&gt;=Assumptions!$B$4*(1-Assumptions!$B$6),G1505&lt;Assumptions!$B$4),1,0)</f>
        <v>0</v>
      </c>
      <c r="O1505" s="13">
        <f>IF(AND(G1505&gt;=Assumptions!$B$7,MOD(G1505,Assumptions!$B$7)=0),1,0)</f>
        <v>0</v>
      </c>
      <c r="P1505" s="13">
        <f t="shared" si="117"/>
        <v>0</v>
      </c>
      <c r="Q1505" s="13">
        <f t="shared" si="118"/>
        <v>0</v>
      </c>
      <c r="R1505" s="13">
        <f>L1505*Assumptions!$B$11+M1505*Assumptions!$B$12+N1505*Assumptions!$B$13+O1505*Assumptions!$B$14+P1505*Assumptions!$B$15+Q1505*Assumptions!$B$16</f>
        <v>0</v>
      </c>
      <c r="S1505" s="13" t="str">
        <f>IF(R1505&gt;=Assumptions!$B$20,"High",IF(R1505&gt;=Assumptions!$B$21,"Medium",IF(R1505&gt;=1,"Low","Clear")))</f>
        <v>Clear</v>
      </c>
      <c r="T1505" s="13" t="str">
        <f t="shared" si="119"/>
        <v/>
      </c>
    </row>
    <row r="1506" spans="1:20" x14ac:dyDescent="0.35">
      <c r="A1506" s="13" t="s">
        <v>6012</v>
      </c>
      <c r="B1506" s="13" t="s">
        <v>125</v>
      </c>
      <c r="C1506" s="13" t="s">
        <v>126</v>
      </c>
      <c r="D1506" s="13" t="s">
        <v>6013</v>
      </c>
      <c r="E1506" s="14">
        <v>46108</v>
      </c>
      <c r="F1506" s="14">
        <v>46134</v>
      </c>
      <c r="G1506" s="15">
        <v>15484.46</v>
      </c>
      <c r="H1506" s="13" t="s">
        <v>6014</v>
      </c>
      <c r="I1506" s="13" t="s">
        <v>6015</v>
      </c>
      <c r="J1506" s="13" t="s">
        <v>170</v>
      </c>
      <c r="K1506" s="13">
        <f t="shared" si="115"/>
        <v>1</v>
      </c>
      <c r="L1506" s="13">
        <f t="shared" si="116"/>
        <v>0</v>
      </c>
      <c r="M1506" s="13">
        <f>IF(AND(L1506=0,COUNTIFS($B$2:$B$1534,B1506,$G$2:$G$1534,G1506,$E$2:$E$1534,"&gt;="&amp;(E1506-Assumptions!$B$5),$E$2:$E$1534,"&lt;="&amp;(E1506+Assumptions!$B$5))&gt;1),1,0)</f>
        <v>0</v>
      </c>
      <c r="N1506" s="13">
        <f>IF(AND(G1506&gt;=Assumptions!$B$4*(1-Assumptions!$B$6),G1506&lt;Assumptions!$B$4),1,0)</f>
        <v>0</v>
      </c>
      <c r="O1506" s="13">
        <f>IF(AND(G1506&gt;=Assumptions!$B$7,MOD(G1506,Assumptions!$B$7)=0),1,0)</f>
        <v>0</v>
      </c>
      <c r="P1506" s="13">
        <f t="shared" si="117"/>
        <v>0</v>
      </c>
      <c r="Q1506" s="13">
        <f t="shared" si="118"/>
        <v>0</v>
      </c>
      <c r="R1506" s="13">
        <f>L1506*Assumptions!$B$11+M1506*Assumptions!$B$12+N1506*Assumptions!$B$13+O1506*Assumptions!$B$14+P1506*Assumptions!$B$15+Q1506*Assumptions!$B$16</f>
        <v>0</v>
      </c>
      <c r="S1506" s="13" t="str">
        <f>IF(R1506&gt;=Assumptions!$B$20,"High",IF(R1506&gt;=Assumptions!$B$21,"Medium",IF(R1506&gt;=1,"Low","Clear")))</f>
        <v>Clear</v>
      </c>
      <c r="T1506" s="13" t="str">
        <f t="shared" si="119"/>
        <v/>
      </c>
    </row>
    <row r="1507" spans="1:20" x14ac:dyDescent="0.35">
      <c r="A1507" s="13" t="s">
        <v>6016</v>
      </c>
      <c r="B1507" s="13" t="s">
        <v>119</v>
      </c>
      <c r="C1507" s="13" t="s">
        <v>120</v>
      </c>
      <c r="D1507" s="13" t="s">
        <v>6017</v>
      </c>
      <c r="E1507" s="14">
        <v>46106</v>
      </c>
      <c r="F1507" s="14">
        <v>46135</v>
      </c>
      <c r="G1507" s="15">
        <v>14902.91</v>
      </c>
      <c r="H1507" s="13" t="s">
        <v>6018</v>
      </c>
      <c r="I1507" s="13" t="s">
        <v>6019</v>
      </c>
      <c r="J1507" s="13" t="s">
        <v>143</v>
      </c>
      <c r="K1507" s="13">
        <f t="shared" si="115"/>
        <v>1</v>
      </c>
      <c r="L1507" s="13">
        <f t="shared" si="116"/>
        <v>0</v>
      </c>
      <c r="M1507" s="13">
        <f>IF(AND(L1507=0,COUNTIFS($B$2:$B$1534,B1507,$G$2:$G$1534,G1507,$E$2:$E$1534,"&gt;="&amp;(E1507-Assumptions!$B$5),$E$2:$E$1534,"&lt;="&amp;(E1507+Assumptions!$B$5))&gt;1),1,0)</f>
        <v>0</v>
      </c>
      <c r="N1507" s="13">
        <f>IF(AND(G1507&gt;=Assumptions!$B$4*(1-Assumptions!$B$6),G1507&lt;Assumptions!$B$4),1,0)</f>
        <v>0</v>
      </c>
      <c r="O1507" s="13">
        <f>IF(AND(G1507&gt;=Assumptions!$B$7,MOD(G1507,Assumptions!$B$7)=0),1,0)</f>
        <v>0</v>
      </c>
      <c r="P1507" s="13">
        <f t="shared" si="117"/>
        <v>0</v>
      </c>
      <c r="Q1507" s="13">
        <f t="shared" si="118"/>
        <v>0</v>
      </c>
      <c r="R1507" s="13">
        <f>L1507*Assumptions!$B$11+M1507*Assumptions!$B$12+N1507*Assumptions!$B$13+O1507*Assumptions!$B$14+P1507*Assumptions!$B$15+Q1507*Assumptions!$B$16</f>
        <v>0</v>
      </c>
      <c r="S1507" s="13" t="str">
        <f>IF(R1507&gt;=Assumptions!$B$20,"High",IF(R1507&gt;=Assumptions!$B$21,"Medium",IF(R1507&gt;=1,"Low","Clear")))</f>
        <v>Clear</v>
      </c>
      <c r="T1507" s="13" t="str">
        <f t="shared" si="119"/>
        <v/>
      </c>
    </row>
    <row r="1508" spans="1:20" x14ac:dyDescent="0.35">
      <c r="A1508" s="13" t="s">
        <v>6020</v>
      </c>
      <c r="B1508" s="13" t="s">
        <v>206</v>
      </c>
      <c r="C1508" s="13" t="s">
        <v>207</v>
      </c>
      <c r="D1508" s="13" t="s">
        <v>6021</v>
      </c>
      <c r="E1508" s="14">
        <v>46098</v>
      </c>
      <c r="F1508" s="14">
        <v>46136</v>
      </c>
      <c r="G1508" s="15">
        <v>1856.88</v>
      </c>
      <c r="H1508" s="13" t="s">
        <v>6022</v>
      </c>
      <c r="I1508" s="13" t="s">
        <v>6023</v>
      </c>
      <c r="J1508" s="13" t="s">
        <v>98</v>
      </c>
      <c r="K1508" s="13">
        <f t="shared" si="115"/>
        <v>1</v>
      </c>
      <c r="L1508" s="13">
        <f t="shared" si="116"/>
        <v>0</v>
      </c>
      <c r="M1508" s="13">
        <f>IF(AND(L1508=0,COUNTIFS($B$2:$B$1534,B1508,$G$2:$G$1534,G1508,$E$2:$E$1534,"&gt;="&amp;(E1508-Assumptions!$B$5),$E$2:$E$1534,"&lt;="&amp;(E1508+Assumptions!$B$5))&gt;1),1,0)</f>
        <v>0</v>
      </c>
      <c r="N1508" s="13">
        <f>IF(AND(G1508&gt;=Assumptions!$B$4*(1-Assumptions!$B$6),G1508&lt;Assumptions!$B$4),1,0)</f>
        <v>0</v>
      </c>
      <c r="O1508" s="13">
        <f>IF(AND(G1508&gt;=Assumptions!$B$7,MOD(G1508,Assumptions!$B$7)=0),1,0)</f>
        <v>0</v>
      </c>
      <c r="P1508" s="13">
        <f t="shared" si="117"/>
        <v>0</v>
      </c>
      <c r="Q1508" s="13">
        <f t="shared" si="118"/>
        <v>0</v>
      </c>
      <c r="R1508" s="13">
        <f>L1508*Assumptions!$B$11+M1508*Assumptions!$B$12+N1508*Assumptions!$B$13+O1508*Assumptions!$B$14+P1508*Assumptions!$B$15+Q1508*Assumptions!$B$16</f>
        <v>0</v>
      </c>
      <c r="S1508" s="13" t="str">
        <f>IF(R1508&gt;=Assumptions!$B$20,"High",IF(R1508&gt;=Assumptions!$B$21,"Medium",IF(R1508&gt;=1,"Low","Clear")))</f>
        <v>Clear</v>
      </c>
      <c r="T1508" s="13" t="str">
        <f t="shared" si="119"/>
        <v/>
      </c>
    </row>
    <row r="1509" spans="1:20" x14ac:dyDescent="0.35">
      <c r="A1509" s="13" t="s">
        <v>6024</v>
      </c>
      <c r="B1509" s="13" t="s">
        <v>556</v>
      </c>
      <c r="C1509" s="13" t="s">
        <v>557</v>
      </c>
      <c r="D1509" s="13" t="s">
        <v>6025</v>
      </c>
      <c r="E1509" s="14">
        <v>46101</v>
      </c>
      <c r="F1509" s="14">
        <v>46136</v>
      </c>
      <c r="G1509" s="15">
        <v>116203.61</v>
      </c>
      <c r="H1509" s="13" t="s">
        <v>6026</v>
      </c>
      <c r="I1509" s="13" t="s">
        <v>6027</v>
      </c>
      <c r="J1509" s="13" t="s">
        <v>111</v>
      </c>
      <c r="K1509" s="13">
        <f t="shared" si="115"/>
        <v>1</v>
      </c>
      <c r="L1509" s="13">
        <f t="shared" si="116"/>
        <v>0</v>
      </c>
      <c r="M1509" s="13">
        <f>IF(AND(L1509=0,COUNTIFS($B$2:$B$1534,B1509,$G$2:$G$1534,G1509,$E$2:$E$1534,"&gt;="&amp;(E1509-Assumptions!$B$5),$E$2:$E$1534,"&lt;="&amp;(E1509+Assumptions!$B$5))&gt;1),1,0)</f>
        <v>0</v>
      </c>
      <c r="N1509" s="13">
        <f>IF(AND(G1509&gt;=Assumptions!$B$4*(1-Assumptions!$B$6),G1509&lt;Assumptions!$B$4),1,0)</f>
        <v>0</v>
      </c>
      <c r="O1509" s="13">
        <f>IF(AND(G1509&gt;=Assumptions!$B$7,MOD(G1509,Assumptions!$B$7)=0),1,0)</f>
        <v>0</v>
      </c>
      <c r="P1509" s="13">
        <f t="shared" si="117"/>
        <v>0</v>
      </c>
      <c r="Q1509" s="13">
        <f t="shared" si="118"/>
        <v>0</v>
      </c>
      <c r="R1509" s="13">
        <f>L1509*Assumptions!$B$11+M1509*Assumptions!$B$12+N1509*Assumptions!$B$13+O1509*Assumptions!$B$14+P1509*Assumptions!$B$15+Q1509*Assumptions!$B$16</f>
        <v>0</v>
      </c>
      <c r="S1509" s="13" t="str">
        <f>IF(R1509&gt;=Assumptions!$B$20,"High",IF(R1509&gt;=Assumptions!$B$21,"Medium",IF(R1509&gt;=1,"Low","Clear")))</f>
        <v>Clear</v>
      </c>
      <c r="T1509" s="13" t="str">
        <f t="shared" si="119"/>
        <v/>
      </c>
    </row>
    <row r="1510" spans="1:20" x14ac:dyDescent="0.35">
      <c r="A1510" s="13" t="s">
        <v>6028</v>
      </c>
      <c r="B1510" s="13" t="s">
        <v>466</v>
      </c>
      <c r="C1510" s="13" t="s">
        <v>467</v>
      </c>
      <c r="D1510" s="13" t="s">
        <v>6029</v>
      </c>
      <c r="E1510" s="14">
        <v>46106</v>
      </c>
      <c r="F1510" s="14">
        <v>46137</v>
      </c>
      <c r="G1510" s="15">
        <v>1163.6400000000001</v>
      </c>
      <c r="H1510" s="13" t="s">
        <v>6030</v>
      </c>
      <c r="I1510" s="13" t="s">
        <v>6031</v>
      </c>
      <c r="J1510" s="13" t="s">
        <v>170</v>
      </c>
      <c r="K1510" s="13">
        <f t="shared" si="115"/>
        <v>1</v>
      </c>
      <c r="L1510" s="13">
        <f t="shared" si="116"/>
        <v>0</v>
      </c>
      <c r="M1510" s="13">
        <f>IF(AND(L1510=0,COUNTIFS($B$2:$B$1534,B1510,$G$2:$G$1534,G1510,$E$2:$E$1534,"&gt;="&amp;(E1510-Assumptions!$B$5),$E$2:$E$1534,"&lt;="&amp;(E1510+Assumptions!$B$5))&gt;1),1,0)</f>
        <v>0</v>
      </c>
      <c r="N1510" s="13">
        <f>IF(AND(G1510&gt;=Assumptions!$B$4*(1-Assumptions!$B$6),G1510&lt;Assumptions!$B$4),1,0)</f>
        <v>0</v>
      </c>
      <c r="O1510" s="13">
        <f>IF(AND(G1510&gt;=Assumptions!$B$7,MOD(G1510,Assumptions!$B$7)=0),1,0)</f>
        <v>0</v>
      </c>
      <c r="P1510" s="13">
        <f t="shared" si="117"/>
        <v>0</v>
      </c>
      <c r="Q1510" s="13">
        <f t="shared" si="118"/>
        <v>1</v>
      </c>
      <c r="R1510" s="13">
        <f>L1510*Assumptions!$B$11+M1510*Assumptions!$B$12+N1510*Assumptions!$B$13+O1510*Assumptions!$B$14+P1510*Assumptions!$B$15+Q1510*Assumptions!$B$16</f>
        <v>1</v>
      </c>
      <c r="S1510" s="13" t="str">
        <f>IF(R1510&gt;=Assumptions!$B$20,"High",IF(R1510&gt;=Assumptions!$B$21,"Medium",IF(R1510&gt;=1,"Low","Clear")))</f>
        <v>Low</v>
      </c>
      <c r="T1510" s="13" t="str">
        <f t="shared" si="119"/>
        <v xml:space="preserve">Weekend payment; </v>
      </c>
    </row>
    <row r="1511" spans="1:20" x14ac:dyDescent="0.35">
      <c r="A1511" s="13" t="s">
        <v>6032</v>
      </c>
      <c r="B1511" s="13" t="s">
        <v>182</v>
      </c>
      <c r="C1511" s="13" t="s">
        <v>183</v>
      </c>
      <c r="D1511" s="13" t="s">
        <v>6033</v>
      </c>
      <c r="E1511" s="14">
        <v>46108</v>
      </c>
      <c r="F1511" s="14">
        <v>46139</v>
      </c>
      <c r="G1511" s="15">
        <v>696107.33</v>
      </c>
      <c r="H1511" s="13" t="s">
        <v>6034</v>
      </c>
      <c r="I1511" s="13" t="s">
        <v>6035</v>
      </c>
      <c r="J1511" s="13" t="s">
        <v>91</v>
      </c>
      <c r="K1511" s="13">
        <f t="shared" si="115"/>
        <v>6</v>
      </c>
      <c r="L1511" s="13">
        <f t="shared" si="116"/>
        <v>0</v>
      </c>
      <c r="M1511" s="13">
        <f>IF(AND(L1511=0,COUNTIFS($B$2:$B$1534,B1511,$G$2:$G$1534,G1511,$E$2:$E$1534,"&gt;="&amp;(E1511-Assumptions!$B$5),$E$2:$E$1534,"&lt;="&amp;(E1511+Assumptions!$B$5))&gt;1),1,0)</f>
        <v>0</v>
      </c>
      <c r="N1511" s="13">
        <f>IF(AND(G1511&gt;=Assumptions!$B$4*(1-Assumptions!$B$6),G1511&lt;Assumptions!$B$4),1,0)</f>
        <v>0</v>
      </c>
      <c r="O1511" s="13">
        <f>IF(AND(G1511&gt;=Assumptions!$B$7,MOD(G1511,Assumptions!$B$7)=0),1,0)</f>
        <v>0</v>
      </c>
      <c r="P1511" s="13">
        <f t="shared" si="117"/>
        <v>0</v>
      </c>
      <c r="Q1511" s="13">
        <f t="shared" si="118"/>
        <v>0</v>
      </c>
      <c r="R1511" s="13">
        <f>L1511*Assumptions!$B$11+M1511*Assumptions!$B$12+N1511*Assumptions!$B$13+O1511*Assumptions!$B$14+P1511*Assumptions!$B$15+Q1511*Assumptions!$B$16</f>
        <v>0</v>
      </c>
      <c r="S1511" s="13" t="str">
        <f>IF(R1511&gt;=Assumptions!$B$20,"High",IF(R1511&gt;=Assumptions!$B$21,"Medium",IF(R1511&gt;=1,"Low","Clear")))</f>
        <v>Clear</v>
      </c>
      <c r="T1511" s="13" t="str">
        <f t="shared" si="119"/>
        <v/>
      </c>
    </row>
    <row r="1512" spans="1:20" x14ac:dyDescent="0.35">
      <c r="A1512" s="13" t="s">
        <v>6036</v>
      </c>
      <c r="B1512" s="13" t="s">
        <v>182</v>
      </c>
      <c r="C1512" s="13" t="s">
        <v>183</v>
      </c>
      <c r="D1512" s="13" t="s">
        <v>6037</v>
      </c>
      <c r="E1512" s="14">
        <v>46102</v>
      </c>
      <c r="F1512" s="14">
        <v>46139</v>
      </c>
      <c r="G1512" s="15">
        <v>69721.97</v>
      </c>
      <c r="H1512" s="13" t="s">
        <v>6038</v>
      </c>
      <c r="I1512" s="13" t="s">
        <v>6039</v>
      </c>
      <c r="J1512" s="13" t="s">
        <v>98</v>
      </c>
      <c r="K1512" s="13">
        <f t="shared" si="115"/>
        <v>6</v>
      </c>
      <c r="L1512" s="13">
        <f t="shared" si="116"/>
        <v>0</v>
      </c>
      <c r="M1512" s="13">
        <f>IF(AND(L1512=0,COUNTIFS($B$2:$B$1534,B1512,$G$2:$G$1534,G1512,$E$2:$E$1534,"&gt;="&amp;(E1512-Assumptions!$B$5),$E$2:$E$1534,"&lt;="&amp;(E1512+Assumptions!$B$5))&gt;1),1,0)</f>
        <v>0</v>
      </c>
      <c r="N1512" s="13">
        <f>IF(AND(G1512&gt;=Assumptions!$B$4*(1-Assumptions!$B$6),G1512&lt;Assumptions!$B$4),1,0)</f>
        <v>0</v>
      </c>
      <c r="O1512" s="13">
        <f>IF(AND(G1512&gt;=Assumptions!$B$7,MOD(G1512,Assumptions!$B$7)=0),1,0)</f>
        <v>0</v>
      </c>
      <c r="P1512" s="13">
        <f t="shared" si="117"/>
        <v>0</v>
      </c>
      <c r="Q1512" s="13">
        <f t="shared" si="118"/>
        <v>0</v>
      </c>
      <c r="R1512" s="13">
        <f>L1512*Assumptions!$B$11+M1512*Assumptions!$B$12+N1512*Assumptions!$B$13+O1512*Assumptions!$B$14+P1512*Assumptions!$B$15+Q1512*Assumptions!$B$16</f>
        <v>0</v>
      </c>
      <c r="S1512" s="13" t="str">
        <f>IF(R1512&gt;=Assumptions!$B$20,"High",IF(R1512&gt;=Assumptions!$B$21,"Medium",IF(R1512&gt;=1,"Low","Clear")))</f>
        <v>Clear</v>
      </c>
      <c r="T1512" s="13" t="str">
        <f t="shared" si="119"/>
        <v/>
      </c>
    </row>
    <row r="1513" spans="1:20" x14ac:dyDescent="0.35">
      <c r="A1513" s="13" t="s">
        <v>6040</v>
      </c>
      <c r="B1513" s="13" t="s">
        <v>391</v>
      </c>
      <c r="C1513" s="13" t="s">
        <v>392</v>
      </c>
      <c r="D1513" s="13" t="s">
        <v>6041</v>
      </c>
      <c r="E1513" s="14">
        <v>46098</v>
      </c>
      <c r="F1513" s="14">
        <v>46139</v>
      </c>
      <c r="G1513" s="15">
        <v>41456.400000000001</v>
      </c>
      <c r="H1513" s="13" t="s">
        <v>6042</v>
      </c>
      <c r="I1513" s="13" t="s">
        <v>6043</v>
      </c>
      <c r="J1513" s="13" t="s">
        <v>91</v>
      </c>
      <c r="K1513" s="13">
        <f t="shared" si="115"/>
        <v>4</v>
      </c>
      <c r="L1513" s="13">
        <f t="shared" si="116"/>
        <v>0</v>
      </c>
      <c r="M1513" s="13">
        <f>IF(AND(L1513=0,COUNTIFS($B$2:$B$1534,B1513,$G$2:$G$1534,G1513,$E$2:$E$1534,"&gt;="&amp;(E1513-Assumptions!$B$5),$E$2:$E$1534,"&lt;="&amp;(E1513+Assumptions!$B$5))&gt;1),1,0)</f>
        <v>0</v>
      </c>
      <c r="N1513" s="13">
        <f>IF(AND(G1513&gt;=Assumptions!$B$4*(1-Assumptions!$B$6),G1513&lt;Assumptions!$B$4),1,0)</f>
        <v>0</v>
      </c>
      <c r="O1513" s="13">
        <f>IF(AND(G1513&gt;=Assumptions!$B$7,MOD(G1513,Assumptions!$B$7)=0),1,0)</f>
        <v>0</v>
      </c>
      <c r="P1513" s="13">
        <f t="shared" si="117"/>
        <v>0</v>
      </c>
      <c r="Q1513" s="13">
        <f t="shared" si="118"/>
        <v>0</v>
      </c>
      <c r="R1513" s="13">
        <f>L1513*Assumptions!$B$11+M1513*Assumptions!$B$12+N1513*Assumptions!$B$13+O1513*Assumptions!$B$14+P1513*Assumptions!$B$15+Q1513*Assumptions!$B$16</f>
        <v>0</v>
      </c>
      <c r="S1513" s="13" t="str">
        <f>IF(R1513&gt;=Assumptions!$B$20,"High",IF(R1513&gt;=Assumptions!$B$21,"Medium",IF(R1513&gt;=1,"Low","Clear")))</f>
        <v>Clear</v>
      </c>
      <c r="T1513" s="13" t="str">
        <f t="shared" si="119"/>
        <v/>
      </c>
    </row>
    <row r="1514" spans="1:20" x14ac:dyDescent="0.35">
      <c r="A1514" s="13" t="s">
        <v>6044</v>
      </c>
      <c r="B1514" s="13" t="s">
        <v>252</v>
      </c>
      <c r="C1514" s="13" t="s">
        <v>253</v>
      </c>
      <c r="D1514" s="13" t="s">
        <v>6045</v>
      </c>
      <c r="E1514" s="14">
        <v>46108</v>
      </c>
      <c r="F1514" s="14">
        <v>46139</v>
      </c>
      <c r="G1514" s="15">
        <v>52753.2</v>
      </c>
      <c r="H1514" s="13" t="s">
        <v>6046</v>
      </c>
      <c r="I1514" s="13" t="s">
        <v>6047</v>
      </c>
      <c r="J1514" s="13" t="s">
        <v>170</v>
      </c>
      <c r="K1514" s="13">
        <f t="shared" si="115"/>
        <v>5</v>
      </c>
      <c r="L1514" s="13">
        <f t="shared" si="116"/>
        <v>0</v>
      </c>
      <c r="M1514" s="13">
        <f>IF(AND(L1514=0,COUNTIFS($B$2:$B$1534,B1514,$G$2:$G$1534,G1514,$E$2:$E$1534,"&gt;="&amp;(E1514-Assumptions!$B$5),$E$2:$E$1534,"&lt;="&amp;(E1514+Assumptions!$B$5))&gt;1),1,0)</f>
        <v>0</v>
      </c>
      <c r="N1514" s="13">
        <f>IF(AND(G1514&gt;=Assumptions!$B$4*(1-Assumptions!$B$6),G1514&lt;Assumptions!$B$4),1,0)</f>
        <v>0</v>
      </c>
      <c r="O1514" s="13">
        <f>IF(AND(G1514&gt;=Assumptions!$B$7,MOD(G1514,Assumptions!$B$7)=0),1,0)</f>
        <v>0</v>
      </c>
      <c r="P1514" s="13">
        <f t="shared" si="117"/>
        <v>0</v>
      </c>
      <c r="Q1514" s="13">
        <f t="shared" si="118"/>
        <v>0</v>
      </c>
      <c r="R1514" s="13">
        <f>L1514*Assumptions!$B$11+M1514*Assumptions!$B$12+N1514*Assumptions!$B$13+O1514*Assumptions!$B$14+P1514*Assumptions!$B$15+Q1514*Assumptions!$B$16</f>
        <v>0</v>
      </c>
      <c r="S1514" s="13" t="str">
        <f>IF(R1514&gt;=Assumptions!$B$20,"High",IF(R1514&gt;=Assumptions!$B$21,"Medium",IF(R1514&gt;=1,"Low","Clear")))</f>
        <v>Clear</v>
      </c>
      <c r="T1514" s="13" t="str">
        <f t="shared" si="119"/>
        <v/>
      </c>
    </row>
    <row r="1515" spans="1:20" x14ac:dyDescent="0.35">
      <c r="A1515" s="13" t="s">
        <v>6048</v>
      </c>
      <c r="B1515" s="13" t="s">
        <v>113</v>
      </c>
      <c r="C1515" s="13" t="s">
        <v>114</v>
      </c>
      <c r="D1515" s="13" t="s">
        <v>6049</v>
      </c>
      <c r="E1515" s="14">
        <v>46109</v>
      </c>
      <c r="F1515" s="14">
        <v>46139</v>
      </c>
      <c r="G1515" s="15">
        <v>134747.29</v>
      </c>
      <c r="H1515" s="13" t="s">
        <v>6050</v>
      </c>
      <c r="I1515" s="13" t="s">
        <v>6051</v>
      </c>
      <c r="J1515" s="13" t="s">
        <v>111</v>
      </c>
      <c r="K1515" s="13">
        <f t="shared" si="115"/>
        <v>1</v>
      </c>
      <c r="L1515" s="13">
        <f t="shared" si="116"/>
        <v>0</v>
      </c>
      <c r="M1515" s="13">
        <f>IF(AND(L1515=0,COUNTIFS($B$2:$B$1534,B1515,$G$2:$G$1534,G1515,$E$2:$E$1534,"&gt;="&amp;(E1515-Assumptions!$B$5),$E$2:$E$1534,"&lt;="&amp;(E1515+Assumptions!$B$5))&gt;1),1,0)</f>
        <v>0</v>
      </c>
      <c r="N1515" s="13">
        <f>IF(AND(G1515&gt;=Assumptions!$B$4*(1-Assumptions!$B$6),G1515&lt;Assumptions!$B$4),1,0)</f>
        <v>0</v>
      </c>
      <c r="O1515" s="13">
        <f>IF(AND(G1515&gt;=Assumptions!$B$7,MOD(G1515,Assumptions!$B$7)=0),1,0)</f>
        <v>0</v>
      </c>
      <c r="P1515" s="13">
        <f t="shared" si="117"/>
        <v>0</v>
      </c>
      <c r="Q1515" s="13">
        <f t="shared" si="118"/>
        <v>0</v>
      </c>
      <c r="R1515" s="13">
        <f>L1515*Assumptions!$B$11+M1515*Assumptions!$B$12+N1515*Assumptions!$B$13+O1515*Assumptions!$B$14+P1515*Assumptions!$B$15+Q1515*Assumptions!$B$16</f>
        <v>0</v>
      </c>
      <c r="S1515" s="13" t="str">
        <f>IF(R1515&gt;=Assumptions!$B$20,"High",IF(R1515&gt;=Assumptions!$B$21,"Medium",IF(R1515&gt;=1,"Low","Clear")))</f>
        <v>Clear</v>
      </c>
      <c r="T1515" s="13" t="str">
        <f t="shared" si="119"/>
        <v/>
      </c>
    </row>
    <row r="1516" spans="1:20" x14ac:dyDescent="0.35">
      <c r="A1516" s="13" t="s">
        <v>6052</v>
      </c>
      <c r="B1516" s="13" t="s">
        <v>161</v>
      </c>
      <c r="C1516" s="13" t="s">
        <v>162</v>
      </c>
      <c r="D1516" s="13" t="s">
        <v>6053</v>
      </c>
      <c r="E1516" s="14">
        <v>46104</v>
      </c>
      <c r="F1516" s="14">
        <v>46139</v>
      </c>
      <c r="G1516" s="15">
        <v>78561.100000000006</v>
      </c>
      <c r="H1516" s="13" t="s">
        <v>6054</v>
      </c>
      <c r="I1516" s="13" t="s">
        <v>6055</v>
      </c>
      <c r="J1516" s="13" t="s">
        <v>136</v>
      </c>
      <c r="K1516" s="13">
        <f t="shared" si="115"/>
        <v>7</v>
      </c>
      <c r="L1516" s="13">
        <f t="shared" si="116"/>
        <v>0</v>
      </c>
      <c r="M1516" s="13">
        <f>IF(AND(L1516=0,COUNTIFS($B$2:$B$1534,B1516,$G$2:$G$1534,G1516,$E$2:$E$1534,"&gt;="&amp;(E1516-Assumptions!$B$5),$E$2:$E$1534,"&lt;="&amp;(E1516+Assumptions!$B$5))&gt;1),1,0)</f>
        <v>0</v>
      </c>
      <c r="N1516" s="13">
        <f>IF(AND(G1516&gt;=Assumptions!$B$4*(1-Assumptions!$B$6),G1516&lt;Assumptions!$B$4),1,0)</f>
        <v>0</v>
      </c>
      <c r="O1516" s="13">
        <f>IF(AND(G1516&gt;=Assumptions!$B$7,MOD(G1516,Assumptions!$B$7)=0),1,0)</f>
        <v>0</v>
      </c>
      <c r="P1516" s="13">
        <f t="shared" si="117"/>
        <v>0</v>
      </c>
      <c r="Q1516" s="13">
        <f t="shared" si="118"/>
        <v>0</v>
      </c>
      <c r="R1516" s="13">
        <f>L1516*Assumptions!$B$11+M1516*Assumptions!$B$12+N1516*Assumptions!$B$13+O1516*Assumptions!$B$14+P1516*Assumptions!$B$15+Q1516*Assumptions!$B$16</f>
        <v>0</v>
      </c>
      <c r="S1516" s="13" t="str">
        <f>IF(R1516&gt;=Assumptions!$B$20,"High",IF(R1516&gt;=Assumptions!$B$21,"Medium",IF(R1516&gt;=1,"Low","Clear")))</f>
        <v>Clear</v>
      </c>
      <c r="T1516" s="13" t="str">
        <f t="shared" si="119"/>
        <v/>
      </c>
    </row>
    <row r="1517" spans="1:20" x14ac:dyDescent="0.35">
      <c r="A1517" s="13" t="s">
        <v>6056</v>
      </c>
      <c r="B1517" s="13" t="s">
        <v>138</v>
      </c>
      <c r="C1517" s="13" t="s">
        <v>139</v>
      </c>
      <c r="D1517" s="13" t="s">
        <v>6057</v>
      </c>
      <c r="E1517" s="14">
        <v>46105</v>
      </c>
      <c r="F1517" s="14">
        <v>46139</v>
      </c>
      <c r="G1517" s="15">
        <v>262121.77</v>
      </c>
      <c r="H1517" s="13" t="s">
        <v>6058</v>
      </c>
      <c r="I1517" s="13" t="s">
        <v>6059</v>
      </c>
      <c r="J1517" s="13" t="s">
        <v>111</v>
      </c>
      <c r="K1517" s="13">
        <f t="shared" si="115"/>
        <v>2</v>
      </c>
      <c r="L1517" s="13">
        <f t="shared" si="116"/>
        <v>0</v>
      </c>
      <c r="M1517" s="13">
        <f>IF(AND(L1517=0,COUNTIFS($B$2:$B$1534,B1517,$G$2:$G$1534,G1517,$E$2:$E$1534,"&gt;="&amp;(E1517-Assumptions!$B$5),$E$2:$E$1534,"&lt;="&amp;(E1517+Assumptions!$B$5))&gt;1),1,0)</f>
        <v>0</v>
      </c>
      <c r="N1517" s="13">
        <f>IF(AND(G1517&gt;=Assumptions!$B$4*(1-Assumptions!$B$6),G1517&lt;Assumptions!$B$4),1,0)</f>
        <v>0</v>
      </c>
      <c r="O1517" s="13">
        <f>IF(AND(G1517&gt;=Assumptions!$B$7,MOD(G1517,Assumptions!$B$7)=0),1,0)</f>
        <v>0</v>
      </c>
      <c r="P1517" s="13">
        <f t="shared" si="117"/>
        <v>0</v>
      </c>
      <c r="Q1517" s="13">
        <f t="shared" si="118"/>
        <v>0</v>
      </c>
      <c r="R1517" s="13">
        <f>L1517*Assumptions!$B$11+M1517*Assumptions!$B$12+N1517*Assumptions!$B$13+O1517*Assumptions!$B$14+P1517*Assumptions!$B$15+Q1517*Assumptions!$B$16</f>
        <v>0</v>
      </c>
      <c r="S1517" s="13" t="str">
        <f>IF(R1517&gt;=Assumptions!$B$20,"High",IF(R1517&gt;=Assumptions!$B$21,"Medium",IF(R1517&gt;=1,"Low","Clear")))</f>
        <v>Clear</v>
      </c>
      <c r="T1517" s="13" t="str">
        <f t="shared" si="119"/>
        <v/>
      </c>
    </row>
    <row r="1518" spans="1:20" x14ac:dyDescent="0.35">
      <c r="A1518" s="13" t="s">
        <v>6060</v>
      </c>
      <c r="B1518" s="13" t="s">
        <v>357</v>
      </c>
      <c r="C1518" s="13" t="s">
        <v>358</v>
      </c>
      <c r="D1518" s="13" t="s">
        <v>6061</v>
      </c>
      <c r="E1518" s="14">
        <v>46101</v>
      </c>
      <c r="F1518" s="14">
        <v>46139</v>
      </c>
      <c r="G1518" s="15">
        <v>345310.07</v>
      </c>
      <c r="H1518" s="13" t="s">
        <v>6062</v>
      </c>
      <c r="I1518" s="13" t="s">
        <v>6063</v>
      </c>
      <c r="J1518" s="13" t="s">
        <v>136</v>
      </c>
      <c r="K1518" s="13">
        <f t="shared" si="115"/>
        <v>3</v>
      </c>
      <c r="L1518" s="13">
        <f t="shared" si="116"/>
        <v>0</v>
      </c>
      <c r="M1518" s="13">
        <f>IF(AND(L1518=0,COUNTIFS($B$2:$B$1534,B1518,$G$2:$G$1534,G1518,$E$2:$E$1534,"&gt;="&amp;(E1518-Assumptions!$B$5),$E$2:$E$1534,"&lt;="&amp;(E1518+Assumptions!$B$5))&gt;1),1,0)</f>
        <v>0</v>
      </c>
      <c r="N1518" s="13">
        <f>IF(AND(G1518&gt;=Assumptions!$B$4*(1-Assumptions!$B$6),G1518&lt;Assumptions!$B$4),1,0)</f>
        <v>0</v>
      </c>
      <c r="O1518" s="13">
        <f>IF(AND(G1518&gt;=Assumptions!$B$7,MOD(G1518,Assumptions!$B$7)=0),1,0)</f>
        <v>0</v>
      </c>
      <c r="P1518" s="13">
        <f t="shared" si="117"/>
        <v>0</v>
      </c>
      <c r="Q1518" s="13">
        <f t="shared" si="118"/>
        <v>0</v>
      </c>
      <c r="R1518" s="13">
        <f>L1518*Assumptions!$B$11+M1518*Assumptions!$B$12+N1518*Assumptions!$B$13+O1518*Assumptions!$B$14+P1518*Assumptions!$B$15+Q1518*Assumptions!$B$16</f>
        <v>0</v>
      </c>
      <c r="S1518" s="13" t="str">
        <f>IF(R1518&gt;=Assumptions!$B$20,"High",IF(R1518&gt;=Assumptions!$B$21,"Medium",IF(R1518&gt;=1,"Low","Clear")))</f>
        <v>Clear</v>
      </c>
      <c r="T1518" s="13" t="str">
        <f t="shared" si="119"/>
        <v/>
      </c>
    </row>
    <row r="1519" spans="1:20" x14ac:dyDescent="0.35">
      <c r="A1519" s="13" t="s">
        <v>6064</v>
      </c>
      <c r="B1519" s="13" t="s">
        <v>556</v>
      </c>
      <c r="C1519" s="13" t="s">
        <v>557</v>
      </c>
      <c r="D1519" s="13" t="s">
        <v>6065</v>
      </c>
      <c r="E1519" s="14">
        <v>46104</v>
      </c>
      <c r="F1519" s="14">
        <v>46141</v>
      </c>
      <c r="G1519" s="15">
        <v>2546.36</v>
      </c>
      <c r="H1519" s="13" t="s">
        <v>6066</v>
      </c>
      <c r="I1519" s="13" t="s">
        <v>6067</v>
      </c>
      <c r="J1519" s="13" t="s">
        <v>98</v>
      </c>
      <c r="K1519" s="13">
        <f t="shared" si="115"/>
        <v>2</v>
      </c>
      <c r="L1519" s="13">
        <f t="shared" si="116"/>
        <v>0</v>
      </c>
      <c r="M1519" s="13">
        <f>IF(AND(L1519=0,COUNTIFS($B$2:$B$1534,B1519,$G$2:$G$1534,G1519,$E$2:$E$1534,"&gt;="&amp;(E1519-Assumptions!$B$5),$E$2:$E$1534,"&lt;="&amp;(E1519+Assumptions!$B$5))&gt;1),1,0)</f>
        <v>0</v>
      </c>
      <c r="N1519" s="13">
        <f>IF(AND(G1519&gt;=Assumptions!$B$4*(1-Assumptions!$B$6),G1519&lt;Assumptions!$B$4),1,0)</f>
        <v>0</v>
      </c>
      <c r="O1519" s="13">
        <f>IF(AND(G1519&gt;=Assumptions!$B$7,MOD(G1519,Assumptions!$B$7)=0),1,0)</f>
        <v>0</v>
      </c>
      <c r="P1519" s="13">
        <f t="shared" si="117"/>
        <v>0</v>
      </c>
      <c r="Q1519" s="13">
        <f t="shared" si="118"/>
        <v>0</v>
      </c>
      <c r="R1519" s="13">
        <f>L1519*Assumptions!$B$11+M1519*Assumptions!$B$12+N1519*Assumptions!$B$13+O1519*Assumptions!$B$14+P1519*Assumptions!$B$15+Q1519*Assumptions!$B$16</f>
        <v>0</v>
      </c>
      <c r="S1519" s="13" t="str">
        <f>IF(R1519&gt;=Assumptions!$B$20,"High",IF(R1519&gt;=Assumptions!$B$21,"Medium",IF(R1519&gt;=1,"Low","Clear")))</f>
        <v>Clear</v>
      </c>
      <c r="T1519" s="13" t="str">
        <f t="shared" si="119"/>
        <v/>
      </c>
    </row>
    <row r="1520" spans="1:20" x14ac:dyDescent="0.35">
      <c r="A1520" s="13" t="s">
        <v>6068</v>
      </c>
      <c r="B1520" s="13" t="s">
        <v>293</v>
      </c>
      <c r="C1520" s="13" t="s">
        <v>294</v>
      </c>
      <c r="D1520" s="13" t="s">
        <v>6069</v>
      </c>
      <c r="E1520" s="14">
        <v>46103</v>
      </c>
      <c r="F1520" s="14">
        <v>46142</v>
      </c>
      <c r="G1520" s="15">
        <v>177123.36</v>
      </c>
      <c r="H1520" s="13" t="s">
        <v>6070</v>
      </c>
      <c r="I1520" s="13" t="s">
        <v>6071</v>
      </c>
      <c r="J1520" s="13" t="s">
        <v>170</v>
      </c>
      <c r="K1520" s="13">
        <f t="shared" si="115"/>
        <v>1</v>
      </c>
      <c r="L1520" s="13">
        <f t="shared" si="116"/>
        <v>0</v>
      </c>
      <c r="M1520" s="13">
        <f>IF(AND(L1520=0,COUNTIFS($B$2:$B$1534,B1520,$G$2:$G$1534,G1520,$E$2:$E$1534,"&gt;="&amp;(E1520-Assumptions!$B$5),$E$2:$E$1534,"&lt;="&amp;(E1520+Assumptions!$B$5))&gt;1),1,0)</f>
        <v>0</v>
      </c>
      <c r="N1520" s="13">
        <f>IF(AND(G1520&gt;=Assumptions!$B$4*(1-Assumptions!$B$6),G1520&lt;Assumptions!$B$4),1,0)</f>
        <v>0</v>
      </c>
      <c r="O1520" s="13">
        <f>IF(AND(G1520&gt;=Assumptions!$B$7,MOD(G1520,Assumptions!$B$7)=0),1,0)</f>
        <v>0</v>
      </c>
      <c r="P1520" s="13">
        <f t="shared" si="117"/>
        <v>0</v>
      </c>
      <c r="Q1520" s="13">
        <f t="shared" si="118"/>
        <v>0</v>
      </c>
      <c r="R1520" s="13">
        <f>L1520*Assumptions!$B$11+M1520*Assumptions!$B$12+N1520*Assumptions!$B$13+O1520*Assumptions!$B$14+P1520*Assumptions!$B$15+Q1520*Assumptions!$B$16</f>
        <v>0</v>
      </c>
      <c r="S1520" s="13" t="str">
        <f>IF(R1520&gt;=Assumptions!$B$20,"High",IF(R1520&gt;=Assumptions!$B$21,"Medium",IF(R1520&gt;=1,"Low","Clear")))</f>
        <v>Clear</v>
      </c>
      <c r="T1520" s="13" t="str">
        <f t="shared" si="119"/>
        <v/>
      </c>
    </row>
    <row r="1521" spans="1:20" x14ac:dyDescent="0.35">
      <c r="A1521" s="13" t="s">
        <v>6072</v>
      </c>
      <c r="B1521" s="13" t="s">
        <v>228</v>
      </c>
      <c r="C1521" s="13" t="s">
        <v>229</v>
      </c>
      <c r="D1521" s="13" t="s">
        <v>6073</v>
      </c>
      <c r="E1521" s="14">
        <v>46108</v>
      </c>
      <c r="F1521" s="14">
        <v>46142</v>
      </c>
      <c r="G1521" s="15">
        <v>49912.6</v>
      </c>
      <c r="H1521" s="13" t="s">
        <v>6074</v>
      </c>
      <c r="I1521" s="13" t="s">
        <v>6075</v>
      </c>
      <c r="J1521" s="13" t="s">
        <v>98</v>
      </c>
      <c r="K1521" s="13">
        <f t="shared" si="115"/>
        <v>4</v>
      </c>
      <c r="L1521" s="13">
        <f t="shared" si="116"/>
        <v>0</v>
      </c>
      <c r="M1521" s="13">
        <f>IF(AND(L1521=0,COUNTIFS($B$2:$B$1534,B1521,$G$2:$G$1534,G1521,$E$2:$E$1534,"&gt;="&amp;(E1521-Assumptions!$B$5),$E$2:$E$1534,"&lt;="&amp;(E1521+Assumptions!$B$5))&gt;1),1,0)</f>
        <v>0</v>
      </c>
      <c r="N1521" s="13">
        <f>IF(AND(G1521&gt;=Assumptions!$B$4*(1-Assumptions!$B$6),G1521&lt;Assumptions!$B$4),1,0)</f>
        <v>1</v>
      </c>
      <c r="O1521" s="13">
        <f>IF(AND(G1521&gt;=Assumptions!$B$7,MOD(G1521,Assumptions!$B$7)=0),1,0)</f>
        <v>0</v>
      </c>
      <c r="P1521" s="13">
        <f t="shared" si="117"/>
        <v>0</v>
      </c>
      <c r="Q1521" s="13">
        <f t="shared" si="118"/>
        <v>0</v>
      </c>
      <c r="R1521" s="13">
        <f>L1521*Assumptions!$B$11+M1521*Assumptions!$B$12+N1521*Assumptions!$B$13+O1521*Assumptions!$B$14+P1521*Assumptions!$B$15+Q1521*Assumptions!$B$16</f>
        <v>3</v>
      </c>
      <c r="S1521" s="13" t="str">
        <f>IF(R1521&gt;=Assumptions!$B$20,"High",IF(R1521&gt;=Assumptions!$B$21,"Medium",IF(R1521&gt;=1,"Low","Clear")))</f>
        <v>Medium</v>
      </c>
      <c r="T1521" s="13" t="str">
        <f t="shared" si="119"/>
        <v xml:space="preserve">Just below limit; </v>
      </c>
    </row>
    <row r="1522" spans="1:20" x14ac:dyDescent="0.35">
      <c r="A1522" s="13" t="s">
        <v>6076</v>
      </c>
      <c r="B1522" s="13" t="s">
        <v>339</v>
      </c>
      <c r="C1522" s="13" t="s">
        <v>340</v>
      </c>
      <c r="D1522" s="13" t="s">
        <v>6077</v>
      </c>
      <c r="E1522" s="14">
        <v>46110</v>
      </c>
      <c r="F1522" s="14">
        <v>46142</v>
      </c>
      <c r="G1522" s="15">
        <v>151572.88</v>
      </c>
      <c r="H1522" s="13" t="s">
        <v>6078</v>
      </c>
      <c r="I1522" s="13" t="s">
        <v>6079</v>
      </c>
      <c r="J1522" s="13" t="s">
        <v>143</v>
      </c>
      <c r="K1522" s="13">
        <f t="shared" si="115"/>
        <v>1</v>
      </c>
      <c r="L1522" s="13">
        <f t="shared" si="116"/>
        <v>0</v>
      </c>
      <c r="M1522" s="13">
        <f>IF(AND(L1522=0,COUNTIFS($B$2:$B$1534,B1522,$G$2:$G$1534,G1522,$E$2:$E$1534,"&gt;="&amp;(E1522-Assumptions!$B$5),$E$2:$E$1534,"&lt;="&amp;(E1522+Assumptions!$B$5))&gt;1),1,0)</f>
        <v>0</v>
      </c>
      <c r="N1522" s="13">
        <f>IF(AND(G1522&gt;=Assumptions!$B$4*(1-Assumptions!$B$6),G1522&lt;Assumptions!$B$4),1,0)</f>
        <v>0</v>
      </c>
      <c r="O1522" s="13">
        <f>IF(AND(G1522&gt;=Assumptions!$B$7,MOD(G1522,Assumptions!$B$7)=0),1,0)</f>
        <v>0</v>
      </c>
      <c r="P1522" s="13">
        <f t="shared" si="117"/>
        <v>0</v>
      </c>
      <c r="Q1522" s="13">
        <f t="shared" si="118"/>
        <v>0</v>
      </c>
      <c r="R1522" s="13">
        <f>L1522*Assumptions!$B$11+M1522*Assumptions!$B$12+N1522*Assumptions!$B$13+O1522*Assumptions!$B$14+P1522*Assumptions!$B$15+Q1522*Assumptions!$B$16</f>
        <v>0</v>
      </c>
      <c r="S1522" s="13" t="str">
        <f>IF(R1522&gt;=Assumptions!$B$20,"High",IF(R1522&gt;=Assumptions!$B$21,"Medium",IF(R1522&gt;=1,"Low","Clear")))</f>
        <v>Clear</v>
      </c>
      <c r="T1522" s="13" t="str">
        <f t="shared" si="119"/>
        <v/>
      </c>
    </row>
    <row r="1523" spans="1:20" x14ac:dyDescent="0.35">
      <c r="A1523" s="13" t="s">
        <v>6080</v>
      </c>
      <c r="B1523" s="13" t="s">
        <v>93</v>
      </c>
      <c r="C1523" s="13" t="s">
        <v>94</v>
      </c>
      <c r="D1523" s="13" t="s">
        <v>6081</v>
      </c>
      <c r="E1523" s="14">
        <v>46104</v>
      </c>
      <c r="F1523" s="14">
        <v>46143</v>
      </c>
      <c r="G1523" s="15">
        <v>6513.95</v>
      </c>
      <c r="H1523" s="13" t="s">
        <v>6082</v>
      </c>
      <c r="I1523" s="13" t="s">
        <v>6083</v>
      </c>
      <c r="J1523" s="13" t="s">
        <v>111</v>
      </c>
      <c r="K1523" s="13">
        <f t="shared" si="115"/>
        <v>6</v>
      </c>
      <c r="L1523" s="13">
        <f t="shared" si="116"/>
        <v>0</v>
      </c>
      <c r="M1523" s="13">
        <f>IF(AND(L1523=0,COUNTIFS($B$2:$B$1534,B1523,$G$2:$G$1534,G1523,$E$2:$E$1534,"&gt;="&amp;(E1523-Assumptions!$B$5),$E$2:$E$1534,"&lt;="&amp;(E1523+Assumptions!$B$5))&gt;1),1,0)</f>
        <v>0</v>
      </c>
      <c r="N1523" s="13">
        <f>IF(AND(G1523&gt;=Assumptions!$B$4*(1-Assumptions!$B$6),G1523&lt;Assumptions!$B$4),1,0)</f>
        <v>0</v>
      </c>
      <c r="O1523" s="13">
        <f>IF(AND(G1523&gt;=Assumptions!$B$7,MOD(G1523,Assumptions!$B$7)=0),1,0)</f>
        <v>0</v>
      </c>
      <c r="P1523" s="13">
        <f t="shared" si="117"/>
        <v>0</v>
      </c>
      <c r="Q1523" s="13">
        <f t="shared" si="118"/>
        <v>0</v>
      </c>
      <c r="R1523" s="13">
        <f>L1523*Assumptions!$B$11+M1523*Assumptions!$B$12+N1523*Assumptions!$B$13+O1523*Assumptions!$B$14+P1523*Assumptions!$B$15+Q1523*Assumptions!$B$16</f>
        <v>0</v>
      </c>
      <c r="S1523" s="13" t="str">
        <f>IF(R1523&gt;=Assumptions!$B$20,"High",IF(R1523&gt;=Assumptions!$B$21,"Medium",IF(R1523&gt;=1,"Low","Clear")))</f>
        <v>Clear</v>
      </c>
      <c r="T1523" s="13" t="str">
        <f t="shared" si="119"/>
        <v/>
      </c>
    </row>
    <row r="1524" spans="1:20" x14ac:dyDescent="0.35">
      <c r="A1524" s="13" t="s">
        <v>6084</v>
      </c>
      <c r="B1524" s="13" t="s">
        <v>466</v>
      </c>
      <c r="C1524" s="13" t="s">
        <v>467</v>
      </c>
      <c r="D1524" s="13" t="s">
        <v>6085</v>
      </c>
      <c r="E1524" s="14">
        <v>46103</v>
      </c>
      <c r="F1524" s="14">
        <v>46143</v>
      </c>
      <c r="G1524" s="15">
        <v>29718.16</v>
      </c>
      <c r="H1524" s="13" t="s">
        <v>6086</v>
      </c>
      <c r="I1524" s="13" t="s">
        <v>6087</v>
      </c>
      <c r="J1524" s="13" t="s">
        <v>170</v>
      </c>
      <c r="K1524" s="13">
        <f t="shared" si="115"/>
        <v>2</v>
      </c>
      <c r="L1524" s="13">
        <f t="shared" si="116"/>
        <v>0</v>
      </c>
      <c r="M1524" s="13">
        <f>IF(AND(L1524=0,COUNTIFS($B$2:$B$1534,B1524,$G$2:$G$1534,G1524,$E$2:$E$1534,"&gt;="&amp;(E1524-Assumptions!$B$5),$E$2:$E$1534,"&lt;="&amp;(E1524+Assumptions!$B$5))&gt;1),1,0)</f>
        <v>0</v>
      </c>
      <c r="N1524" s="13">
        <f>IF(AND(G1524&gt;=Assumptions!$B$4*(1-Assumptions!$B$6),G1524&lt;Assumptions!$B$4),1,0)</f>
        <v>0</v>
      </c>
      <c r="O1524" s="13">
        <f>IF(AND(G1524&gt;=Assumptions!$B$7,MOD(G1524,Assumptions!$B$7)=0),1,0)</f>
        <v>0</v>
      </c>
      <c r="P1524" s="13">
        <f t="shared" si="117"/>
        <v>0</v>
      </c>
      <c r="Q1524" s="13">
        <f t="shared" si="118"/>
        <v>0</v>
      </c>
      <c r="R1524" s="13">
        <f>L1524*Assumptions!$B$11+M1524*Assumptions!$B$12+N1524*Assumptions!$B$13+O1524*Assumptions!$B$14+P1524*Assumptions!$B$15+Q1524*Assumptions!$B$16</f>
        <v>0</v>
      </c>
      <c r="S1524" s="13" t="str">
        <f>IF(R1524&gt;=Assumptions!$B$20,"High",IF(R1524&gt;=Assumptions!$B$21,"Medium",IF(R1524&gt;=1,"Low","Clear")))</f>
        <v>Clear</v>
      </c>
      <c r="T1524" s="13" t="str">
        <f t="shared" si="119"/>
        <v/>
      </c>
    </row>
    <row r="1525" spans="1:20" x14ac:dyDescent="0.35">
      <c r="A1525" s="13" t="s">
        <v>6088</v>
      </c>
      <c r="B1525" s="13" t="s">
        <v>176</v>
      </c>
      <c r="C1525" s="13" t="s">
        <v>177</v>
      </c>
      <c r="D1525" s="13" t="s">
        <v>6089</v>
      </c>
      <c r="E1525" s="14">
        <v>46106</v>
      </c>
      <c r="F1525" s="14">
        <v>46146</v>
      </c>
      <c r="G1525" s="15">
        <v>57906.63</v>
      </c>
      <c r="H1525" s="13" t="s">
        <v>6090</v>
      </c>
      <c r="I1525" s="13" t="s">
        <v>6091</v>
      </c>
      <c r="J1525" s="13" t="s">
        <v>98</v>
      </c>
      <c r="K1525" s="13">
        <f t="shared" si="115"/>
        <v>5</v>
      </c>
      <c r="L1525" s="13">
        <f t="shared" si="116"/>
        <v>0</v>
      </c>
      <c r="M1525" s="13">
        <f>IF(AND(L1525=0,COUNTIFS($B$2:$B$1534,B1525,$G$2:$G$1534,G1525,$E$2:$E$1534,"&gt;="&amp;(E1525-Assumptions!$B$5),$E$2:$E$1534,"&lt;="&amp;(E1525+Assumptions!$B$5))&gt;1),1,0)</f>
        <v>0</v>
      </c>
      <c r="N1525" s="13">
        <f>IF(AND(G1525&gt;=Assumptions!$B$4*(1-Assumptions!$B$6),G1525&lt;Assumptions!$B$4),1,0)</f>
        <v>0</v>
      </c>
      <c r="O1525" s="13">
        <f>IF(AND(G1525&gt;=Assumptions!$B$7,MOD(G1525,Assumptions!$B$7)=0),1,0)</f>
        <v>0</v>
      </c>
      <c r="P1525" s="13">
        <f t="shared" si="117"/>
        <v>0</v>
      </c>
      <c r="Q1525" s="13">
        <f t="shared" si="118"/>
        <v>0</v>
      </c>
      <c r="R1525" s="13">
        <f>L1525*Assumptions!$B$11+M1525*Assumptions!$B$12+N1525*Assumptions!$B$13+O1525*Assumptions!$B$14+P1525*Assumptions!$B$15+Q1525*Assumptions!$B$16</f>
        <v>0</v>
      </c>
      <c r="S1525" s="13" t="str">
        <f>IF(R1525&gt;=Assumptions!$B$20,"High",IF(R1525&gt;=Assumptions!$B$21,"Medium",IF(R1525&gt;=1,"Low","Clear")))</f>
        <v>Clear</v>
      </c>
      <c r="T1525" s="13" t="str">
        <f t="shared" si="119"/>
        <v/>
      </c>
    </row>
    <row r="1526" spans="1:20" x14ac:dyDescent="0.35">
      <c r="A1526" s="13" t="s">
        <v>6092</v>
      </c>
      <c r="B1526" s="13" t="s">
        <v>182</v>
      </c>
      <c r="C1526" s="13" t="s">
        <v>183</v>
      </c>
      <c r="D1526" s="13" t="s">
        <v>6093</v>
      </c>
      <c r="E1526" s="14">
        <v>46105</v>
      </c>
      <c r="F1526" s="14">
        <v>46146</v>
      </c>
      <c r="G1526" s="15">
        <v>30000</v>
      </c>
      <c r="H1526" s="13" t="s">
        <v>6094</v>
      </c>
      <c r="I1526" s="13" t="s">
        <v>6095</v>
      </c>
      <c r="J1526" s="13" t="s">
        <v>136</v>
      </c>
      <c r="K1526" s="13">
        <f t="shared" si="115"/>
        <v>3</v>
      </c>
      <c r="L1526" s="13">
        <f t="shared" si="116"/>
        <v>0</v>
      </c>
      <c r="M1526" s="13">
        <f>IF(AND(L1526=0,COUNTIFS($B$2:$B$1534,B1526,$G$2:$G$1534,G1526,$E$2:$E$1534,"&gt;="&amp;(E1526-Assumptions!$B$5),$E$2:$E$1534,"&lt;="&amp;(E1526+Assumptions!$B$5))&gt;1),1,0)</f>
        <v>0</v>
      </c>
      <c r="N1526" s="13">
        <f>IF(AND(G1526&gt;=Assumptions!$B$4*(1-Assumptions!$B$6),G1526&lt;Assumptions!$B$4),1,0)</f>
        <v>0</v>
      </c>
      <c r="O1526" s="13">
        <f>IF(AND(G1526&gt;=Assumptions!$B$7,MOD(G1526,Assumptions!$B$7)=0),1,0)</f>
        <v>1</v>
      </c>
      <c r="P1526" s="13">
        <f t="shared" si="117"/>
        <v>0</v>
      </c>
      <c r="Q1526" s="13">
        <f t="shared" si="118"/>
        <v>0</v>
      </c>
      <c r="R1526" s="13">
        <f>L1526*Assumptions!$B$11+M1526*Assumptions!$B$12+N1526*Assumptions!$B$13+O1526*Assumptions!$B$14+P1526*Assumptions!$B$15+Q1526*Assumptions!$B$16</f>
        <v>1</v>
      </c>
      <c r="S1526" s="13" t="str">
        <f>IF(R1526&gt;=Assumptions!$B$20,"High",IF(R1526&gt;=Assumptions!$B$21,"Medium",IF(R1526&gt;=1,"Low","Clear")))</f>
        <v>Low</v>
      </c>
      <c r="T1526" s="13" t="str">
        <f t="shared" si="119"/>
        <v xml:space="preserve">Round amount; </v>
      </c>
    </row>
    <row r="1527" spans="1:20" x14ac:dyDescent="0.35">
      <c r="A1527" s="13" t="s">
        <v>6096</v>
      </c>
      <c r="B1527" s="13" t="s">
        <v>234</v>
      </c>
      <c r="C1527" s="13" t="s">
        <v>235</v>
      </c>
      <c r="D1527" s="13" t="s">
        <v>6097</v>
      </c>
      <c r="E1527" s="14">
        <v>46110</v>
      </c>
      <c r="F1527" s="14">
        <v>46146</v>
      </c>
      <c r="G1527" s="15">
        <v>6592.34</v>
      </c>
      <c r="H1527" s="13" t="s">
        <v>6098</v>
      </c>
      <c r="I1527" s="13" t="s">
        <v>6099</v>
      </c>
      <c r="J1527" s="13" t="s">
        <v>170</v>
      </c>
      <c r="K1527" s="13">
        <f t="shared" si="115"/>
        <v>6</v>
      </c>
      <c r="L1527" s="13">
        <f t="shared" si="116"/>
        <v>0</v>
      </c>
      <c r="M1527" s="13">
        <f>IF(AND(L1527=0,COUNTIFS($B$2:$B$1534,B1527,$G$2:$G$1534,G1527,$E$2:$E$1534,"&gt;="&amp;(E1527-Assumptions!$B$5),$E$2:$E$1534,"&lt;="&amp;(E1527+Assumptions!$B$5))&gt;1),1,0)</f>
        <v>0</v>
      </c>
      <c r="N1527" s="13">
        <f>IF(AND(G1527&gt;=Assumptions!$B$4*(1-Assumptions!$B$6),G1527&lt;Assumptions!$B$4),1,0)</f>
        <v>0</v>
      </c>
      <c r="O1527" s="13">
        <f>IF(AND(G1527&gt;=Assumptions!$B$7,MOD(G1527,Assumptions!$B$7)=0),1,0)</f>
        <v>0</v>
      </c>
      <c r="P1527" s="13">
        <f t="shared" si="117"/>
        <v>0</v>
      </c>
      <c r="Q1527" s="13">
        <f t="shared" si="118"/>
        <v>0</v>
      </c>
      <c r="R1527" s="13">
        <f>L1527*Assumptions!$B$11+M1527*Assumptions!$B$12+N1527*Assumptions!$B$13+O1527*Assumptions!$B$14+P1527*Assumptions!$B$15+Q1527*Assumptions!$B$16</f>
        <v>0</v>
      </c>
      <c r="S1527" s="13" t="str">
        <f>IF(R1527&gt;=Assumptions!$B$20,"High",IF(R1527&gt;=Assumptions!$B$21,"Medium",IF(R1527&gt;=1,"Low","Clear")))</f>
        <v>Clear</v>
      </c>
      <c r="T1527" s="13" t="str">
        <f t="shared" si="119"/>
        <v/>
      </c>
    </row>
    <row r="1528" spans="1:20" x14ac:dyDescent="0.35">
      <c r="A1528" s="13" t="s">
        <v>6100</v>
      </c>
      <c r="B1528" s="13" t="s">
        <v>113</v>
      </c>
      <c r="C1528" s="13" t="s">
        <v>114</v>
      </c>
      <c r="D1528" s="13" t="s">
        <v>6101</v>
      </c>
      <c r="E1528" s="14">
        <v>46111</v>
      </c>
      <c r="F1528" s="14">
        <v>46147</v>
      </c>
      <c r="G1528" s="15">
        <v>16223.91</v>
      </c>
      <c r="H1528" s="13" t="s">
        <v>6102</v>
      </c>
      <c r="I1528" s="13" t="s">
        <v>6103</v>
      </c>
      <c r="J1528" s="13" t="s">
        <v>111</v>
      </c>
      <c r="K1528" s="13">
        <f t="shared" si="115"/>
        <v>1</v>
      </c>
      <c r="L1528" s="13">
        <f t="shared" si="116"/>
        <v>0</v>
      </c>
      <c r="M1528" s="13">
        <f>IF(AND(L1528=0,COUNTIFS($B$2:$B$1534,B1528,$G$2:$G$1534,G1528,$E$2:$E$1534,"&gt;="&amp;(E1528-Assumptions!$B$5),$E$2:$E$1534,"&lt;="&amp;(E1528+Assumptions!$B$5))&gt;1),1,0)</f>
        <v>0</v>
      </c>
      <c r="N1528" s="13">
        <f>IF(AND(G1528&gt;=Assumptions!$B$4*(1-Assumptions!$B$6),G1528&lt;Assumptions!$B$4),1,0)</f>
        <v>0</v>
      </c>
      <c r="O1528" s="13">
        <f>IF(AND(G1528&gt;=Assumptions!$B$7,MOD(G1528,Assumptions!$B$7)=0),1,0)</f>
        <v>0</v>
      </c>
      <c r="P1528" s="13">
        <f t="shared" si="117"/>
        <v>0</v>
      </c>
      <c r="Q1528" s="13">
        <f t="shared" si="118"/>
        <v>0</v>
      </c>
      <c r="R1528" s="13">
        <f>L1528*Assumptions!$B$11+M1528*Assumptions!$B$12+N1528*Assumptions!$B$13+O1528*Assumptions!$B$14+P1528*Assumptions!$B$15+Q1528*Assumptions!$B$16</f>
        <v>0</v>
      </c>
      <c r="S1528" s="13" t="str">
        <f>IF(R1528&gt;=Assumptions!$B$20,"High",IF(R1528&gt;=Assumptions!$B$21,"Medium",IF(R1528&gt;=1,"Low","Clear")))</f>
        <v>Clear</v>
      </c>
      <c r="T1528" s="13" t="str">
        <f t="shared" si="119"/>
        <v/>
      </c>
    </row>
    <row r="1529" spans="1:20" x14ac:dyDescent="0.35">
      <c r="A1529" s="13" t="s">
        <v>6104</v>
      </c>
      <c r="B1529" s="13" t="s">
        <v>119</v>
      </c>
      <c r="C1529" s="13" t="s">
        <v>120</v>
      </c>
      <c r="D1529" s="13" t="s">
        <v>6105</v>
      </c>
      <c r="E1529" s="14">
        <v>46111</v>
      </c>
      <c r="F1529" s="14">
        <v>46148</v>
      </c>
      <c r="G1529" s="15">
        <v>28549.5</v>
      </c>
      <c r="H1529" s="13" t="s">
        <v>6106</v>
      </c>
      <c r="I1529" s="13" t="s">
        <v>6107</v>
      </c>
      <c r="J1529" s="13" t="s">
        <v>136</v>
      </c>
      <c r="K1529" s="13">
        <f t="shared" si="115"/>
        <v>2</v>
      </c>
      <c r="L1529" s="13">
        <f t="shared" si="116"/>
        <v>0</v>
      </c>
      <c r="M1529" s="13">
        <f>IF(AND(L1529=0,COUNTIFS($B$2:$B$1534,B1529,$G$2:$G$1534,G1529,$E$2:$E$1534,"&gt;="&amp;(E1529-Assumptions!$B$5),$E$2:$E$1534,"&lt;="&amp;(E1529+Assumptions!$B$5))&gt;1),1,0)</f>
        <v>0</v>
      </c>
      <c r="N1529" s="13">
        <f>IF(AND(G1529&gt;=Assumptions!$B$4*(1-Assumptions!$B$6),G1529&lt;Assumptions!$B$4),1,0)</f>
        <v>0</v>
      </c>
      <c r="O1529" s="13">
        <f>IF(AND(G1529&gt;=Assumptions!$B$7,MOD(G1529,Assumptions!$B$7)=0),1,0)</f>
        <v>0</v>
      </c>
      <c r="P1529" s="13">
        <f t="shared" si="117"/>
        <v>0</v>
      </c>
      <c r="Q1529" s="13">
        <f t="shared" si="118"/>
        <v>0</v>
      </c>
      <c r="R1529" s="13">
        <f>L1529*Assumptions!$B$11+M1529*Assumptions!$B$12+N1529*Assumptions!$B$13+O1529*Assumptions!$B$14+P1529*Assumptions!$B$15+Q1529*Assumptions!$B$16</f>
        <v>0</v>
      </c>
      <c r="S1529" s="13" t="str">
        <f>IF(R1529&gt;=Assumptions!$B$20,"High",IF(R1529&gt;=Assumptions!$B$21,"Medium",IF(R1529&gt;=1,"Low","Clear")))</f>
        <v>Clear</v>
      </c>
      <c r="T1529" s="13" t="str">
        <f t="shared" si="119"/>
        <v/>
      </c>
    </row>
    <row r="1530" spans="1:20" x14ac:dyDescent="0.35">
      <c r="A1530" s="13" t="s">
        <v>6108</v>
      </c>
      <c r="B1530" s="13" t="s">
        <v>161</v>
      </c>
      <c r="C1530" s="13" t="s">
        <v>162</v>
      </c>
      <c r="D1530" s="13" t="s">
        <v>6109</v>
      </c>
      <c r="E1530" s="14">
        <v>46108</v>
      </c>
      <c r="F1530" s="14">
        <v>46148</v>
      </c>
      <c r="G1530" s="15">
        <v>1009.46</v>
      </c>
      <c r="H1530" s="13" t="s">
        <v>6110</v>
      </c>
      <c r="I1530" s="13" t="s">
        <v>6111</v>
      </c>
      <c r="J1530" s="13" t="s">
        <v>98</v>
      </c>
      <c r="K1530" s="13">
        <f t="shared" si="115"/>
        <v>1</v>
      </c>
      <c r="L1530" s="13">
        <f t="shared" si="116"/>
        <v>0</v>
      </c>
      <c r="M1530" s="13">
        <f>IF(AND(L1530=0,COUNTIFS($B$2:$B$1534,B1530,$G$2:$G$1534,G1530,$E$2:$E$1534,"&gt;="&amp;(E1530-Assumptions!$B$5),$E$2:$E$1534,"&lt;="&amp;(E1530+Assumptions!$B$5))&gt;1),1,0)</f>
        <v>0</v>
      </c>
      <c r="N1530" s="13">
        <f>IF(AND(G1530&gt;=Assumptions!$B$4*(1-Assumptions!$B$6),G1530&lt;Assumptions!$B$4),1,0)</f>
        <v>0</v>
      </c>
      <c r="O1530" s="13">
        <f>IF(AND(G1530&gt;=Assumptions!$B$7,MOD(G1530,Assumptions!$B$7)=0),1,0)</f>
        <v>0</v>
      </c>
      <c r="P1530" s="13">
        <f t="shared" si="117"/>
        <v>0</v>
      </c>
      <c r="Q1530" s="13">
        <f t="shared" si="118"/>
        <v>0</v>
      </c>
      <c r="R1530" s="13">
        <f>L1530*Assumptions!$B$11+M1530*Assumptions!$B$12+N1530*Assumptions!$B$13+O1530*Assumptions!$B$14+P1530*Assumptions!$B$15+Q1530*Assumptions!$B$16</f>
        <v>0</v>
      </c>
      <c r="S1530" s="13" t="str">
        <f>IF(R1530&gt;=Assumptions!$B$20,"High",IF(R1530&gt;=Assumptions!$B$21,"Medium",IF(R1530&gt;=1,"Low","Clear")))</f>
        <v>Clear</v>
      </c>
      <c r="T1530" s="13" t="str">
        <f t="shared" si="119"/>
        <v/>
      </c>
    </row>
    <row r="1531" spans="1:20" x14ac:dyDescent="0.35">
      <c r="A1531" s="13" t="s">
        <v>6112</v>
      </c>
      <c r="B1531" s="13" t="s">
        <v>100</v>
      </c>
      <c r="C1531" s="13" t="s">
        <v>101</v>
      </c>
      <c r="D1531" s="13" t="s">
        <v>6113</v>
      </c>
      <c r="E1531" s="14">
        <v>46110</v>
      </c>
      <c r="F1531" s="14">
        <v>46148</v>
      </c>
      <c r="G1531" s="15">
        <v>7931.8</v>
      </c>
      <c r="H1531" s="13" t="s">
        <v>6114</v>
      </c>
      <c r="I1531" s="13" t="s">
        <v>6115</v>
      </c>
      <c r="J1531" s="13" t="s">
        <v>170</v>
      </c>
      <c r="K1531" s="13">
        <f t="shared" si="115"/>
        <v>7</v>
      </c>
      <c r="L1531" s="13">
        <f t="shared" si="116"/>
        <v>0</v>
      </c>
      <c r="M1531" s="13">
        <f>IF(AND(L1531=0,COUNTIFS($B$2:$B$1534,B1531,$G$2:$G$1534,G1531,$E$2:$E$1534,"&gt;="&amp;(E1531-Assumptions!$B$5),$E$2:$E$1534,"&lt;="&amp;(E1531+Assumptions!$B$5))&gt;1),1,0)</f>
        <v>0</v>
      </c>
      <c r="N1531" s="13">
        <f>IF(AND(G1531&gt;=Assumptions!$B$4*(1-Assumptions!$B$6),G1531&lt;Assumptions!$B$4),1,0)</f>
        <v>0</v>
      </c>
      <c r="O1531" s="13">
        <f>IF(AND(G1531&gt;=Assumptions!$B$7,MOD(G1531,Assumptions!$B$7)=0),1,0)</f>
        <v>0</v>
      </c>
      <c r="P1531" s="13">
        <f t="shared" si="117"/>
        <v>0</v>
      </c>
      <c r="Q1531" s="13">
        <f t="shared" si="118"/>
        <v>0</v>
      </c>
      <c r="R1531" s="13">
        <f>L1531*Assumptions!$B$11+M1531*Assumptions!$B$12+N1531*Assumptions!$B$13+O1531*Assumptions!$B$14+P1531*Assumptions!$B$15+Q1531*Assumptions!$B$16</f>
        <v>0</v>
      </c>
      <c r="S1531" s="13" t="str">
        <f>IF(R1531&gt;=Assumptions!$B$20,"High",IF(R1531&gt;=Assumptions!$B$21,"Medium",IF(R1531&gt;=1,"Low","Clear")))</f>
        <v>Clear</v>
      </c>
      <c r="T1531" s="13" t="str">
        <f t="shared" si="119"/>
        <v/>
      </c>
    </row>
    <row r="1532" spans="1:20" x14ac:dyDescent="0.35">
      <c r="A1532" s="13" t="s">
        <v>6116</v>
      </c>
      <c r="B1532" s="13" t="s">
        <v>391</v>
      </c>
      <c r="C1532" s="13" t="s">
        <v>392</v>
      </c>
      <c r="D1532" s="13" t="s">
        <v>6117</v>
      </c>
      <c r="E1532" s="14">
        <v>46110</v>
      </c>
      <c r="F1532" s="14">
        <v>46150</v>
      </c>
      <c r="G1532" s="15">
        <v>1501.83</v>
      </c>
      <c r="H1532" s="13" t="s">
        <v>6118</v>
      </c>
      <c r="I1532" s="13" t="s">
        <v>6119</v>
      </c>
      <c r="J1532" s="13" t="s">
        <v>170</v>
      </c>
      <c r="K1532" s="13">
        <f t="shared" si="115"/>
        <v>1</v>
      </c>
      <c r="L1532" s="13">
        <f t="shared" si="116"/>
        <v>0</v>
      </c>
      <c r="M1532" s="13">
        <f>IF(AND(L1532=0,COUNTIFS($B$2:$B$1534,B1532,$G$2:$G$1534,G1532,$E$2:$E$1534,"&gt;="&amp;(E1532-Assumptions!$B$5),$E$2:$E$1534,"&lt;="&amp;(E1532+Assumptions!$B$5))&gt;1),1,0)</f>
        <v>0</v>
      </c>
      <c r="N1532" s="13">
        <f>IF(AND(G1532&gt;=Assumptions!$B$4*(1-Assumptions!$B$6),G1532&lt;Assumptions!$B$4),1,0)</f>
        <v>0</v>
      </c>
      <c r="O1532" s="13">
        <f>IF(AND(G1532&gt;=Assumptions!$B$7,MOD(G1532,Assumptions!$B$7)=0),1,0)</f>
        <v>0</v>
      </c>
      <c r="P1532" s="13">
        <f t="shared" si="117"/>
        <v>0</v>
      </c>
      <c r="Q1532" s="13">
        <f t="shared" si="118"/>
        <v>0</v>
      </c>
      <c r="R1532" s="13">
        <f>L1532*Assumptions!$B$11+M1532*Assumptions!$B$12+N1532*Assumptions!$B$13+O1532*Assumptions!$B$14+P1532*Assumptions!$B$15+Q1532*Assumptions!$B$16</f>
        <v>0</v>
      </c>
      <c r="S1532" s="13" t="str">
        <f>IF(R1532&gt;=Assumptions!$B$20,"High",IF(R1532&gt;=Assumptions!$B$21,"Medium",IF(R1532&gt;=1,"Low","Clear")))</f>
        <v>Clear</v>
      </c>
      <c r="T1532" s="13" t="str">
        <f t="shared" si="119"/>
        <v/>
      </c>
    </row>
    <row r="1533" spans="1:20" x14ac:dyDescent="0.35">
      <c r="A1533" s="13" t="s">
        <v>6120</v>
      </c>
      <c r="B1533" s="13" t="s">
        <v>391</v>
      </c>
      <c r="C1533" s="13" t="s">
        <v>392</v>
      </c>
      <c r="D1533" s="13" t="s">
        <v>6121</v>
      </c>
      <c r="E1533" s="14">
        <v>46112</v>
      </c>
      <c r="F1533" s="14">
        <v>46151</v>
      </c>
      <c r="G1533" s="15">
        <v>323775.95</v>
      </c>
      <c r="H1533" s="13" t="s">
        <v>6122</v>
      </c>
      <c r="I1533" s="13" t="s">
        <v>6123</v>
      </c>
      <c r="J1533" s="13" t="s">
        <v>91</v>
      </c>
      <c r="K1533" s="13">
        <f t="shared" si="115"/>
        <v>3</v>
      </c>
      <c r="L1533" s="13">
        <f t="shared" si="116"/>
        <v>0</v>
      </c>
      <c r="M1533" s="13">
        <f>IF(AND(L1533=0,COUNTIFS($B$2:$B$1534,B1533,$G$2:$G$1534,G1533,$E$2:$E$1534,"&gt;="&amp;(E1533-Assumptions!$B$5),$E$2:$E$1534,"&lt;="&amp;(E1533+Assumptions!$B$5))&gt;1),1,0)</f>
        <v>0</v>
      </c>
      <c r="N1533" s="13">
        <f>IF(AND(G1533&gt;=Assumptions!$B$4*(1-Assumptions!$B$6),G1533&lt;Assumptions!$B$4),1,0)</f>
        <v>0</v>
      </c>
      <c r="O1533" s="13">
        <f>IF(AND(G1533&gt;=Assumptions!$B$7,MOD(G1533,Assumptions!$B$7)=0),1,0)</f>
        <v>0</v>
      </c>
      <c r="P1533" s="13">
        <f t="shared" si="117"/>
        <v>0</v>
      </c>
      <c r="Q1533" s="13">
        <f t="shared" si="118"/>
        <v>1</v>
      </c>
      <c r="R1533" s="13">
        <f>L1533*Assumptions!$B$11+M1533*Assumptions!$B$12+N1533*Assumptions!$B$13+O1533*Assumptions!$B$14+P1533*Assumptions!$B$15+Q1533*Assumptions!$B$16</f>
        <v>1</v>
      </c>
      <c r="S1533" s="13" t="str">
        <f>IF(R1533&gt;=Assumptions!$B$20,"High",IF(R1533&gt;=Assumptions!$B$21,"Medium",IF(R1533&gt;=1,"Low","Clear")))</f>
        <v>Low</v>
      </c>
      <c r="T1533" s="13" t="str">
        <f t="shared" si="119"/>
        <v xml:space="preserve">Weekend payment; </v>
      </c>
    </row>
    <row r="1534" spans="1:20" x14ac:dyDescent="0.35">
      <c r="A1534" s="13" t="s">
        <v>6124</v>
      </c>
      <c r="B1534" s="13" t="s">
        <v>161</v>
      </c>
      <c r="C1534" s="13" t="s">
        <v>162</v>
      </c>
      <c r="D1534" s="13" t="s">
        <v>6125</v>
      </c>
      <c r="E1534" s="14">
        <v>46110</v>
      </c>
      <c r="F1534" s="14">
        <v>46151</v>
      </c>
      <c r="G1534" s="15">
        <v>23023.25</v>
      </c>
      <c r="H1534" s="13" t="s">
        <v>6126</v>
      </c>
      <c r="I1534" s="13" t="s">
        <v>6127</v>
      </c>
      <c r="J1534" s="13" t="s">
        <v>136</v>
      </c>
      <c r="K1534" s="13">
        <f t="shared" si="115"/>
        <v>2</v>
      </c>
      <c r="L1534" s="13">
        <f t="shared" si="116"/>
        <v>0</v>
      </c>
      <c r="M1534" s="13">
        <f>IF(AND(L1534=0,COUNTIFS($B$2:$B$1534,B1534,$G$2:$G$1534,G1534,$E$2:$E$1534,"&gt;="&amp;(E1534-Assumptions!$B$5),$E$2:$E$1534,"&lt;="&amp;(E1534+Assumptions!$B$5))&gt;1),1,0)</f>
        <v>0</v>
      </c>
      <c r="N1534" s="13">
        <f>IF(AND(G1534&gt;=Assumptions!$B$4*(1-Assumptions!$B$6),G1534&lt;Assumptions!$B$4),1,0)</f>
        <v>0</v>
      </c>
      <c r="O1534" s="13">
        <f>IF(AND(G1534&gt;=Assumptions!$B$7,MOD(G1534,Assumptions!$B$7)=0),1,0)</f>
        <v>0</v>
      </c>
      <c r="P1534" s="13">
        <f t="shared" si="117"/>
        <v>0</v>
      </c>
      <c r="Q1534" s="13">
        <f t="shared" si="118"/>
        <v>1</v>
      </c>
      <c r="R1534" s="13">
        <f>L1534*Assumptions!$B$11+M1534*Assumptions!$B$12+N1534*Assumptions!$B$13+O1534*Assumptions!$B$14+P1534*Assumptions!$B$15+Q1534*Assumptions!$B$16</f>
        <v>1</v>
      </c>
      <c r="S1534" s="13" t="str">
        <f>IF(R1534&gt;=Assumptions!$B$20,"High",IF(R1534&gt;=Assumptions!$B$21,"Medium",IF(R1534&gt;=1,"Low","Clear")))</f>
        <v>Low</v>
      </c>
      <c r="T1534" s="13" t="str">
        <f t="shared" si="119"/>
        <v xml:space="preserve">Weekend payment; </v>
      </c>
    </row>
  </sheetData>
  <autoFilter ref="A1:T1534" xr:uid="{00000000-0009-0000-0000-000002000000}"/>
  <conditionalFormatting sqref="L2:Q1534">
    <cfRule type="cellIs" dxfId="3" priority="2" operator="equal">
      <formula>1</formula>
    </cfRule>
  </conditionalFormatting>
  <conditionalFormatting sqref="S2:S1534">
    <cfRule type="cellIs" dxfId="2" priority="3" operator="equal">
      <formula>"High"</formula>
    </cfRule>
    <cfRule type="cellIs" dxfId="1" priority="4" operator="equal">
      <formula>"Medium"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zoomScaleNormal="100" workbookViewId="0"/>
  </sheetViews>
  <sheetFormatPr defaultColWidth="8.6328125" defaultRowHeight="14.5" x14ac:dyDescent="0.35"/>
  <cols>
    <col min="1" max="1" width="38" customWidth="1"/>
    <col min="2" max="2" width="16" customWidth="1"/>
    <col min="3" max="3" width="90" customWidth="1"/>
  </cols>
  <sheetData>
    <row r="1" spans="1:3" ht="20" x14ac:dyDescent="0.4">
      <c r="A1" s="4" t="s">
        <v>6128</v>
      </c>
    </row>
    <row r="2" spans="1:3" x14ac:dyDescent="0.35">
      <c r="A2" s="5" t="s">
        <v>6129</v>
      </c>
    </row>
    <row r="3" spans="1:3" x14ac:dyDescent="0.35">
      <c r="A3" s="7" t="s">
        <v>6130</v>
      </c>
      <c r="B3" s="7" t="s">
        <v>5</v>
      </c>
      <c r="C3" s="7" t="s">
        <v>6131</v>
      </c>
    </row>
    <row r="4" spans="1:3" ht="25" x14ac:dyDescent="0.35">
      <c r="A4" s="12" t="s">
        <v>6132</v>
      </c>
      <c r="B4" s="16">
        <v>50000</v>
      </c>
      <c r="C4" s="12" t="s">
        <v>6133</v>
      </c>
    </row>
    <row r="5" spans="1:3" x14ac:dyDescent="0.35">
      <c r="A5" s="12" t="s">
        <v>6134</v>
      </c>
      <c r="B5" s="17">
        <v>7</v>
      </c>
      <c r="C5" s="12" t="s">
        <v>6135</v>
      </c>
    </row>
    <row r="6" spans="1:3" x14ac:dyDescent="0.35">
      <c r="A6" s="12" t="s">
        <v>6136</v>
      </c>
      <c r="B6" s="18">
        <v>0.05</v>
      </c>
      <c r="C6" s="12" t="s">
        <v>6137</v>
      </c>
    </row>
    <row r="7" spans="1:3" x14ac:dyDescent="0.35">
      <c r="A7" s="12" t="s">
        <v>6138</v>
      </c>
      <c r="B7" s="16">
        <v>10000</v>
      </c>
      <c r="C7" s="12" t="s">
        <v>6139</v>
      </c>
    </row>
    <row r="9" spans="1:3" x14ac:dyDescent="0.35">
      <c r="A9" s="6" t="s">
        <v>6140</v>
      </c>
    </row>
    <row r="10" spans="1:3" x14ac:dyDescent="0.35">
      <c r="A10" s="7" t="s">
        <v>14</v>
      </c>
      <c r="B10" s="7" t="s">
        <v>6141</v>
      </c>
      <c r="C10" s="7" t="s">
        <v>6142</v>
      </c>
    </row>
    <row r="11" spans="1:3" x14ac:dyDescent="0.35">
      <c r="A11" s="12" t="s">
        <v>6143</v>
      </c>
      <c r="B11" s="19">
        <v>5</v>
      </c>
      <c r="C11" s="12" t="s">
        <v>6144</v>
      </c>
    </row>
    <row r="12" spans="1:3" ht="25" x14ac:dyDescent="0.35">
      <c r="A12" s="12" t="s">
        <v>6145</v>
      </c>
      <c r="B12" s="19">
        <v>3</v>
      </c>
      <c r="C12" s="12" t="s">
        <v>6146</v>
      </c>
    </row>
    <row r="13" spans="1:3" x14ac:dyDescent="0.35">
      <c r="A13" s="12" t="s">
        <v>51</v>
      </c>
      <c r="B13" s="19">
        <v>3</v>
      </c>
      <c r="C13" s="12" t="s">
        <v>6147</v>
      </c>
    </row>
    <row r="14" spans="1:3" x14ac:dyDescent="0.35">
      <c r="A14" s="12" t="s">
        <v>6148</v>
      </c>
      <c r="B14" s="19">
        <v>1</v>
      </c>
      <c r="C14" s="12" t="s">
        <v>6149</v>
      </c>
    </row>
    <row r="15" spans="1:3" x14ac:dyDescent="0.35">
      <c r="A15" s="12" t="s">
        <v>6150</v>
      </c>
      <c r="B15" s="19">
        <v>4</v>
      </c>
      <c r="C15" s="12" t="s">
        <v>6151</v>
      </c>
    </row>
    <row r="16" spans="1:3" x14ac:dyDescent="0.35">
      <c r="A16" s="12" t="s">
        <v>6152</v>
      </c>
      <c r="B16" s="19">
        <v>1</v>
      </c>
      <c r="C16" s="12" t="s">
        <v>6153</v>
      </c>
    </row>
    <row r="18" spans="1:3" x14ac:dyDescent="0.35">
      <c r="A18" s="6" t="s">
        <v>6154</v>
      </c>
    </row>
    <row r="19" spans="1:3" x14ac:dyDescent="0.35">
      <c r="A19" s="7" t="s">
        <v>26</v>
      </c>
      <c r="B19" s="7" t="s">
        <v>6155</v>
      </c>
      <c r="C19" s="7" t="s">
        <v>6131</v>
      </c>
    </row>
    <row r="20" spans="1:3" x14ac:dyDescent="0.35">
      <c r="A20" s="12" t="s">
        <v>29</v>
      </c>
      <c r="B20" s="19">
        <v>5</v>
      </c>
      <c r="C20" s="12" t="s">
        <v>6156</v>
      </c>
    </row>
    <row r="21" spans="1:3" x14ac:dyDescent="0.35">
      <c r="A21" s="12" t="s">
        <v>30</v>
      </c>
      <c r="B21" s="19">
        <v>3</v>
      </c>
      <c r="C21" s="12" t="s">
        <v>6157</v>
      </c>
    </row>
    <row r="22" spans="1:3" x14ac:dyDescent="0.35">
      <c r="A22" s="12" t="s">
        <v>31</v>
      </c>
      <c r="B22" s="19">
        <v>1</v>
      </c>
      <c r="C22" s="12" t="s">
        <v>6158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4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1" customWidth="1"/>
    <col min="2" max="2" width="38" customWidth="1"/>
    <col min="3" max="3" width="13" customWidth="1"/>
    <col min="4" max="4" width="18" customWidth="1"/>
    <col min="5" max="5" width="13" customWidth="1"/>
    <col min="6" max="6" width="11" customWidth="1"/>
    <col min="7" max="7" width="19" customWidth="1"/>
    <col min="8" max="8" width="13" customWidth="1"/>
  </cols>
  <sheetData>
    <row r="1" spans="1:8" ht="20" x14ac:dyDescent="0.4">
      <c r="A1" s="4" t="s">
        <v>6159</v>
      </c>
    </row>
    <row r="2" spans="1:8" x14ac:dyDescent="0.35">
      <c r="A2" s="5" t="s">
        <v>6160</v>
      </c>
    </row>
    <row r="4" spans="1:8" ht="30" customHeight="1" x14ac:dyDescent="0.35">
      <c r="A4" s="7" t="s">
        <v>67</v>
      </c>
      <c r="B4" s="7" t="s">
        <v>68</v>
      </c>
      <c r="C4" s="7" t="s">
        <v>27</v>
      </c>
      <c r="D4" s="7" t="s">
        <v>7</v>
      </c>
      <c r="E4" s="7" t="s">
        <v>6161</v>
      </c>
      <c r="F4" s="7" t="s">
        <v>6162</v>
      </c>
      <c r="G4" s="7" t="s">
        <v>16</v>
      </c>
      <c r="H4" s="7" t="s">
        <v>6163</v>
      </c>
    </row>
    <row r="5" spans="1:8" x14ac:dyDescent="0.35">
      <c r="A5" s="8" t="s">
        <v>113</v>
      </c>
      <c r="B5" s="8" t="s">
        <v>114</v>
      </c>
      <c r="C5" s="9">
        <f>COUNTIF(Data!$B$2:$B$1534,A5)</f>
        <v>48</v>
      </c>
      <c r="D5" s="9">
        <f>SUMIF(Data!$B$2:$B$1534,A5,Data!$G$2:$G$1534)</f>
        <v>7764931.9900000012</v>
      </c>
      <c r="E5" s="9">
        <f>COUNTIFS(Data!$B$2:$B$1534,A5,Data!$R$2:$R$1534,"&gt;0")</f>
        <v>11</v>
      </c>
      <c r="F5" s="10">
        <f t="shared" ref="F5:F44" si="0">IF(C5=0,0,E5/C5)</f>
        <v>0.22916666666666666</v>
      </c>
      <c r="G5" s="9">
        <f>SUMIFS(Data!$G$2:$G$1534,Data!$B$2:$B$1534,A5,Data!$R$2:$R$1534,"&gt;0")</f>
        <v>2314909.4</v>
      </c>
      <c r="H5" s="9">
        <f>COUNTIFS(Data!$B$2:$B$1534,A5,Data!$S$2:$S$1534,"High")</f>
        <v>4</v>
      </c>
    </row>
    <row r="6" spans="1:8" x14ac:dyDescent="0.35">
      <c r="A6" s="8" t="s">
        <v>161</v>
      </c>
      <c r="B6" s="8" t="s">
        <v>162</v>
      </c>
      <c r="C6" s="9">
        <f>COUNTIF(Data!$B$2:$B$1534,A6)</f>
        <v>47</v>
      </c>
      <c r="D6" s="9">
        <f>SUMIF(Data!$B$2:$B$1534,A6,Data!$G$2:$G$1534)</f>
        <v>10391464.510000002</v>
      </c>
      <c r="E6" s="9">
        <f>COUNTIFS(Data!$B$2:$B$1534,A6,Data!$R$2:$R$1534,"&gt;0")</f>
        <v>10</v>
      </c>
      <c r="F6" s="10">
        <f t="shared" si="0"/>
        <v>0.21276595744680851</v>
      </c>
      <c r="G6" s="9">
        <f>SUMIFS(Data!$G$2:$G$1534,Data!$B$2:$B$1534,A6,Data!$R$2:$R$1534,"&gt;0")</f>
        <v>3827306.42</v>
      </c>
      <c r="H6" s="9">
        <f>COUNTIFS(Data!$B$2:$B$1534,A6,Data!$S$2:$S$1534,"High")</f>
        <v>4</v>
      </c>
    </row>
    <row r="7" spans="1:8" x14ac:dyDescent="0.35">
      <c r="A7" s="8" t="s">
        <v>680</v>
      </c>
      <c r="B7" s="8" t="s">
        <v>681</v>
      </c>
      <c r="C7" s="9">
        <f>COUNTIF(Data!$B$2:$B$1534,A7)</f>
        <v>39</v>
      </c>
      <c r="D7" s="9">
        <f>SUMIF(Data!$B$2:$B$1534,A7,Data!$G$2:$G$1534)</f>
        <v>4287707.7600000007</v>
      </c>
      <c r="E7" s="9">
        <f>COUNTIFS(Data!$B$2:$B$1534,A7,Data!$R$2:$R$1534,"&gt;0")</f>
        <v>6</v>
      </c>
      <c r="F7" s="10">
        <f t="shared" si="0"/>
        <v>0.15384615384615385</v>
      </c>
      <c r="G7" s="9">
        <f>SUMIFS(Data!$G$2:$G$1534,Data!$B$2:$B$1534,A7,Data!$R$2:$R$1534,"&gt;0")</f>
        <v>190294.97999999998</v>
      </c>
      <c r="H7" s="9">
        <f>COUNTIFS(Data!$B$2:$B$1534,A7,Data!$S$2:$S$1534,"High")</f>
        <v>4</v>
      </c>
    </row>
    <row r="8" spans="1:8" x14ac:dyDescent="0.35">
      <c r="A8" s="8" t="s">
        <v>317</v>
      </c>
      <c r="B8" s="8" t="s">
        <v>318</v>
      </c>
      <c r="C8" s="9">
        <f>COUNTIF(Data!$B$2:$B$1534,A8)</f>
        <v>41</v>
      </c>
      <c r="D8" s="9">
        <f>SUMIF(Data!$B$2:$B$1534,A8,Data!$G$2:$G$1534)</f>
        <v>4964671.7499999972</v>
      </c>
      <c r="E8" s="9">
        <f>COUNTIFS(Data!$B$2:$B$1534,A8,Data!$R$2:$R$1534,"&gt;0")</f>
        <v>11</v>
      </c>
      <c r="F8" s="10">
        <f t="shared" si="0"/>
        <v>0.26829268292682928</v>
      </c>
      <c r="G8" s="9">
        <f>SUMIFS(Data!$G$2:$G$1534,Data!$B$2:$B$1534,A8,Data!$R$2:$R$1534,"&gt;0")</f>
        <v>935919.82</v>
      </c>
      <c r="H8" s="9">
        <f>COUNTIFS(Data!$B$2:$B$1534,A8,Data!$S$2:$S$1534,"High")</f>
        <v>2</v>
      </c>
    </row>
    <row r="9" spans="1:8" x14ac:dyDescent="0.35">
      <c r="A9" s="8" t="s">
        <v>155</v>
      </c>
      <c r="B9" s="8" t="s">
        <v>156</v>
      </c>
      <c r="C9" s="9">
        <f>COUNTIF(Data!$B$2:$B$1534,A9)</f>
        <v>34</v>
      </c>
      <c r="D9" s="9">
        <f>SUMIF(Data!$B$2:$B$1534,A9,Data!$G$2:$G$1534)</f>
        <v>3895760.7099999995</v>
      </c>
      <c r="E9" s="9">
        <f>COUNTIFS(Data!$B$2:$B$1534,A9,Data!$R$2:$R$1534,"&gt;0")</f>
        <v>8</v>
      </c>
      <c r="F9" s="10">
        <f t="shared" si="0"/>
        <v>0.23529411764705882</v>
      </c>
      <c r="G9" s="9">
        <f>SUMIFS(Data!$G$2:$G$1534,Data!$B$2:$B$1534,A9,Data!$R$2:$R$1534,"&gt;0")</f>
        <v>1075801.78</v>
      </c>
      <c r="H9" s="9">
        <f>COUNTIFS(Data!$B$2:$B$1534,A9,Data!$S$2:$S$1534,"High")</f>
        <v>2</v>
      </c>
    </row>
    <row r="10" spans="1:8" x14ac:dyDescent="0.35">
      <c r="A10" s="8" t="s">
        <v>125</v>
      </c>
      <c r="B10" s="8" t="s">
        <v>126</v>
      </c>
      <c r="C10" s="9">
        <f>COUNTIF(Data!$B$2:$B$1534,A10)</f>
        <v>31</v>
      </c>
      <c r="D10" s="9">
        <f>SUMIF(Data!$B$2:$B$1534,A10,Data!$G$2:$G$1534)</f>
        <v>3747618.4</v>
      </c>
      <c r="E10" s="9">
        <f>COUNTIFS(Data!$B$2:$B$1534,A10,Data!$R$2:$R$1534,"&gt;0")</f>
        <v>7</v>
      </c>
      <c r="F10" s="10">
        <f t="shared" si="0"/>
        <v>0.22580645161290322</v>
      </c>
      <c r="G10" s="9">
        <f>SUMIFS(Data!$G$2:$G$1534,Data!$B$2:$B$1534,A10,Data!$R$2:$R$1534,"&gt;0")</f>
        <v>1299312.8599999999</v>
      </c>
      <c r="H10" s="9">
        <f>COUNTIFS(Data!$B$2:$B$1534,A10,Data!$S$2:$S$1534,"High")</f>
        <v>2</v>
      </c>
    </row>
    <row r="11" spans="1:8" x14ac:dyDescent="0.35">
      <c r="A11" s="8" t="s">
        <v>357</v>
      </c>
      <c r="B11" s="8" t="s">
        <v>358</v>
      </c>
      <c r="C11" s="9">
        <f>COUNTIF(Data!$B$2:$B$1534,A11)</f>
        <v>33</v>
      </c>
      <c r="D11" s="9">
        <f>SUMIF(Data!$B$2:$B$1534,A11,Data!$G$2:$G$1534)</f>
        <v>5498925.2599999988</v>
      </c>
      <c r="E11" s="9">
        <f>COUNTIFS(Data!$B$2:$B$1534,A11,Data!$R$2:$R$1534,"&gt;0")</f>
        <v>7</v>
      </c>
      <c r="F11" s="10">
        <f t="shared" si="0"/>
        <v>0.21212121212121213</v>
      </c>
      <c r="G11" s="9">
        <f>SUMIFS(Data!$G$2:$G$1534,Data!$B$2:$B$1534,A11,Data!$R$2:$R$1534,"&gt;0")</f>
        <v>145707.99</v>
      </c>
      <c r="H11" s="9">
        <f>COUNTIFS(Data!$B$2:$B$1534,A11,Data!$S$2:$S$1534,"High")</f>
        <v>2</v>
      </c>
    </row>
    <row r="12" spans="1:8" x14ac:dyDescent="0.35">
      <c r="A12" s="8" t="s">
        <v>279</v>
      </c>
      <c r="B12" s="8" t="s">
        <v>280</v>
      </c>
      <c r="C12" s="9">
        <f>COUNTIF(Data!$B$2:$B$1534,A12)</f>
        <v>31</v>
      </c>
      <c r="D12" s="9">
        <f>SUMIF(Data!$B$2:$B$1534,A12,Data!$G$2:$G$1534)</f>
        <v>4268194.2899999991</v>
      </c>
      <c r="E12" s="9">
        <f>COUNTIFS(Data!$B$2:$B$1534,A12,Data!$R$2:$R$1534,"&gt;0")</f>
        <v>6</v>
      </c>
      <c r="F12" s="10">
        <f t="shared" si="0"/>
        <v>0.19354838709677419</v>
      </c>
      <c r="G12" s="9">
        <f>SUMIFS(Data!$G$2:$G$1534,Data!$B$2:$B$1534,A12,Data!$R$2:$R$1534,"&gt;0")</f>
        <v>97643.239999999991</v>
      </c>
      <c r="H12" s="9">
        <f>COUNTIFS(Data!$B$2:$B$1534,A12,Data!$S$2:$S$1534,"High")</f>
        <v>2</v>
      </c>
    </row>
    <row r="13" spans="1:8" x14ac:dyDescent="0.35">
      <c r="A13" s="8" t="s">
        <v>200</v>
      </c>
      <c r="B13" s="8" t="s">
        <v>201</v>
      </c>
      <c r="C13" s="9">
        <f>COUNTIF(Data!$B$2:$B$1534,A13)</f>
        <v>43</v>
      </c>
      <c r="D13" s="9">
        <f>SUMIF(Data!$B$2:$B$1534,A13,Data!$G$2:$G$1534)</f>
        <v>4939538.1600000011</v>
      </c>
      <c r="E13" s="9">
        <f>COUNTIFS(Data!$B$2:$B$1534,A13,Data!$R$2:$R$1534,"&gt;0")</f>
        <v>5</v>
      </c>
      <c r="F13" s="10">
        <f t="shared" si="0"/>
        <v>0.11627906976744186</v>
      </c>
      <c r="G13" s="9">
        <f>SUMIFS(Data!$G$2:$G$1534,Data!$B$2:$B$1534,A13,Data!$R$2:$R$1534,"&gt;0")</f>
        <v>289384.84999999998</v>
      </c>
      <c r="H13" s="9">
        <f>COUNTIFS(Data!$B$2:$B$1534,A13,Data!$S$2:$S$1534,"High")</f>
        <v>2</v>
      </c>
    </row>
    <row r="14" spans="1:8" x14ac:dyDescent="0.35">
      <c r="A14" s="8" t="s">
        <v>323</v>
      </c>
      <c r="B14" s="8" t="s">
        <v>324</v>
      </c>
      <c r="C14" s="9">
        <f>COUNTIF(Data!$B$2:$B$1534,A14)</f>
        <v>41</v>
      </c>
      <c r="D14" s="9">
        <f>SUMIF(Data!$B$2:$B$1534,A14,Data!$G$2:$G$1534)</f>
        <v>5703037.71</v>
      </c>
      <c r="E14" s="9">
        <f>COUNTIFS(Data!$B$2:$B$1534,A14,Data!$R$2:$R$1534,"&gt;0")</f>
        <v>5</v>
      </c>
      <c r="F14" s="10">
        <f t="shared" si="0"/>
        <v>0.12195121951219512</v>
      </c>
      <c r="G14" s="9">
        <f>SUMIFS(Data!$G$2:$G$1534,Data!$B$2:$B$1534,A14,Data!$R$2:$R$1534,"&gt;0")</f>
        <v>75842.659999999989</v>
      </c>
      <c r="H14" s="9">
        <f>COUNTIFS(Data!$B$2:$B$1534,A14,Data!$S$2:$S$1534,"High")</f>
        <v>2</v>
      </c>
    </row>
    <row r="15" spans="1:8" x14ac:dyDescent="0.35">
      <c r="A15" s="8" t="s">
        <v>100</v>
      </c>
      <c r="B15" s="8" t="s">
        <v>101</v>
      </c>
      <c r="C15" s="9">
        <f>COUNTIF(Data!$B$2:$B$1534,A15)</f>
        <v>49</v>
      </c>
      <c r="D15" s="9">
        <f>SUMIF(Data!$B$2:$B$1534,A15,Data!$G$2:$G$1534)</f>
        <v>4378139.7499999991</v>
      </c>
      <c r="E15" s="9">
        <f>COUNTIFS(Data!$B$2:$B$1534,A15,Data!$R$2:$R$1534,"&gt;0")</f>
        <v>5</v>
      </c>
      <c r="F15" s="10">
        <f t="shared" si="0"/>
        <v>0.10204081632653061</v>
      </c>
      <c r="G15" s="9">
        <f>SUMIFS(Data!$G$2:$G$1534,Data!$B$2:$B$1534,A15,Data!$R$2:$R$1534,"&gt;0")</f>
        <v>202601.72</v>
      </c>
      <c r="H15" s="9">
        <f>COUNTIFS(Data!$B$2:$B$1534,A15,Data!$S$2:$S$1534,"High")</f>
        <v>2</v>
      </c>
    </row>
    <row r="16" spans="1:8" x14ac:dyDescent="0.35">
      <c r="A16" s="8" t="s">
        <v>176</v>
      </c>
      <c r="B16" s="8" t="s">
        <v>177</v>
      </c>
      <c r="C16" s="9">
        <f>COUNTIF(Data!$B$2:$B$1534,A16)</f>
        <v>41</v>
      </c>
      <c r="D16" s="9">
        <f>SUMIF(Data!$B$2:$B$1534,A16,Data!$G$2:$G$1534)</f>
        <v>4404016.22</v>
      </c>
      <c r="E16" s="9">
        <f>COUNTIFS(Data!$B$2:$B$1534,A16,Data!$R$2:$R$1534,"&gt;0")</f>
        <v>4</v>
      </c>
      <c r="F16" s="10">
        <f t="shared" si="0"/>
        <v>9.7560975609756101E-2</v>
      </c>
      <c r="G16" s="9">
        <f>SUMIFS(Data!$G$2:$G$1534,Data!$B$2:$B$1534,A16,Data!$R$2:$R$1534,"&gt;0")</f>
        <v>1161955.3700000001</v>
      </c>
      <c r="H16" s="9">
        <f>COUNTIFS(Data!$B$2:$B$1534,A16,Data!$S$2:$S$1534,"High")</f>
        <v>2</v>
      </c>
    </row>
    <row r="17" spans="1:8" x14ac:dyDescent="0.35">
      <c r="A17" s="8" t="s">
        <v>119</v>
      </c>
      <c r="B17" s="8" t="s">
        <v>120</v>
      </c>
      <c r="C17" s="9">
        <f>COUNTIF(Data!$B$2:$B$1534,A17)</f>
        <v>31</v>
      </c>
      <c r="D17" s="9">
        <f>SUMIF(Data!$B$2:$B$1534,A17,Data!$G$2:$G$1534)</f>
        <v>2962545.76</v>
      </c>
      <c r="E17" s="9">
        <f>COUNTIFS(Data!$B$2:$B$1534,A17,Data!$R$2:$R$1534,"&gt;0")</f>
        <v>4</v>
      </c>
      <c r="F17" s="10">
        <f t="shared" si="0"/>
        <v>0.12903225806451613</v>
      </c>
      <c r="G17" s="9">
        <f>SUMIFS(Data!$G$2:$G$1534,Data!$B$2:$B$1534,A17,Data!$R$2:$R$1534,"&gt;0")</f>
        <v>315081.64</v>
      </c>
      <c r="H17" s="9">
        <f>COUNTIFS(Data!$B$2:$B$1534,A17,Data!$S$2:$S$1534,"High")</f>
        <v>2</v>
      </c>
    </row>
    <row r="18" spans="1:8" x14ac:dyDescent="0.35">
      <c r="A18" s="8" t="s">
        <v>339</v>
      </c>
      <c r="B18" s="8" t="s">
        <v>340</v>
      </c>
      <c r="C18" s="9">
        <f>COUNTIF(Data!$B$2:$B$1534,A18)</f>
        <v>37</v>
      </c>
      <c r="D18" s="9">
        <f>SUMIF(Data!$B$2:$B$1534,A18,Data!$G$2:$G$1534)</f>
        <v>7212040.0999999987</v>
      </c>
      <c r="E18" s="9">
        <f>COUNTIFS(Data!$B$2:$B$1534,A18,Data!$R$2:$R$1534,"&gt;0")</f>
        <v>3</v>
      </c>
      <c r="F18" s="10">
        <f t="shared" si="0"/>
        <v>8.1081081081081086E-2</v>
      </c>
      <c r="G18" s="9">
        <f>SUMIFS(Data!$G$2:$G$1534,Data!$B$2:$B$1534,A18,Data!$R$2:$R$1534,"&gt;0")</f>
        <v>209869.76</v>
      </c>
      <c r="H18" s="9">
        <f>COUNTIFS(Data!$B$2:$B$1534,A18,Data!$S$2:$S$1534,"High")</f>
        <v>2</v>
      </c>
    </row>
    <row r="19" spans="1:8" x14ac:dyDescent="0.35">
      <c r="A19" s="8" t="s">
        <v>670</v>
      </c>
      <c r="B19" s="8" t="s">
        <v>671</v>
      </c>
      <c r="C19" s="9">
        <f>COUNTIF(Data!$B$2:$B$1534,A19)</f>
        <v>34</v>
      </c>
      <c r="D19" s="9">
        <f>SUMIF(Data!$B$2:$B$1534,A19,Data!$G$2:$G$1534)</f>
        <v>5539942.879999999</v>
      </c>
      <c r="E19" s="9">
        <f>COUNTIFS(Data!$B$2:$B$1534,A19,Data!$R$2:$R$1534,"&gt;0")</f>
        <v>2</v>
      </c>
      <c r="F19" s="10">
        <f t="shared" si="0"/>
        <v>5.8823529411764705E-2</v>
      </c>
      <c r="G19" s="9">
        <f>SUMIFS(Data!$G$2:$G$1534,Data!$B$2:$B$1534,A19,Data!$R$2:$R$1534,"&gt;0")</f>
        <v>1566513.58</v>
      </c>
      <c r="H19" s="9">
        <f>COUNTIFS(Data!$B$2:$B$1534,A19,Data!$S$2:$S$1534,"High")</f>
        <v>2</v>
      </c>
    </row>
    <row r="20" spans="1:8" x14ac:dyDescent="0.35">
      <c r="A20" s="8" t="s">
        <v>228</v>
      </c>
      <c r="B20" s="8" t="s">
        <v>229</v>
      </c>
      <c r="C20" s="9">
        <f>COUNTIF(Data!$B$2:$B$1534,A20)</f>
        <v>47</v>
      </c>
      <c r="D20" s="9">
        <f>SUMIF(Data!$B$2:$B$1534,A20,Data!$G$2:$G$1534)</f>
        <v>5946855.3800000008</v>
      </c>
      <c r="E20" s="9">
        <f>COUNTIFS(Data!$B$2:$B$1534,A20,Data!$R$2:$R$1534,"&gt;0")</f>
        <v>19</v>
      </c>
      <c r="F20" s="10">
        <f t="shared" si="0"/>
        <v>0.40425531914893614</v>
      </c>
      <c r="G20" s="9">
        <f>SUMIFS(Data!$G$2:$G$1534,Data!$B$2:$B$1534,A20,Data!$R$2:$R$1534,"&gt;0")</f>
        <v>840424.74</v>
      </c>
      <c r="H20" s="9">
        <f>COUNTIFS(Data!$B$2:$B$1534,A20,Data!$S$2:$S$1534,"High")</f>
        <v>0</v>
      </c>
    </row>
    <row r="21" spans="1:8" x14ac:dyDescent="0.35">
      <c r="A21" s="8" t="s">
        <v>476</v>
      </c>
      <c r="B21" s="8" t="s">
        <v>477</v>
      </c>
      <c r="C21" s="9">
        <f>COUNTIF(Data!$B$2:$B$1534,A21)</f>
        <v>49</v>
      </c>
      <c r="D21" s="9">
        <f>SUMIF(Data!$B$2:$B$1534,A21,Data!$G$2:$G$1534)</f>
        <v>5477030.6900000004</v>
      </c>
      <c r="E21" s="9">
        <f>COUNTIFS(Data!$B$2:$B$1534,A21,Data!$R$2:$R$1534,"&gt;0")</f>
        <v>17</v>
      </c>
      <c r="F21" s="10">
        <f t="shared" si="0"/>
        <v>0.34693877551020408</v>
      </c>
      <c r="G21" s="9">
        <f>SUMIFS(Data!$G$2:$G$1534,Data!$B$2:$B$1534,A21,Data!$R$2:$R$1534,"&gt;0")</f>
        <v>657826.96</v>
      </c>
      <c r="H21" s="9">
        <f>COUNTIFS(Data!$B$2:$B$1534,A21,Data!$S$2:$S$1534,"High")</f>
        <v>0</v>
      </c>
    </row>
    <row r="22" spans="1:8" x14ac:dyDescent="0.35">
      <c r="A22" s="8" t="s">
        <v>466</v>
      </c>
      <c r="B22" s="8" t="s">
        <v>467</v>
      </c>
      <c r="C22" s="9">
        <f>COUNTIF(Data!$B$2:$B$1534,A22)</f>
        <v>39</v>
      </c>
      <c r="D22" s="9">
        <f>SUMIF(Data!$B$2:$B$1534,A22,Data!$G$2:$G$1534)</f>
        <v>3971597.8900000006</v>
      </c>
      <c r="E22" s="9">
        <f>COUNTIFS(Data!$B$2:$B$1534,A22,Data!$R$2:$R$1534,"&gt;0")</f>
        <v>10</v>
      </c>
      <c r="F22" s="10">
        <f t="shared" si="0"/>
        <v>0.25641025641025639</v>
      </c>
      <c r="G22" s="9">
        <f>SUMIFS(Data!$G$2:$G$1534,Data!$B$2:$B$1534,A22,Data!$R$2:$R$1534,"&gt;0")</f>
        <v>532255.34000000008</v>
      </c>
      <c r="H22" s="9">
        <f>COUNTIFS(Data!$B$2:$B$1534,A22,Data!$S$2:$S$1534,"High")</f>
        <v>0</v>
      </c>
    </row>
    <row r="23" spans="1:8" x14ac:dyDescent="0.35">
      <c r="A23" s="8" t="s">
        <v>131</v>
      </c>
      <c r="B23" s="8" t="s">
        <v>132</v>
      </c>
      <c r="C23" s="9">
        <f>COUNTIF(Data!$B$2:$B$1534,A23)</f>
        <v>38</v>
      </c>
      <c r="D23" s="9">
        <f>SUMIF(Data!$B$2:$B$1534,A23,Data!$G$2:$G$1534)</f>
        <v>5528799.4300000006</v>
      </c>
      <c r="E23" s="9">
        <f>COUNTIFS(Data!$B$2:$B$1534,A23,Data!$R$2:$R$1534,"&gt;0")</f>
        <v>6</v>
      </c>
      <c r="F23" s="10">
        <f t="shared" si="0"/>
        <v>0.15789473684210525</v>
      </c>
      <c r="G23" s="9">
        <f>SUMIFS(Data!$G$2:$G$1534,Data!$B$2:$B$1534,A23,Data!$R$2:$R$1534,"&gt;0")</f>
        <v>187622.11</v>
      </c>
      <c r="H23" s="9">
        <f>COUNTIFS(Data!$B$2:$B$1534,A23,Data!$S$2:$S$1534,"High")</f>
        <v>0</v>
      </c>
    </row>
    <row r="24" spans="1:8" x14ac:dyDescent="0.35">
      <c r="A24" s="8" t="s">
        <v>145</v>
      </c>
      <c r="B24" s="8" t="s">
        <v>146</v>
      </c>
      <c r="C24" s="9">
        <f>COUNTIF(Data!$B$2:$B$1534,A24)</f>
        <v>35</v>
      </c>
      <c r="D24" s="9">
        <f>SUMIF(Data!$B$2:$B$1534,A24,Data!$G$2:$G$1534)</f>
        <v>3392664.9800000004</v>
      </c>
      <c r="E24" s="9">
        <f>COUNTIFS(Data!$B$2:$B$1534,A24,Data!$R$2:$R$1534,"&gt;0")</f>
        <v>6</v>
      </c>
      <c r="F24" s="10">
        <f t="shared" si="0"/>
        <v>0.17142857142857143</v>
      </c>
      <c r="G24" s="9">
        <f>SUMIFS(Data!$G$2:$G$1534,Data!$B$2:$B$1534,A24,Data!$R$2:$R$1534,"&gt;0")</f>
        <v>211723.3</v>
      </c>
      <c r="H24" s="9">
        <f>COUNTIFS(Data!$B$2:$B$1534,A24,Data!$S$2:$S$1534,"High")</f>
        <v>0</v>
      </c>
    </row>
    <row r="25" spans="1:8" x14ac:dyDescent="0.35">
      <c r="A25" s="8" t="s">
        <v>182</v>
      </c>
      <c r="B25" s="8" t="s">
        <v>183</v>
      </c>
      <c r="C25" s="9">
        <f>COUNTIF(Data!$B$2:$B$1534,A25)</f>
        <v>37</v>
      </c>
      <c r="D25" s="9">
        <f>SUMIF(Data!$B$2:$B$1534,A25,Data!$G$2:$G$1534)</f>
        <v>6084034.2199999988</v>
      </c>
      <c r="E25" s="9">
        <f>COUNTIFS(Data!$B$2:$B$1534,A25,Data!$R$2:$R$1534,"&gt;0")</f>
        <v>5</v>
      </c>
      <c r="F25" s="10">
        <f t="shared" si="0"/>
        <v>0.13513513513513514</v>
      </c>
      <c r="G25" s="9">
        <f>SUMIFS(Data!$G$2:$G$1534,Data!$B$2:$B$1534,A25,Data!$R$2:$R$1534,"&gt;0")</f>
        <v>389813.01999999996</v>
      </c>
      <c r="H25" s="9">
        <f>COUNTIFS(Data!$B$2:$B$1534,A25,Data!$S$2:$S$1534,"High")</f>
        <v>0</v>
      </c>
    </row>
    <row r="26" spans="1:8" x14ac:dyDescent="0.35">
      <c r="A26" s="8" t="s">
        <v>409</v>
      </c>
      <c r="B26" s="8" t="s">
        <v>410</v>
      </c>
      <c r="C26" s="9">
        <f>COUNTIF(Data!$B$2:$B$1534,A26)</f>
        <v>43</v>
      </c>
      <c r="D26" s="9">
        <f>SUMIF(Data!$B$2:$B$1534,A26,Data!$G$2:$G$1534)</f>
        <v>6070935.6700000009</v>
      </c>
      <c r="E26" s="9">
        <f>COUNTIFS(Data!$B$2:$B$1534,A26,Data!$R$2:$R$1534,"&gt;0")</f>
        <v>4</v>
      </c>
      <c r="F26" s="10">
        <f t="shared" si="0"/>
        <v>9.3023255813953487E-2</v>
      </c>
      <c r="G26" s="9">
        <f>SUMIFS(Data!$G$2:$G$1534,Data!$B$2:$B$1534,A26,Data!$R$2:$R$1534,"&gt;0")</f>
        <v>293079.05</v>
      </c>
      <c r="H26" s="9">
        <f>COUNTIFS(Data!$B$2:$B$1534,A26,Data!$S$2:$S$1534,"High")</f>
        <v>0</v>
      </c>
    </row>
    <row r="27" spans="1:8" x14ac:dyDescent="0.35">
      <c r="A27" s="8" t="s">
        <v>86</v>
      </c>
      <c r="B27" s="8" t="s">
        <v>87</v>
      </c>
      <c r="C27" s="9">
        <f>COUNTIF(Data!$B$2:$B$1534,A27)</f>
        <v>37</v>
      </c>
      <c r="D27" s="9">
        <f>SUMIF(Data!$B$2:$B$1534,A27,Data!$G$2:$G$1534)</f>
        <v>7928289.1099999994</v>
      </c>
      <c r="E27" s="9">
        <f>COUNTIFS(Data!$B$2:$B$1534,A27,Data!$R$2:$R$1534,"&gt;0")</f>
        <v>4</v>
      </c>
      <c r="F27" s="10">
        <f t="shared" si="0"/>
        <v>0.10810810810810811</v>
      </c>
      <c r="G27" s="9">
        <f>SUMIFS(Data!$G$2:$G$1534,Data!$B$2:$B$1534,A27,Data!$R$2:$R$1534,"&gt;0")</f>
        <v>2820943.6500000004</v>
      </c>
      <c r="H27" s="9">
        <f>COUNTIFS(Data!$B$2:$B$1534,A27,Data!$S$2:$S$1534,"High")</f>
        <v>0</v>
      </c>
    </row>
    <row r="28" spans="1:8" x14ac:dyDescent="0.35">
      <c r="A28" s="8" t="s">
        <v>106</v>
      </c>
      <c r="B28" s="8" t="s">
        <v>107</v>
      </c>
      <c r="C28" s="9">
        <f>COUNTIF(Data!$B$2:$B$1534,A28)</f>
        <v>35</v>
      </c>
      <c r="D28" s="9">
        <f>SUMIF(Data!$B$2:$B$1534,A28,Data!$G$2:$G$1534)</f>
        <v>5377528.7799999993</v>
      </c>
      <c r="E28" s="9">
        <f>COUNTIFS(Data!$B$2:$B$1534,A28,Data!$R$2:$R$1534,"&gt;0")</f>
        <v>4</v>
      </c>
      <c r="F28" s="10">
        <f t="shared" si="0"/>
        <v>0.11428571428571428</v>
      </c>
      <c r="G28" s="9">
        <f>SUMIFS(Data!$G$2:$G$1534,Data!$B$2:$B$1534,A28,Data!$R$2:$R$1534,"&gt;0")</f>
        <v>492169.95999999996</v>
      </c>
      <c r="H28" s="9">
        <f>COUNTIFS(Data!$B$2:$B$1534,A28,Data!$S$2:$S$1534,"High")</f>
        <v>0</v>
      </c>
    </row>
    <row r="29" spans="1:8" x14ac:dyDescent="0.35">
      <c r="A29" s="8" t="s">
        <v>93</v>
      </c>
      <c r="B29" s="8" t="s">
        <v>94</v>
      </c>
      <c r="C29" s="9">
        <f>COUNTIF(Data!$B$2:$B$1534,A29)</f>
        <v>30</v>
      </c>
      <c r="D29" s="9">
        <f>SUMIF(Data!$B$2:$B$1534,A29,Data!$G$2:$G$1534)</f>
        <v>5380679.9800000014</v>
      </c>
      <c r="E29" s="9">
        <f>COUNTIFS(Data!$B$2:$B$1534,A29,Data!$R$2:$R$1534,"&gt;0")</f>
        <v>3</v>
      </c>
      <c r="F29" s="10">
        <f t="shared" si="0"/>
        <v>0.1</v>
      </c>
      <c r="G29" s="9">
        <f>SUMIFS(Data!$G$2:$G$1534,Data!$B$2:$B$1534,A29,Data!$R$2:$R$1534,"&gt;0")</f>
        <v>267182.01</v>
      </c>
      <c r="H29" s="9">
        <f>COUNTIFS(Data!$B$2:$B$1534,A29,Data!$S$2:$S$1534,"High")</f>
        <v>0</v>
      </c>
    </row>
    <row r="30" spans="1:8" x14ac:dyDescent="0.35">
      <c r="A30" s="8" t="s">
        <v>329</v>
      </c>
      <c r="B30" s="8" t="s">
        <v>330</v>
      </c>
      <c r="C30" s="9">
        <f>COUNTIF(Data!$B$2:$B$1534,A30)</f>
        <v>27</v>
      </c>
      <c r="D30" s="9">
        <f>SUMIF(Data!$B$2:$B$1534,A30,Data!$G$2:$G$1534)</f>
        <v>1911273.3299999996</v>
      </c>
      <c r="E30" s="9">
        <f>COUNTIFS(Data!$B$2:$B$1534,A30,Data!$R$2:$R$1534,"&gt;0")</f>
        <v>3</v>
      </c>
      <c r="F30" s="10">
        <f t="shared" si="0"/>
        <v>0.1111111111111111</v>
      </c>
      <c r="G30" s="9">
        <f>SUMIFS(Data!$G$2:$G$1534,Data!$B$2:$B$1534,A30,Data!$R$2:$R$1534,"&gt;0")</f>
        <v>586712.06999999995</v>
      </c>
      <c r="H30" s="9">
        <f>COUNTIFS(Data!$B$2:$B$1534,A30,Data!$S$2:$S$1534,"High")</f>
        <v>0</v>
      </c>
    </row>
    <row r="31" spans="1:8" x14ac:dyDescent="0.35">
      <c r="A31" s="8" t="s">
        <v>293</v>
      </c>
      <c r="B31" s="8" t="s">
        <v>294</v>
      </c>
      <c r="C31" s="9">
        <f>COUNTIF(Data!$B$2:$B$1534,A31)</f>
        <v>32</v>
      </c>
      <c r="D31" s="9">
        <f>SUMIF(Data!$B$2:$B$1534,A31,Data!$G$2:$G$1534)</f>
        <v>3313082.4899999993</v>
      </c>
      <c r="E31" s="9">
        <f>COUNTIFS(Data!$B$2:$B$1534,A31,Data!$R$2:$R$1534,"&gt;0")</f>
        <v>2</v>
      </c>
      <c r="F31" s="10">
        <f t="shared" si="0"/>
        <v>6.25E-2</v>
      </c>
      <c r="G31" s="9">
        <f>SUMIFS(Data!$G$2:$G$1534,Data!$B$2:$B$1534,A31,Data!$R$2:$R$1534,"&gt;0")</f>
        <v>27888.18</v>
      </c>
      <c r="H31" s="9">
        <f>COUNTIFS(Data!$B$2:$B$1534,A31,Data!$S$2:$S$1534,"High")</f>
        <v>0</v>
      </c>
    </row>
    <row r="32" spans="1:8" x14ac:dyDescent="0.35">
      <c r="A32" s="8" t="s">
        <v>188</v>
      </c>
      <c r="B32" s="8" t="s">
        <v>189</v>
      </c>
      <c r="C32" s="9">
        <f>COUNTIF(Data!$B$2:$B$1534,A32)</f>
        <v>37</v>
      </c>
      <c r="D32" s="9">
        <f>SUMIF(Data!$B$2:$B$1534,A32,Data!$G$2:$G$1534)</f>
        <v>6084304.8599999985</v>
      </c>
      <c r="E32" s="9">
        <f>COUNTIFS(Data!$B$2:$B$1534,A32,Data!$R$2:$R$1534,"&gt;0")</f>
        <v>2</v>
      </c>
      <c r="F32" s="10">
        <f t="shared" si="0"/>
        <v>5.4054054054054057E-2</v>
      </c>
      <c r="G32" s="9">
        <f>SUMIFS(Data!$G$2:$G$1534,Data!$B$2:$B$1534,A32,Data!$R$2:$R$1534,"&gt;0")</f>
        <v>55498.04</v>
      </c>
      <c r="H32" s="9">
        <f>COUNTIFS(Data!$B$2:$B$1534,A32,Data!$S$2:$S$1534,"High")</f>
        <v>0</v>
      </c>
    </row>
    <row r="33" spans="1:8" x14ac:dyDescent="0.35">
      <c r="A33" s="8" t="s">
        <v>391</v>
      </c>
      <c r="B33" s="8" t="s">
        <v>392</v>
      </c>
      <c r="C33" s="9">
        <f>COUNTIF(Data!$B$2:$B$1534,A33)</f>
        <v>34</v>
      </c>
      <c r="D33" s="9">
        <f>SUMIF(Data!$B$2:$B$1534,A33,Data!$G$2:$G$1534)</f>
        <v>4546778.6700000009</v>
      </c>
      <c r="E33" s="9">
        <f>COUNTIFS(Data!$B$2:$B$1534,A33,Data!$R$2:$R$1534,"&gt;0")</f>
        <v>2</v>
      </c>
      <c r="F33" s="10">
        <f t="shared" si="0"/>
        <v>5.8823529411764705E-2</v>
      </c>
      <c r="G33" s="9">
        <f>SUMIFS(Data!$G$2:$G$1534,Data!$B$2:$B$1534,A33,Data!$R$2:$R$1534,"&gt;0")</f>
        <v>370970.26</v>
      </c>
      <c r="H33" s="9">
        <f>COUNTIFS(Data!$B$2:$B$1534,A33,Data!$S$2:$S$1534,"High")</f>
        <v>0</v>
      </c>
    </row>
    <row r="34" spans="1:8" x14ac:dyDescent="0.35">
      <c r="A34" s="8" t="s">
        <v>774</v>
      </c>
      <c r="B34" s="8" t="s">
        <v>775</v>
      </c>
      <c r="C34" s="9">
        <f>COUNTIF(Data!$B$2:$B$1534,A34)</f>
        <v>39</v>
      </c>
      <c r="D34" s="9">
        <f>SUMIF(Data!$B$2:$B$1534,A34,Data!$G$2:$G$1534)</f>
        <v>5284532.0999999996</v>
      </c>
      <c r="E34" s="9">
        <f>COUNTIFS(Data!$B$2:$B$1534,A34,Data!$R$2:$R$1534,"&gt;0")</f>
        <v>2</v>
      </c>
      <c r="F34" s="10">
        <f t="shared" si="0"/>
        <v>5.128205128205128E-2</v>
      </c>
      <c r="G34" s="9">
        <f>SUMIFS(Data!$G$2:$G$1534,Data!$B$2:$B$1534,A34,Data!$R$2:$R$1534,"&gt;0")</f>
        <v>142853.60999999999</v>
      </c>
      <c r="H34" s="9">
        <f>COUNTIFS(Data!$B$2:$B$1534,A34,Data!$S$2:$S$1534,"High")</f>
        <v>0</v>
      </c>
    </row>
    <row r="35" spans="1:8" x14ac:dyDescent="0.35">
      <c r="A35" s="8" t="s">
        <v>206</v>
      </c>
      <c r="B35" s="8" t="s">
        <v>207</v>
      </c>
      <c r="C35" s="9">
        <f>COUNTIF(Data!$B$2:$B$1534,A35)</f>
        <v>40</v>
      </c>
      <c r="D35" s="9">
        <f>SUMIF(Data!$B$2:$B$1534,A35,Data!$G$2:$G$1534)</f>
        <v>5994551.5900000008</v>
      </c>
      <c r="E35" s="9">
        <f>COUNTIFS(Data!$B$2:$B$1534,A35,Data!$R$2:$R$1534,"&gt;0")</f>
        <v>2</v>
      </c>
      <c r="F35" s="10">
        <f t="shared" si="0"/>
        <v>0.05</v>
      </c>
      <c r="G35" s="9">
        <f>SUMIFS(Data!$G$2:$G$1534,Data!$B$2:$B$1534,A35,Data!$R$2:$R$1534,"&gt;0")</f>
        <v>7770.1100000000006</v>
      </c>
      <c r="H35" s="9">
        <f>COUNTIFS(Data!$B$2:$B$1534,A35,Data!$S$2:$S$1534,"High")</f>
        <v>0</v>
      </c>
    </row>
    <row r="36" spans="1:8" x14ac:dyDescent="0.35">
      <c r="A36" s="8" t="s">
        <v>212</v>
      </c>
      <c r="B36" s="8" t="s">
        <v>213</v>
      </c>
      <c r="C36" s="9">
        <f>COUNTIF(Data!$B$2:$B$1534,A36)</f>
        <v>45</v>
      </c>
      <c r="D36" s="9">
        <f>SUMIF(Data!$B$2:$B$1534,A36,Data!$G$2:$G$1534)</f>
        <v>6092491.8199999994</v>
      </c>
      <c r="E36" s="9">
        <f>COUNTIFS(Data!$B$2:$B$1534,A36,Data!$R$2:$R$1534,"&gt;0")</f>
        <v>2</v>
      </c>
      <c r="F36" s="10">
        <f t="shared" si="0"/>
        <v>4.4444444444444446E-2</v>
      </c>
      <c r="G36" s="9">
        <f>SUMIFS(Data!$G$2:$G$1534,Data!$B$2:$B$1534,A36,Data!$R$2:$R$1534,"&gt;0")</f>
        <v>473137.56999999995</v>
      </c>
      <c r="H36" s="9">
        <f>COUNTIFS(Data!$B$2:$B$1534,A36,Data!$S$2:$S$1534,"High")</f>
        <v>0</v>
      </c>
    </row>
    <row r="37" spans="1:8" x14ac:dyDescent="0.35">
      <c r="A37" s="8" t="s">
        <v>138</v>
      </c>
      <c r="B37" s="8" t="s">
        <v>139</v>
      </c>
      <c r="C37" s="9">
        <f>COUNTIF(Data!$B$2:$B$1534,A37)</f>
        <v>34</v>
      </c>
      <c r="D37" s="9">
        <f>SUMIF(Data!$B$2:$B$1534,A37,Data!$G$2:$G$1534)</f>
        <v>4508959.0399999991</v>
      </c>
      <c r="E37" s="9">
        <f>COUNTIFS(Data!$B$2:$B$1534,A37,Data!$R$2:$R$1534,"&gt;0")</f>
        <v>2</v>
      </c>
      <c r="F37" s="10">
        <f t="shared" si="0"/>
        <v>5.8823529411764705E-2</v>
      </c>
      <c r="G37" s="9">
        <f>SUMIFS(Data!$G$2:$G$1534,Data!$B$2:$B$1534,A37,Data!$R$2:$R$1534,"&gt;0")</f>
        <v>49850.3</v>
      </c>
      <c r="H37" s="9">
        <f>COUNTIFS(Data!$B$2:$B$1534,A37,Data!$S$2:$S$1534,"High")</f>
        <v>0</v>
      </c>
    </row>
    <row r="38" spans="1:8" x14ac:dyDescent="0.35">
      <c r="A38" s="8" t="s">
        <v>438</v>
      </c>
      <c r="B38" s="8" t="s">
        <v>439</v>
      </c>
      <c r="C38" s="9">
        <f>COUNTIF(Data!$B$2:$B$1534,A38)</f>
        <v>34</v>
      </c>
      <c r="D38" s="9">
        <f>SUMIF(Data!$B$2:$B$1534,A38,Data!$G$2:$G$1534)</f>
        <v>5875919.0899999999</v>
      </c>
      <c r="E38" s="9">
        <f>COUNTIFS(Data!$B$2:$B$1534,A38,Data!$R$2:$R$1534,"&gt;0")</f>
        <v>2</v>
      </c>
      <c r="F38" s="10">
        <f t="shared" si="0"/>
        <v>5.8823529411764705E-2</v>
      </c>
      <c r="G38" s="9">
        <f>SUMIFS(Data!$G$2:$G$1534,Data!$B$2:$B$1534,A38,Data!$R$2:$R$1534,"&gt;0")</f>
        <v>198874.23</v>
      </c>
      <c r="H38" s="9">
        <f>COUNTIFS(Data!$B$2:$B$1534,A38,Data!$S$2:$S$1534,"High")</f>
        <v>0</v>
      </c>
    </row>
    <row r="39" spans="1:8" x14ac:dyDescent="0.35">
      <c r="A39" s="8" t="s">
        <v>556</v>
      </c>
      <c r="B39" s="8" t="s">
        <v>557</v>
      </c>
      <c r="C39" s="9">
        <f>COUNTIF(Data!$B$2:$B$1534,A39)</f>
        <v>46</v>
      </c>
      <c r="D39" s="9">
        <f>SUMIF(Data!$B$2:$B$1534,A39,Data!$G$2:$G$1534)</f>
        <v>6921608.6300000018</v>
      </c>
      <c r="E39" s="9">
        <f>COUNTIFS(Data!$B$2:$B$1534,A39,Data!$R$2:$R$1534,"&gt;0")</f>
        <v>2</v>
      </c>
      <c r="F39" s="10">
        <f t="shared" si="0"/>
        <v>4.3478260869565216E-2</v>
      </c>
      <c r="G39" s="9">
        <f>SUMIFS(Data!$G$2:$G$1534,Data!$B$2:$B$1534,A39,Data!$R$2:$R$1534,"&gt;0")</f>
        <v>87456.9</v>
      </c>
      <c r="H39" s="9">
        <f>COUNTIFS(Data!$B$2:$B$1534,A39,Data!$S$2:$S$1534,"High")</f>
        <v>0</v>
      </c>
    </row>
    <row r="40" spans="1:8" x14ac:dyDescent="0.35">
      <c r="A40" s="8" t="s">
        <v>498</v>
      </c>
      <c r="B40" s="8" t="s">
        <v>499</v>
      </c>
      <c r="C40" s="9">
        <f>COUNTIF(Data!$B$2:$B$1534,A40)</f>
        <v>32</v>
      </c>
      <c r="D40" s="9">
        <f>SUMIF(Data!$B$2:$B$1534,A40,Data!$G$2:$G$1534)</f>
        <v>4595663</v>
      </c>
      <c r="E40" s="9">
        <f>COUNTIFS(Data!$B$2:$B$1534,A40,Data!$R$2:$R$1534,"&gt;0")</f>
        <v>1</v>
      </c>
      <c r="F40" s="10">
        <f t="shared" si="0"/>
        <v>3.125E-2</v>
      </c>
      <c r="G40" s="9">
        <f>SUMIFS(Data!$G$2:$G$1534,Data!$B$2:$B$1534,A40,Data!$R$2:$R$1534,"&gt;0")</f>
        <v>949420.66</v>
      </c>
      <c r="H40" s="9">
        <f>COUNTIFS(Data!$B$2:$B$1534,A40,Data!$S$2:$S$1534,"High")</f>
        <v>0</v>
      </c>
    </row>
    <row r="41" spans="1:8" x14ac:dyDescent="0.35">
      <c r="A41" s="8" t="s">
        <v>252</v>
      </c>
      <c r="B41" s="8" t="s">
        <v>253</v>
      </c>
      <c r="C41" s="9">
        <f>COUNTIF(Data!$B$2:$B$1534,A41)</f>
        <v>43</v>
      </c>
      <c r="D41" s="9">
        <f>SUMIF(Data!$B$2:$B$1534,A41,Data!$G$2:$G$1534)</f>
        <v>5224891.4000000004</v>
      </c>
      <c r="E41" s="9">
        <f>COUNTIFS(Data!$B$2:$B$1534,A41,Data!$R$2:$R$1534,"&gt;0")</f>
        <v>1</v>
      </c>
      <c r="F41" s="10">
        <f t="shared" si="0"/>
        <v>2.3255813953488372E-2</v>
      </c>
      <c r="G41" s="9">
        <f>SUMIFS(Data!$G$2:$G$1534,Data!$B$2:$B$1534,A41,Data!$R$2:$R$1534,"&gt;0")</f>
        <v>3061.26</v>
      </c>
      <c r="H41" s="9">
        <f>COUNTIFS(Data!$B$2:$B$1534,A41,Data!$S$2:$S$1534,"High")</f>
        <v>0</v>
      </c>
    </row>
    <row r="42" spans="1:8" x14ac:dyDescent="0.35">
      <c r="A42" s="8" t="s">
        <v>307</v>
      </c>
      <c r="B42" s="8" t="s">
        <v>308</v>
      </c>
      <c r="C42" s="9">
        <f>COUNTIF(Data!$B$2:$B$1534,A42)</f>
        <v>41</v>
      </c>
      <c r="D42" s="9">
        <f>SUMIF(Data!$B$2:$B$1534,A42,Data!$G$2:$G$1534)</f>
        <v>6294510.6000000024</v>
      </c>
      <c r="E42" s="9">
        <f>COUNTIFS(Data!$B$2:$B$1534,A42,Data!$R$2:$R$1534,"&gt;0")</f>
        <v>1</v>
      </c>
      <c r="F42" s="10">
        <f t="shared" si="0"/>
        <v>2.4390243902439025E-2</v>
      </c>
      <c r="G42" s="9">
        <f>SUMIFS(Data!$G$2:$G$1534,Data!$B$2:$B$1534,A42,Data!$R$2:$R$1534,"&gt;0")</f>
        <v>7758.36</v>
      </c>
      <c r="H42" s="9">
        <f>COUNTIFS(Data!$B$2:$B$1534,A42,Data!$S$2:$S$1534,"High")</f>
        <v>0</v>
      </c>
    </row>
    <row r="43" spans="1:8" x14ac:dyDescent="0.35">
      <c r="A43" s="8" t="s">
        <v>218</v>
      </c>
      <c r="B43" s="8" t="s">
        <v>219</v>
      </c>
      <c r="C43" s="9">
        <f>COUNTIF(Data!$B$2:$B$1534,A43)</f>
        <v>45</v>
      </c>
      <c r="D43" s="9">
        <f>SUMIF(Data!$B$2:$B$1534,A43,Data!$G$2:$G$1534)</f>
        <v>6291415.5699999984</v>
      </c>
      <c r="E43" s="9">
        <f>COUNTIFS(Data!$B$2:$B$1534,A43,Data!$R$2:$R$1534,"&gt;0")</f>
        <v>1</v>
      </c>
      <c r="F43" s="10">
        <f t="shared" si="0"/>
        <v>2.2222222222222223E-2</v>
      </c>
      <c r="G43" s="9">
        <f>SUMIFS(Data!$G$2:$G$1534,Data!$B$2:$B$1534,A43,Data!$R$2:$R$1534,"&gt;0")</f>
        <v>60000</v>
      </c>
      <c r="H43" s="9">
        <f>COUNTIFS(Data!$B$2:$B$1534,A43,Data!$S$2:$S$1534,"High")</f>
        <v>0</v>
      </c>
    </row>
    <row r="44" spans="1:8" x14ac:dyDescent="0.35">
      <c r="A44" s="8" t="s">
        <v>234</v>
      </c>
      <c r="B44" s="8" t="s">
        <v>235</v>
      </c>
      <c r="C44" s="9">
        <f>COUNTIF(Data!$B$2:$B$1534,A44)</f>
        <v>34</v>
      </c>
      <c r="D44" s="9">
        <f>SUMIF(Data!$B$2:$B$1534,A44,Data!$G$2:$G$1534)</f>
        <v>7255064.5499999989</v>
      </c>
      <c r="E44" s="9">
        <f>COUNTIFS(Data!$B$2:$B$1534,A44,Data!$R$2:$R$1534,"&gt;0")</f>
        <v>0</v>
      </c>
      <c r="F44" s="10">
        <f t="shared" si="0"/>
        <v>0</v>
      </c>
      <c r="G44" s="9">
        <f>SUMIFS(Data!$G$2:$G$1534,Data!$B$2:$B$1534,A44,Data!$R$2:$R$1534,"&gt;0")</f>
        <v>0</v>
      </c>
      <c r="H44" s="9">
        <f>COUNTIFS(Data!$B$2:$B$1534,A44,Data!$S$2:$S$1534,"High")</f>
        <v>0</v>
      </c>
    </row>
  </sheetData>
  <conditionalFormatting sqref="F5:F44">
    <cfRule type="colorScale" priority="2">
      <colorScale>
        <cfvo type="min"/>
        <cfvo type="max"/>
        <color rgb="FFFFFFFF"/>
        <color rgb="FFF4B084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zoomScaleNormal="100" workbookViewId="0"/>
  </sheetViews>
  <sheetFormatPr defaultColWidth="8.6328125" defaultRowHeight="14.5" x14ac:dyDescent="0.35"/>
  <cols>
    <col min="1" max="2" width="14" customWidth="1"/>
    <col min="3" max="3" width="19" customWidth="1"/>
    <col min="4" max="4" width="13" customWidth="1"/>
    <col min="5" max="5" width="11" customWidth="1"/>
    <col min="6" max="6" width="20" customWidth="1"/>
    <col min="7" max="7" width="16" customWidth="1"/>
    <col min="8" max="8" width="14" customWidth="1"/>
  </cols>
  <sheetData>
    <row r="1" spans="1:8" ht="20" x14ac:dyDescent="0.4">
      <c r="A1" s="4" t="s">
        <v>6164</v>
      </c>
    </row>
    <row r="2" spans="1:8" x14ac:dyDescent="0.35">
      <c r="A2" s="5" t="s">
        <v>6165</v>
      </c>
    </row>
    <row r="4" spans="1:8" ht="30" customHeight="1" x14ac:dyDescent="0.35">
      <c r="A4" s="7" t="s">
        <v>75</v>
      </c>
      <c r="B4" s="7" t="s">
        <v>27</v>
      </c>
      <c r="C4" s="7" t="s">
        <v>7</v>
      </c>
      <c r="D4" s="7" t="s">
        <v>6161</v>
      </c>
      <c r="E4" s="7" t="s">
        <v>6162</v>
      </c>
      <c r="F4" s="7" t="s">
        <v>6166</v>
      </c>
      <c r="G4" s="7" t="s">
        <v>6167</v>
      </c>
      <c r="H4" s="7" t="s">
        <v>6163</v>
      </c>
    </row>
    <row r="5" spans="1:8" x14ac:dyDescent="0.35">
      <c r="A5" s="8" t="s">
        <v>111</v>
      </c>
      <c r="B5" s="9">
        <f>COUNTIF(Data!$J$2:$J$1534,A5)</f>
        <v>245</v>
      </c>
      <c r="C5" s="9">
        <f>SUMIF(Data!$J$2:$J$1534,A5,Data!$G$2:$G$1534)</f>
        <v>30971856.739999998</v>
      </c>
      <c r="D5" s="9">
        <f>COUNTIFS(Data!$J$2:$J$1534,A5,Data!$R$2:$R$1534,"&gt;0")</f>
        <v>22</v>
      </c>
      <c r="E5" s="10">
        <f t="shared" ref="E5:E10" si="0">IF(B5=0,0,D5/B5)</f>
        <v>8.9795918367346933E-2</v>
      </c>
      <c r="F5" s="9">
        <f>COUNTIFS(Data!$J$2:$J$1534,A5,Data!$N$2:$N$1534,1)</f>
        <v>0</v>
      </c>
      <c r="G5" s="9">
        <f>COUNTIFS(Data!$J$2:$J$1534,A5,Data!$P$2:$P$1534,1)</f>
        <v>4</v>
      </c>
      <c r="H5" s="9">
        <f>COUNTIFS(Data!$J$2:$J$1534,A5,Data!$S$2:$S$1534,"High")</f>
        <v>6</v>
      </c>
    </row>
    <row r="6" spans="1:8" x14ac:dyDescent="0.35">
      <c r="A6" s="8" t="s">
        <v>143</v>
      </c>
      <c r="B6" s="9">
        <f>COUNTIF(Data!$J$2:$J$1534,A6)</f>
        <v>282</v>
      </c>
      <c r="C6" s="9">
        <f>SUMIF(Data!$J$2:$J$1534,A6,Data!$G$2:$G$1534)</f>
        <v>36963260.799999982</v>
      </c>
      <c r="D6" s="9">
        <f>COUNTIFS(Data!$J$2:$J$1534,A6,Data!$R$2:$R$1534,"&gt;0")</f>
        <v>46</v>
      </c>
      <c r="E6" s="10">
        <f t="shared" si="0"/>
        <v>0.16312056737588654</v>
      </c>
      <c r="F6" s="9">
        <f>COUNTIFS(Data!$J$2:$J$1534,A6,Data!$N$2:$N$1534,1)</f>
        <v>21</v>
      </c>
      <c r="G6" s="9">
        <f>COUNTIFS(Data!$J$2:$J$1534,A6,Data!$P$2:$P$1534,1)</f>
        <v>12</v>
      </c>
      <c r="H6" s="9">
        <f>COUNTIFS(Data!$J$2:$J$1534,A6,Data!$S$2:$S$1534,"High")</f>
        <v>2</v>
      </c>
    </row>
    <row r="7" spans="1:8" x14ac:dyDescent="0.35">
      <c r="A7" s="8" t="s">
        <v>170</v>
      </c>
      <c r="B7" s="9">
        <f>COUNTIF(Data!$J$2:$J$1534,A7)</f>
        <v>253</v>
      </c>
      <c r="C7" s="9">
        <f>SUMIF(Data!$J$2:$J$1534,A7,Data!$G$2:$G$1534)</f>
        <v>34234025.69000002</v>
      </c>
      <c r="D7" s="9">
        <f>COUNTIFS(Data!$J$2:$J$1534,A7,Data!$R$2:$R$1534,"&gt;0")</f>
        <v>39</v>
      </c>
      <c r="E7" s="10">
        <f t="shared" si="0"/>
        <v>0.1541501976284585</v>
      </c>
      <c r="F7" s="9">
        <f>COUNTIFS(Data!$J$2:$J$1534,A7,Data!$N$2:$N$1534,1)</f>
        <v>0</v>
      </c>
      <c r="G7" s="9">
        <f>COUNTIFS(Data!$J$2:$J$1534,A7,Data!$P$2:$P$1534,1)</f>
        <v>9</v>
      </c>
      <c r="H7" s="9">
        <f>COUNTIFS(Data!$J$2:$J$1534,A7,Data!$S$2:$S$1534,"High")</f>
        <v>10</v>
      </c>
    </row>
    <row r="8" spans="1:8" x14ac:dyDescent="0.35">
      <c r="A8" s="8" t="s">
        <v>98</v>
      </c>
      <c r="B8" s="9">
        <f>COUNTIF(Data!$J$2:$J$1534,A8)</f>
        <v>266</v>
      </c>
      <c r="C8" s="9">
        <f>SUMIF(Data!$J$2:$J$1534,A8,Data!$G$2:$G$1534)</f>
        <v>40187638.470000044</v>
      </c>
      <c r="D8" s="9">
        <f>COUNTIFS(Data!$J$2:$J$1534,A8,Data!$R$2:$R$1534,"&gt;0")</f>
        <v>39</v>
      </c>
      <c r="E8" s="10">
        <f t="shared" si="0"/>
        <v>0.14661654135338345</v>
      </c>
      <c r="F8" s="9">
        <f>COUNTIFS(Data!$J$2:$J$1534,A8,Data!$N$2:$N$1534,1)</f>
        <v>15</v>
      </c>
      <c r="G8" s="9">
        <f>COUNTIFS(Data!$J$2:$J$1534,A8,Data!$P$2:$P$1534,1)</f>
        <v>6</v>
      </c>
      <c r="H8" s="9">
        <f>COUNTIFS(Data!$J$2:$J$1534,A8,Data!$S$2:$S$1534,"High")</f>
        <v>6</v>
      </c>
    </row>
    <row r="9" spans="1:8" x14ac:dyDescent="0.35">
      <c r="A9" s="8" t="s">
        <v>91</v>
      </c>
      <c r="B9" s="9">
        <f>COUNTIF(Data!$J$2:$J$1534,A9)</f>
        <v>235</v>
      </c>
      <c r="C9" s="9">
        <f>SUMIF(Data!$J$2:$J$1534,A9,Data!$G$2:$G$1534)</f>
        <v>36023637.540000021</v>
      </c>
      <c r="D9" s="9">
        <f>COUNTIFS(Data!$J$2:$J$1534,A9,Data!$R$2:$R$1534,"&gt;0")</f>
        <v>22</v>
      </c>
      <c r="E9" s="10">
        <f t="shared" si="0"/>
        <v>9.3617021276595741E-2</v>
      </c>
      <c r="F9" s="9">
        <f>COUNTIFS(Data!$J$2:$J$1534,A9,Data!$N$2:$N$1534,1)</f>
        <v>0</v>
      </c>
      <c r="G9" s="9">
        <f>COUNTIFS(Data!$J$2:$J$1534,A9,Data!$P$2:$P$1534,1)</f>
        <v>4</v>
      </c>
      <c r="H9" s="9">
        <f>COUNTIFS(Data!$J$2:$J$1534,A9,Data!$S$2:$S$1534,"High")</f>
        <v>6</v>
      </c>
    </row>
    <row r="10" spans="1:8" x14ac:dyDescent="0.35">
      <c r="A10" s="8" t="s">
        <v>136</v>
      </c>
      <c r="B10" s="9">
        <f>COUNTIF(Data!$J$2:$J$1534,A10)</f>
        <v>252</v>
      </c>
      <c r="C10" s="9">
        <f>SUMIF(Data!$J$2:$J$1534,A10,Data!$G$2:$G$1534)</f>
        <v>36931578.879999973</v>
      </c>
      <c r="D10" s="9">
        <f>COUNTIFS(Data!$J$2:$J$1534,A10,Data!$R$2:$R$1534,"&gt;0")</f>
        <v>29</v>
      </c>
      <c r="E10" s="10">
        <f t="shared" si="0"/>
        <v>0.11507936507936507</v>
      </c>
      <c r="F10" s="9">
        <f>COUNTIFS(Data!$J$2:$J$1534,A10,Data!$N$2:$N$1534,1)</f>
        <v>0</v>
      </c>
      <c r="G10" s="9">
        <f>COUNTIFS(Data!$J$2:$J$1534,A10,Data!$P$2:$P$1534,1)</f>
        <v>5</v>
      </c>
      <c r="H10" s="9">
        <f>COUNTIFS(Data!$J$2:$J$1534,A10,Data!$S$2:$S$1534,"High")</f>
        <v>6</v>
      </c>
    </row>
  </sheetData>
  <conditionalFormatting sqref="F5:F10">
    <cfRule type="colorScale" priority="2">
      <colorScale>
        <cfvo type="min"/>
        <cfvo type="max"/>
        <color rgb="FFFFFFFF"/>
        <color rgb="FFF4B084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17"/>
  <sheetViews>
    <sheetView zoomScaleNormal="100" workbookViewId="0"/>
  </sheetViews>
  <sheetFormatPr defaultColWidth="8.6328125" defaultRowHeight="14.5" x14ac:dyDescent="0.35"/>
  <cols>
    <col min="1" max="1" width="44" customWidth="1"/>
    <col min="2" max="2" width="24" customWidth="1"/>
    <col min="3" max="3" width="14" customWidth="1"/>
    <col min="4" max="5" width="12" customWidth="1"/>
    <col min="6" max="6" width="14" customWidth="1"/>
  </cols>
  <sheetData>
    <row r="1" spans="1:6" ht="20" x14ac:dyDescent="0.4">
      <c r="A1" s="4" t="s">
        <v>6168</v>
      </c>
    </row>
    <row r="2" spans="1:6" x14ac:dyDescent="0.35">
      <c r="A2" s="5" t="s">
        <v>6169</v>
      </c>
    </row>
    <row r="4" spans="1:6" x14ac:dyDescent="0.35">
      <c r="A4" s="7" t="s">
        <v>6170</v>
      </c>
      <c r="B4" s="7" t="s">
        <v>6171</v>
      </c>
      <c r="C4" s="7" t="s">
        <v>6172</v>
      </c>
      <c r="D4" s="7" t="s">
        <v>6173</v>
      </c>
      <c r="E4" s="7" t="s">
        <v>6174</v>
      </c>
      <c r="F4" s="7" t="s">
        <v>6175</v>
      </c>
    </row>
    <row r="5" spans="1:6" x14ac:dyDescent="0.35">
      <c r="A5" s="8">
        <v>1</v>
      </c>
      <c r="B5" s="10">
        <f t="shared" ref="B5:B13" si="0">LOG10(1+1/A5)</f>
        <v>0.3010299956639812</v>
      </c>
      <c r="C5" s="9">
        <f>COUNTIF(Data!$K$2:$K$1534,A5)</f>
        <v>482</v>
      </c>
      <c r="D5" s="10">
        <f t="shared" ref="D5:D13" si="1">C5/SUM($C$5:$C$13)</f>
        <v>0.31441617742987604</v>
      </c>
      <c r="E5" s="10">
        <f t="shared" ref="E5:E13" si="2">D5-B5</f>
        <v>1.3386181765894845E-2</v>
      </c>
      <c r="F5" s="10">
        <f t="shared" ref="F5:F13" si="3">ABS(E5)</f>
        <v>1.3386181765894845E-2</v>
      </c>
    </row>
    <row r="6" spans="1:6" x14ac:dyDescent="0.35">
      <c r="A6" s="8">
        <v>2</v>
      </c>
      <c r="B6" s="10">
        <f t="shared" si="0"/>
        <v>0.17609125905568124</v>
      </c>
      <c r="C6" s="9">
        <f>COUNTIF(Data!$K$2:$K$1534,A6)</f>
        <v>262</v>
      </c>
      <c r="D6" s="10">
        <f t="shared" si="1"/>
        <v>0.17090671885192432</v>
      </c>
      <c r="E6" s="10">
        <f t="shared" si="2"/>
        <v>-5.1845402037569155E-3</v>
      </c>
      <c r="F6" s="10">
        <f t="shared" si="3"/>
        <v>5.1845402037569155E-3</v>
      </c>
    </row>
    <row r="7" spans="1:6" x14ac:dyDescent="0.35">
      <c r="A7" s="8">
        <v>3</v>
      </c>
      <c r="B7" s="10">
        <f t="shared" si="0"/>
        <v>0.12493873660829993</v>
      </c>
      <c r="C7" s="9">
        <f>COUNTIF(Data!$K$2:$K$1534,A7)</f>
        <v>188</v>
      </c>
      <c r="D7" s="10">
        <f t="shared" si="1"/>
        <v>0.12263535551206783</v>
      </c>
      <c r="E7" s="10">
        <f t="shared" si="2"/>
        <v>-2.3033810962320989E-3</v>
      </c>
      <c r="F7" s="10">
        <f t="shared" si="3"/>
        <v>2.3033810962320989E-3</v>
      </c>
    </row>
    <row r="8" spans="1:6" x14ac:dyDescent="0.35">
      <c r="A8" s="8">
        <v>4</v>
      </c>
      <c r="B8" s="10">
        <f t="shared" si="0"/>
        <v>9.691001300805642E-2</v>
      </c>
      <c r="C8" s="9">
        <f>COUNTIF(Data!$K$2:$K$1534,A8)</f>
        <v>161</v>
      </c>
      <c r="D8" s="10">
        <f t="shared" si="1"/>
        <v>0.1050228310502283</v>
      </c>
      <c r="E8" s="10">
        <f t="shared" si="2"/>
        <v>8.1128180421718848E-3</v>
      </c>
      <c r="F8" s="10">
        <f t="shared" si="3"/>
        <v>8.1128180421718848E-3</v>
      </c>
    </row>
    <row r="9" spans="1:6" x14ac:dyDescent="0.35">
      <c r="A9" s="8">
        <v>5</v>
      </c>
      <c r="B9" s="10">
        <f t="shared" si="0"/>
        <v>7.9181246047624818E-2</v>
      </c>
      <c r="C9" s="9">
        <f>COUNTIF(Data!$K$2:$K$1534,A9)</f>
        <v>98</v>
      </c>
      <c r="D9" s="10">
        <f t="shared" si="1"/>
        <v>6.3926940639269403E-2</v>
      </c>
      <c r="E9" s="10">
        <f t="shared" si="2"/>
        <v>-1.5254305408355415E-2</v>
      </c>
      <c r="F9" s="10">
        <f t="shared" si="3"/>
        <v>1.5254305408355415E-2</v>
      </c>
    </row>
    <row r="10" spans="1:6" x14ac:dyDescent="0.35">
      <c r="A10" s="8">
        <v>6</v>
      </c>
      <c r="B10" s="10">
        <f t="shared" si="0"/>
        <v>6.6946789630613221E-2</v>
      </c>
      <c r="C10" s="9">
        <f>COUNTIF(Data!$K$2:$K$1534,A10)</f>
        <v>107</v>
      </c>
      <c r="D10" s="10">
        <f t="shared" si="1"/>
        <v>6.9797782126549246E-2</v>
      </c>
      <c r="E10" s="10">
        <f t="shared" si="2"/>
        <v>2.850992495936025E-3</v>
      </c>
      <c r="F10" s="10">
        <f t="shared" si="3"/>
        <v>2.850992495936025E-3</v>
      </c>
    </row>
    <row r="11" spans="1:6" x14ac:dyDescent="0.35">
      <c r="A11" s="8">
        <v>7</v>
      </c>
      <c r="B11" s="10">
        <f t="shared" si="0"/>
        <v>5.7991946977686733E-2</v>
      </c>
      <c r="C11" s="9">
        <f>COUNTIF(Data!$K$2:$K$1534,A11)</f>
        <v>79</v>
      </c>
      <c r="D11" s="10">
        <f t="shared" si="1"/>
        <v>5.1532941943900845E-2</v>
      </c>
      <c r="E11" s="10">
        <f t="shared" si="2"/>
        <v>-6.4590050337858876E-3</v>
      </c>
      <c r="F11" s="10">
        <f t="shared" si="3"/>
        <v>6.4590050337858876E-3</v>
      </c>
    </row>
    <row r="12" spans="1:6" x14ac:dyDescent="0.35">
      <c r="A12" s="8">
        <v>8</v>
      </c>
      <c r="B12" s="10">
        <f t="shared" si="0"/>
        <v>5.1152522447381291E-2</v>
      </c>
      <c r="C12" s="9">
        <f>COUNTIF(Data!$K$2:$K$1534,A12)</f>
        <v>78</v>
      </c>
      <c r="D12" s="10">
        <f t="shared" si="1"/>
        <v>5.0880626223091974E-2</v>
      </c>
      <c r="E12" s="10">
        <f t="shared" si="2"/>
        <v>-2.7189622428931692E-4</v>
      </c>
      <c r="F12" s="10">
        <f t="shared" si="3"/>
        <v>2.7189622428931692E-4</v>
      </c>
    </row>
    <row r="13" spans="1:6" x14ac:dyDescent="0.35">
      <c r="A13" s="8">
        <v>9</v>
      </c>
      <c r="B13" s="10">
        <f t="shared" si="0"/>
        <v>4.5757490560675143E-2</v>
      </c>
      <c r="C13" s="9">
        <f>COUNTIF(Data!$K$2:$K$1534,A13)</f>
        <v>78</v>
      </c>
      <c r="D13" s="10">
        <f t="shared" si="1"/>
        <v>5.0880626223091974E-2</v>
      </c>
      <c r="E13" s="10">
        <f t="shared" si="2"/>
        <v>5.1231356624168306E-3</v>
      </c>
      <c r="F13" s="10">
        <f t="shared" si="3"/>
        <v>5.1231356624168306E-3</v>
      </c>
    </row>
    <row r="15" spans="1:6" x14ac:dyDescent="0.35">
      <c r="A15" s="6" t="s">
        <v>6176</v>
      </c>
      <c r="B15" s="20">
        <f>AVERAGE(F5:F13)</f>
        <v>6.5495839925376912E-3</v>
      </c>
    </row>
    <row r="16" spans="1:6" x14ac:dyDescent="0.35">
      <c r="A16" s="6" t="s">
        <v>6177</v>
      </c>
      <c r="B16" s="6" t="str">
        <f>IF(B15&lt;=0.006,"Close conformity",IF(B15&lt;=0.012,"Acceptable conformity",IF(B15&lt;=0.015,"Marginally acceptable","Non-conformity")))</f>
        <v>Acceptable conformity</v>
      </c>
    </row>
    <row r="17" spans="1:6" ht="42" customHeight="1" x14ac:dyDescent="0.35">
      <c r="A17" s="1" t="s">
        <v>6178</v>
      </c>
      <c r="B17" s="1"/>
      <c r="C17" s="1"/>
      <c r="D17" s="1"/>
      <c r="E17" s="1"/>
      <c r="F17" s="1"/>
    </row>
  </sheetData>
  <mergeCells count="1">
    <mergeCell ref="A17:F17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4"/>
  <sheetViews>
    <sheetView zoomScaleNormal="100" workbookViewId="0">
      <selection activeCell="D7" sqref="D7"/>
    </sheetView>
  </sheetViews>
  <sheetFormatPr defaultColWidth="8.6328125" defaultRowHeight="14.5" x14ac:dyDescent="0.35"/>
  <cols>
    <col min="1" max="1" width="7" customWidth="1"/>
    <col min="2" max="2" width="11" customWidth="1"/>
    <col min="3" max="3" width="34" customWidth="1"/>
    <col min="4" max="4" width="18" customWidth="1"/>
    <col min="5" max="5" width="14" customWidth="1"/>
    <col min="6" max="6" width="15" customWidth="1"/>
    <col min="7" max="7" width="12" customWidth="1"/>
    <col min="8" max="8" width="10" customWidth="1"/>
    <col min="9" max="9" width="9" customWidth="1"/>
    <col min="10" max="10" width="50" customWidth="1"/>
  </cols>
  <sheetData>
    <row r="1" spans="1:10" ht="20" x14ac:dyDescent="0.4">
      <c r="A1" s="4" t="s">
        <v>6179</v>
      </c>
    </row>
    <row r="2" spans="1:10" x14ac:dyDescent="0.35">
      <c r="A2" s="5" t="s">
        <v>6180</v>
      </c>
    </row>
    <row r="4" spans="1:10" ht="30" customHeight="1" x14ac:dyDescent="0.35">
      <c r="A4" s="7" t="s">
        <v>6181</v>
      </c>
      <c r="B4" s="7" t="s">
        <v>66</v>
      </c>
      <c r="C4" s="7" t="s">
        <v>68</v>
      </c>
      <c r="D4" s="7" t="s">
        <v>69</v>
      </c>
      <c r="E4" s="7" t="s">
        <v>71</v>
      </c>
      <c r="F4" s="7" t="s">
        <v>6182</v>
      </c>
      <c r="G4" s="7" t="s">
        <v>75</v>
      </c>
      <c r="H4" s="7" t="s">
        <v>6183</v>
      </c>
      <c r="I4" s="7" t="s">
        <v>26</v>
      </c>
      <c r="J4" s="7" t="s">
        <v>6184</v>
      </c>
    </row>
    <row r="5" spans="1:10" x14ac:dyDescent="0.35">
      <c r="A5" s="8">
        <v>1</v>
      </c>
      <c r="B5" s="8" t="s">
        <v>4643</v>
      </c>
      <c r="C5" s="8" t="str">
        <f>INDEX(Data!$C$2:$C$1534,MATCH($B5,Data!$A$2:$A$1534,0))</f>
        <v>Summit Print Media Pvt Ltd</v>
      </c>
      <c r="D5" s="8" t="str">
        <f>INDEX(Data!$D$2:$D$1534,MATCH($B5,Data!$A$2:$A$1534,0))</f>
        <v>INV-008-69233</v>
      </c>
      <c r="E5" s="21">
        <f>INDEX(Data!$F$2:$F$1534,MATCH($B5,Data!$A$2:$A$1534,0))</f>
        <v>46055</v>
      </c>
      <c r="F5" s="22">
        <f>INDEX(Data!$G$2:$G$1534,MATCH($B5,Data!$A$2:$A$1534,0))</f>
        <v>783256.79</v>
      </c>
      <c r="G5" s="8" t="str">
        <f>INDEX(Data!$J$2:$J$1534,MATCH($B5,Data!$A$2:$A$1534,0))</f>
        <v>AP-Mgr-03</v>
      </c>
      <c r="H5" s="8">
        <f>INDEX(Data!$R$2:$R$1534,MATCH($B5,Data!$A$2:$A$1534,0))</f>
        <v>5</v>
      </c>
      <c r="I5" s="8" t="str">
        <f>INDEX(Data!$S$2:$S$1534,MATCH($B5,Data!$A$2:$A$1534,0))</f>
        <v>High</v>
      </c>
      <c r="J5" s="8" t="str">
        <f>INDEX(Data!$T$2:$T$1534,MATCH($B5,Data!$A$2:$A$1534,0))</f>
        <v xml:space="preserve">Duplicate invoice; </v>
      </c>
    </row>
    <row r="6" spans="1:10" x14ac:dyDescent="0.35">
      <c r="A6" s="8">
        <v>2</v>
      </c>
      <c r="B6" s="8" t="s">
        <v>4790</v>
      </c>
      <c r="C6" s="8" t="str">
        <f>INDEX(Data!$C$2:$C$1534,MATCH($B6,Data!$A$2:$A$1534,0))</f>
        <v>Summit Print Media Pvt Ltd</v>
      </c>
      <c r="D6" s="8" t="str">
        <f>INDEX(Data!$D$2:$D$1534,MATCH($B6,Data!$A$2:$A$1534,0))</f>
        <v>INV-008-69233</v>
      </c>
      <c r="E6" s="21">
        <f>INDEX(Data!$F$2:$F$1534,MATCH($B6,Data!$A$2:$A$1534,0))</f>
        <v>46063</v>
      </c>
      <c r="F6" s="22">
        <f>INDEX(Data!$G$2:$G$1534,MATCH($B6,Data!$A$2:$A$1534,0))</f>
        <v>783256.79</v>
      </c>
      <c r="G6" s="8" t="str">
        <f>INDEX(Data!$J$2:$J$1534,MATCH($B6,Data!$A$2:$A$1534,0))</f>
        <v>AP-Mgr-03</v>
      </c>
      <c r="H6" s="8">
        <f>INDEX(Data!$R$2:$R$1534,MATCH($B6,Data!$A$2:$A$1534,0))</f>
        <v>5</v>
      </c>
      <c r="I6" s="8" t="str">
        <f>INDEX(Data!$S$2:$S$1534,MATCH($B6,Data!$A$2:$A$1534,0))</f>
        <v>High</v>
      </c>
      <c r="J6" s="8" t="str">
        <f>INDEX(Data!$T$2:$T$1534,MATCH($B6,Data!$A$2:$A$1534,0))</f>
        <v xml:space="preserve">Duplicate invoice; </v>
      </c>
    </row>
    <row r="7" spans="1:10" x14ac:dyDescent="0.35">
      <c r="A7" s="8">
        <v>3</v>
      </c>
      <c r="B7" s="8" t="s">
        <v>4717</v>
      </c>
      <c r="C7" s="8" t="str">
        <f>INDEX(Data!$C$2:$C$1534,MATCH($B7,Data!$A$2:$A$1534,0))</f>
        <v>Unity Logistics Pvt Ltd</v>
      </c>
      <c r="D7" s="8" t="str">
        <f>INDEX(Data!$D$2:$D$1534,MATCH($B7,Data!$A$2:$A$1534,0))</f>
        <v>INV-001-75107</v>
      </c>
      <c r="E7" s="21">
        <f>INDEX(Data!$F$2:$F$1534,MATCH($B7,Data!$A$2:$A$1534,0))</f>
        <v>46058</v>
      </c>
      <c r="F7" s="22">
        <f>INDEX(Data!$G$2:$G$1534,MATCH($B7,Data!$A$2:$A$1534,0))</f>
        <v>539325.38</v>
      </c>
      <c r="G7" s="8" t="str">
        <f>INDEX(Data!$J$2:$J$1534,MATCH($B7,Data!$A$2:$A$1534,0))</f>
        <v>AP-Mgr-03</v>
      </c>
      <c r="H7" s="8">
        <f>INDEX(Data!$R$2:$R$1534,MATCH($B7,Data!$A$2:$A$1534,0))</f>
        <v>5</v>
      </c>
      <c r="I7" s="8" t="str">
        <f>INDEX(Data!$S$2:$S$1534,MATCH($B7,Data!$A$2:$A$1534,0))</f>
        <v>High</v>
      </c>
      <c r="J7" s="8" t="str">
        <f>INDEX(Data!$T$2:$T$1534,MATCH($B7,Data!$A$2:$A$1534,0))</f>
        <v xml:space="preserve">Duplicate invoice; </v>
      </c>
    </row>
    <row r="8" spans="1:10" x14ac:dyDescent="0.35">
      <c r="A8" s="8">
        <v>4</v>
      </c>
      <c r="B8" s="8" t="s">
        <v>4749</v>
      </c>
      <c r="C8" s="8" t="str">
        <f>INDEX(Data!$C$2:$C$1534,MATCH($B8,Data!$A$2:$A$1534,0))</f>
        <v>Unity Logistics Pvt Ltd</v>
      </c>
      <c r="D8" s="8" t="str">
        <f>INDEX(Data!$D$2:$D$1534,MATCH($B8,Data!$A$2:$A$1534,0))</f>
        <v>INV-001-75107</v>
      </c>
      <c r="E8" s="21">
        <f>INDEX(Data!$F$2:$F$1534,MATCH($B8,Data!$A$2:$A$1534,0))</f>
        <v>46062</v>
      </c>
      <c r="F8" s="22">
        <f>INDEX(Data!$G$2:$G$1534,MATCH($B8,Data!$A$2:$A$1534,0))</f>
        <v>539325.38</v>
      </c>
      <c r="G8" s="8" t="str">
        <f>INDEX(Data!$J$2:$J$1534,MATCH($B8,Data!$A$2:$A$1534,0))</f>
        <v>AP-Mgr-03</v>
      </c>
      <c r="H8" s="8">
        <f>INDEX(Data!$R$2:$R$1534,MATCH($B8,Data!$A$2:$A$1534,0))</f>
        <v>5</v>
      </c>
      <c r="I8" s="8" t="str">
        <f>INDEX(Data!$S$2:$S$1534,MATCH($B8,Data!$A$2:$A$1534,0))</f>
        <v>High</v>
      </c>
      <c r="J8" s="8" t="str">
        <f>INDEX(Data!$T$2:$T$1534,MATCH($B8,Data!$A$2:$A$1534,0))</f>
        <v xml:space="preserve">Duplicate invoice; </v>
      </c>
    </row>
    <row r="9" spans="1:10" x14ac:dyDescent="0.35">
      <c r="A9" s="8">
        <v>5</v>
      </c>
      <c r="B9" s="8" t="s">
        <v>3379</v>
      </c>
      <c r="C9" s="8" t="str">
        <f>INDEX(Data!$C$2:$C$1534,MATCH($B9,Data!$A$2:$A$1534,0))</f>
        <v>Fortis Stationery Pvt Ltd</v>
      </c>
      <c r="D9" s="8" t="str">
        <f>INDEX(Data!$D$2:$D$1534,MATCH($B9,Data!$A$2:$A$1534,0))</f>
        <v>INV-020-28004</v>
      </c>
      <c r="E9" s="21">
        <f>INDEX(Data!$F$2:$F$1534,MATCH($B9,Data!$A$2:$A$1534,0))</f>
        <v>45980</v>
      </c>
      <c r="F9" s="22">
        <f>INDEX(Data!$G$2:$G$1534,MATCH($B9,Data!$A$2:$A$1534,0))</f>
        <v>409776.87</v>
      </c>
      <c r="G9" s="8" t="str">
        <f>INDEX(Data!$J$2:$J$1534,MATCH($B9,Data!$A$2:$A$1534,0))</f>
        <v>AP-Mgr-02</v>
      </c>
      <c r="H9" s="8">
        <f>INDEX(Data!$R$2:$R$1534,MATCH($B9,Data!$A$2:$A$1534,0))</f>
        <v>5</v>
      </c>
      <c r="I9" s="8" t="str">
        <f>INDEX(Data!$S$2:$S$1534,MATCH($B9,Data!$A$2:$A$1534,0))</f>
        <v>High</v>
      </c>
      <c r="J9" s="8" t="str">
        <f>INDEX(Data!$T$2:$T$1534,MATCH($B9,Data!$A$2:$A$1534,0))</f>
        <v xml:space="preserve">Duplicate invoice; </v>
      </c>
    </row>
    <row r="10" spans="1:10" x14ac:dyDescent="0.35">
      <c r="A10" s="8">
        <v>6</v>
      </c>
      <c r="B10" s="8" t="s">
        <v>3476</v>
      </c>
      <c r="C10" s="8" t="str">
        <f>INDEX(Data!$C$2:$C$1534,MATCH($B10,Data!$A$2:$A$1534,0))</f>
        <v>Fortis Stationery Pvt Ltd</v>
      </c>
      <c r="D10" s="8" t="str">
        <f>INDEX(Data!$D$2:$D$1534,MATCH($B10,Data!$A$2:$A$1534,0))</f>
        <v>INV-020-28004</v>
      </c>
      <c r="E10" s="21">
        <f>INDEX(Data!$F$2:$F$1534,MATCH($B10,Data!$A$2:$A$1534,0))</f>
        <v>45986</v>
      </c>
      <c r="F10" s="22">
        <f>INDEX(Data!$G$2:$G$1534,MATCH($B10,Data!$A$2:$A$1534,0))</f>
        <v>409776.87</v>
      </c>
      <c r="G10" s="8" t="str">
        <f>INDEX(Data!$J$2:$J$1534,MATCH($B10,Data!$A$2:$A$1534,0))</f>
        <v>AP-Mgr-02</v>
      </c>
      <c r="H10" s="8">
        <f>INDEX(Data!$R$2:$R$1534,MATCH($B10,Data!$A$2:$A$1534,0))</f>
        <v>5</v>
      </c>
      <c r="I10" s="8" t="str">
        <f>INDEX(Data!$S$2:$S$1534,MATCH($B10,Data!$A$2:$A$1534,0))</f>
        <v>High</v>
      </c>
      <c r="J10" s="8" t="str">
        <f>INDEX(Data!$T$2:$T$1534,MATCH($B10,Data!$A$2:$A$1534,0))</f>
        <v xml:space="preserve">Duplicate invoice; </v>
      </c>
    </row>
    <row r="11" spans="1:10" x14ac:dyDescent="0.35">
      <c r="A11" s="8">
        <v>7</v>
      </c>
      <c r="B11" s="8" t="s">
        <v>1574</v>
      </c>
      <c r="C11" s="8" t="str">
        <f>INDEX(Data!$C$2:$C$1534,MATCH($B11,Data!$A$2:$A$1534,0))</f>
        <v>Delta Print Media Pvt Ltd</v>
      </c>
      <c r="D11" s="8" t="str">
        <f>INDEX(Data!$D$2:$D$1534,MATCH($B11,Data!$A$2:$A$1534,0))</f>
        <v>INV-030-20917</v>
      </c>
      <c r="E11" s="21">
        <f>INDEX(Data!$F$2:$F$1534,MATCH($B11,Data!$A$2:$A$1534,0))</f>
        <v>45866</v>
      </c>
      <c r="F11" s="22">
        <f>INDEX(Data!$G$2:$G$1534,MATCH($B11,Data!$A$2:$A$1534,0))</f>
        <v>337854.31</v>
      </c>
      <c r="G11" s="8" t="str">
        <f>INDEX(Data!$J$2:$J$1534,MATCH($B11,Data!$A$2:$A$1534,0))</f>
        <v>AP-Mgr-04</v>
      </c>
      <c r="H11" s="8">
        <f>INDEX(Data!$R$2:$R$1534,MATCH($B11,Data!$A$2:$A$1534,0))</f>
        <v>5</v>
      </c>
      <c r="I11" s="8" t="str">
        <f>INDEX(Data!$S$2:$S$1534,MATCH($B11,Data!$A$2:$A$1534,0))</f>
        <v>High</v>
      </c>
      <c r="J11" s="8" t="str">
        <f>INDEX(Data!$T$2:$T$1534,MATCH($B11,Data!$A$2:$A$1534,0))</f>
        <v xml:space="preserve">Duplicate invoice; </v>
      </c>
    </row>
    <row r="12" spans="1:10" x14ac:dyDescent="0.35">
      <c r="A12" s="8">
        <v>8</v>
      </c>
      <c r="B12" s="8" t="s">
        <v>1713</v>
      </c>
      <c r="C12" s="8" t="str">
        <f>INDEX(Data!$C$2:$C$1534,MATCH($B12,Data!$A$2:$A$1534,0))</f>
        <v>Delta Print Media Pvt Ltd</v>
      </c>
      <c r="D12" s="8" t="str">
        <f>INDEX(Data!$D$2:$D$1534,MATCH($B12,Data!$A$2:$A$1534,0))</f>
        <v>INV-030-20917</v>
      </c>
      <c r="E12" s="21">
        <f>INDEX(Data!$F$2:$F$1534,MATCH($B12,Data!$A$2:$A$1534,0))</f>
        <v>45876</v>
      </c>
      <c r="F12" s="22">
        <f>INDEX(Data!$G$2:$G$1534,MATCH($B12,Data!$A$2:$A$1534,0))</f>
        <v>337854.31</v>
      </c>
      <c r="G12" s="8" t="str">
        <f>INDEX(Data!$J$2:$J$1534,MATCH($B12,Data!$A$2:$A$1534,0))</f>
        <v>AP-Mgr-04</v>
      </c>
      <c r="H12" s="8">
        <f>INDEX(Data!$R$2:$R$1534,MATCH($B12,Data!$A$2:$A$1534,0))</f>
        <v>5</v>
      </c>
      <c r="I12" s="8" t="str">
        <f>INDEX(Data!$S$2:$S$1534,MATCH($B12,Data!$A$2:$A$1534,0))</f>
        <v>High</v>
      </c>
      <c r="J12" s="8" t="str">
        <f>INDEX(Data!$T$2:$T$1534,MATCH($B12,Data!$A$2:$A$1534,0))</f>
        <v xml:space="preserve">Duplicate invoice; </v>
      </c>
    </row>
    <row r="13" spans="1:10" x14ac:dyDescent="0.35">
      <c r="A13" s="8">
        <v>9</v>
      </c>
      <c r="B13" s="8" t="s">
        <v>112</v>
      </c>
      <c r="C13" s="8" t="str">
        <f>INDEX(Data!$C$2:$C$1534,MATCH($B13,Data!$A$2:$A$1534,0))</f>
        <v>Fortis Stationery Pvt Ltd</v>
      </c>
      <c r="D13" s="8" t="str">
        <f>INDEX(Data!$D$2:$D$1534,MATCH($B13,Data!$A$2:$A$1534,0))</f>
        <v>INV-020-22697</v>
      </c>
      <c r="E13" s="21">
        <f>INDEX(Data!$F$2:$F$1534,MATCH($B13,Data!$A$2:$A$1534,0))</f>
        <v>45776</v>
      </c>
      <c r="F13" s="22">
        <f>INDEX(Data!$G$2:$G$1534,MATCH($B13,Data!$A$2:$A$1534,0))</f>
        <v>281298.96999999997</v>
      </c>
      <c r="G13" s="8" t="str">
        <f>INDEX(Data!$J$2:$J$1534,MATCH($B13,Data!$A$2:$A$1534,0))</f>
        <v>AP-Mgr-01</v>
      </c>
      <c r="H13" s="8">
        <f>INDEX(Data!$R$2:$R$1534,MATCH($B13,Data!$A$2:$A$1534,0))</f>
        <v>5</v>
      </c>
      <c r="I13" s="8" t="str">
        <f>INDEX(Data!$S$2:$S$1534,MATCH($B13,Data!$A$2:$A$1534,0))</f>
        <v>High</v>
      </c>
      <c r="J13" s="8" t="str">
        <f>INDEX(Data!$T$2:$T$1534,MATCH($B13,Data!$A$2:$A$1534,0))</f>
        <v xml:space="preserve">Duplicate invoice; </v>
      </c>
    </row>
    <row r="14" spans="1:10" x14ac:dyDescent="0.35">
      <c r="A14" s="8">
        <v>10</v>
      </c>
      <c r="B14" s="8" t="s">
        <v>257</v>
      </c>
      <c r="C14" s="8" t="str">
        <f>INDEX(Data!$C$2:$C$1534,MATCH($B14,Data!$A$2:$A$1534,0))</f>
        <v>Fortis Stationery Pvt Ltd</v>
      </c>
      <c r="D14" s="8" t="str">
        <f>INDEX(Data!$D$2:$D$1534,MATCH($B14,Data!$A$2:$A$1534,0))</f>
        <v>INV-020-22697</v>
      </c>
      <c r="E14" s="21">
        <f>INDEX(Data!$F$2:$F$1534,MATCH($B14,Data!$A$2:$A$1534,0))</f>
        <v>45784</v>
      </c>
      <c r="F14" s="22">
        <f>INDEX(Data!$G$2:$G$1534,MATCH($B14,Data!$A$2:$A$1534,0))</f>
        <v>281298.96999999997</v>
      </c>
      <c r="G14" s="8" t="str">
        <f>INDEX(Data!$J$2:$J$1534,MATCH($B14,Data!$A$2:$A$1534,0))</f>
        <v>AP-Mgr-01</v>
      </c>
      <c r="H14" s="8">
        <f>INDEX(Data!$R$2:$R$1534,MATCH($B14,Data!$A$2:$A$1534,0))</f>
        <v>5</v>
      </c>
      <c r="I14" s="8" t="str">
        <f>INDEX(Data!$S$2:$S$1534,MATCH($B14,Data!$A$2:$A$1534,0))</f>
        <v>High</v>
      </c>
      <c r="J14" s="8" t="str">
        <f>INDEX(Data!$T$2:$T$1534,MATCH($B14,Data!$A$2:$A$1534,0))</f>
        <v xml:space="preserve">Duplicate invoice; </v>
      </c>
    </row>
    <row r="15" spans="1:10" x14ac:dyDescent="0.35">
      <c r="A15" s="8">
        <v>11</v>
      </c>
      <c r="B15" s="8" t="s">
        <v>842</v>
      </c>
      <c r="C15" s="8" t="str">
        <f>INDEX(Data!$C$2:$C$1534,MATCH($B15,Data!$A$2:$A$1534,0))</f>
        <v>Orbit Travel Desk Pvt Ltd</v>
      </c>
      <c r="D15" s="8" t="str">
        <f>INDEX(Data!$D$2:$D$1534,MATCH($B15,Data!$A$2:$A$1534,0))</f>
        <v>INV-029-62802</v>
      </c>
      <c r="E15" s="21">
        <f>INDEX(Data!$F$2:$F$1534,MATCH($B15,Data!$A$2:$A$1534,0))</f>
        <v>45826</v>
      </c>
      <c r="F15" s="22">
        <f>INDEX(Data!$G$2:$G$1534,MATCH($B15,Data!$A$2:$A$1534,0))</f>
        <v>241989.15</v>
      </c>
      <c r="G15" s="8" t="str">
        <f>INDEX(Data!$J$2:$J$1534,MATCH($B15,Data!$A$2:$A$1534,0))</f>
        <v>AP-Mgr-05</v>
      </c>
      <c r="H15" s="8">
        <f>INDEX(Data!$R$2:$R$1534,MATCH($B15,Data!$A$2:$A$1534,0))</f>
        <v>5</v>
      </c>
      <c r="I15" s="8" t="str">
        <f>INDEX(Data!$S$2:$S$1534,MATCH($B15,Data!$A$2:$A$1534,0))</f>
        <v>High</v>
      </c>
      <c r="J15" s="8" t="str">
        <f>INDEX(Data!$T$2:$T$1534,MATCH($B15,Data!$A$2:$A$1534,0))</f>
        <v xml:space="preserve">Duplicate invoice; </v>
      </c>
    </row>
    <row r="16" spans="1:10" x14ac:dyDescent="0.35">
      <c r="A16" s="8">
        <v>12</v>
      </c>
      <c r="B16" s="8" t="s">
        <v>946</v>
      </c>
      <c r="C16" s="8" t="str">
        <f>INDEX(Data!$C$2:$C$1534,MATCH($B16,Data!$A$2:$A$1534,0))</f>
        <v>Orbit Travel Desk Pvt Ltd</v>
      </c>
      <c r="D16" s="8" t="str">
        <f>INDEX(Data!$D$2:$D$1534,MATCH($B16,Data!$A$2:$A$1534,0))</f>
        <v>INV-029-62802</v>
      </c>
      <c r="E16" s="21">
        <f>INDEX(Data!$F$2:$F$1534,MATCH($B16,Data!$A$2:$A$1534,0))</f>
        <v>45831</v>
      </c>
      <c r="F16" s="22">
        <f>INDEX(Data!$G$2:$G$1534,MATCH($B16,Data!$A$2:$A$1534,0))</f>
        <v>241989.15</v>
      </c>
      <c r="G16" s="8" t="str">
        <f>INDEX(Data!$J$2:$J$1534,MATCH($B16,Data!$A$2:$A$1534,0))</f>
        <v>AP-Mgr-05</v>
      </c>
      <c r="H16" s="8">
        <f>INDEX(Data!$R$2:$R$1534,MATCH($B16,Data!$A$2:$A$1534,0))</f>
        <v>5</v>
      </c>
      <c r="I16" s="8" t="str">
        <f>INDEX(Data!$S$2:$S$1534,MATCH($B16,Data!$A$2:$A$1534,0))</f>
        <v>High</v>
      </c>
      <c r="J16" s="8" t="str">
        <f>INDEX(Data!$T$2:$T$1534,MATCH($B16,Data!$A$2:$A$1534,0))</f>
        <v xml:space="preserve">Duplicate invoice; </v>
      </c>
    </row>
    <row r="17" spans="1:10" x14ac:dyDescent="0.35">
      <c r="A17" s="8">
        <v>13</v>
      </c>
      <c r="B17" s="8" t="s">
        <v>4799</v>
      </c>
      <c r="C17" s="8" t="str">
        <f>INDEX(Data!$C$2:$C$1534,MATCH($B17,Data!$A$2:$A$1534,0))</f>
        <v>Delta Print Media Pvt Ltd</v>
      </c>
      <c r="D17" s="8" t="str">
        <f>INDEX(Data!$D$2:$D$1534,MATCH($B17,Data!$A$2:$A$1534,0))</f>
        <v>INV-030-94711</v>
      </c>
      <c r="E17" s="21">
        <f>INDEX(Data!$F$2:$F$1534,MATCH($B17,Data!$A$2:$A$1534,0))</f>
        <v>46063</v>
      </c>
      <c r="F17" s="22">
        <f>INDEX(Data!$G$2:$G$1534,MATCH($B17,Data!$A$2:$A$1534,0))</f>
        <v>162881.64000000001</v>
      </c>
      <c r="G17" s="8" t="str">
        <f>INDEX(Data!$J$2:$J$1534,MATCH($B17,Data!$A$2:$A$1534,0))</f>
        <v>AP-Mgr-04</v>
      </c>
      <c r="H17" s="8">
        <f>INDEX(Data!$R$2:$R$1534,MATCH($B17,Data!$A$2:$A$1534,0))</f>
        <v>5</v>
      </c>
      <c r="I17" s="8" t="str">
        <f>INDEX(Data!$S$2:$S$1534,MATCH($B17,Data!$A$2:$A$1534,0))</f>
        <v>High</v>
      </c>
      <c r="J17" s="8" t="str">
        <f>INDEX(Data!$T$2:$T$1534,MATCH($B17,Data!$A$2:$A$1534,0))</f>
        <v xml:space="preserve">Duplicate invoice; </v>
      </c>
    </row>
    <row r="18" spans="1:10" x14ac:dyDescent="0.35">
      <c r="A18" s="8">
        <v>14</v>
      </c>
      <c r="B18" s="8" t="s">
        <v>4930</v>
      </c>
      <c r="C18" s="8" t="str">
        <f>INDEX(Data!$C$2:$C$1534,MATCH($B18,Data!$A$2:$A$1534,0))</f>
        <v>Delta Print Media Pvt Ltd</v>
      </c>
      <c r="D18" s="8" t="str">
        <f>INDEX(Data!$D$2:$D$1534,MATCH($B18,Data!$A$2:$A$1534,0))</f>
        <v>INV-030-94711</v>
      </c>
      <c r="E18" s="21">
        <f>INDEX(Data!$F$2:$F$1534,MATCH($B18,Data!$A$2:$A$1534,0))</f>
        <v>46071</v>
      </c>
      <c r="F18" s="22">
        <f>INDEX(Data!$G$2:$G$1534,MATCH($B18,Data!$A$2:$A$1534,0))</f>
        <v>162881.64000000001</v>
      </c>
      <c r="G18" s="8" t="str">
        <f>INDEX(Data!$J$2:$J$1534,MATCH($B18,Data!$A$2:$A$1534,0))</f>
        <v>AP-Mgr-04</v>
      </c>
      <c r="H18" s="8">
        <f>INDEX(Data!$R$2:$R$1534,MATCH($B18,Data!$A$2:$A$1534,0))</f>
        <v>5</v>
      </c>
      <c r="I18" s="8" t="str">
        <f>INDEX(Data!$S$2:$S$1534,MATCH($B18,Data!$A$2:$A$1534,0))</f>
        <v>High</v>
      </c>
      <c r="J18" s="8" t="str">
        <f>INDEX(Data!$T$2:$T$1534,MATCH($B18,Data!$A$2:$A$1534,0))</f>
        <v xml:space="preserve">Duplicate invoice; </v>
      </c>
    </row>
    <row r="19" spans="1:10" x14ac:dyDescent="0.35">
      <c r="A19" s="8">
        <v>15</v>
      </c>
      <c r="B19" s="8" t="s">
        <v>4979</v>
      </c>
      <c r="C19" s="8" t="str">
        <f>INDEX(Data!$C$2:$C$1534,MATCH($B19,Data!$A$2:$A$1534,0))</f>
        <v>Trident Office Supplies Pvt Ltd</v>
      </c>
      <c r="D19" s="8" t="str">
        <f>INDEX(Data!$D$2:$D$1534,MATCH($B19,Data!$A$2:$A$1534,0))</f>
        <v>INV-012-73373</v>
      </c>
      <c r="E19" s="21">
        <f>INDEX(Data!$F$2:$F$1534,MATCH($B19,Data!$A$2:$A$1534,0))</f>
        <v>46076</v>
      </c>
      <c r="F19" s="22">
        <f>INDEX(Data!$G$2:$G$1534,MATCH($B19,Data!$A$2:$A$1534,0))</f>
        <v>95113.01</v>
      </c>
      <c r="G19" s="8" t="str">
        <f>INDEX(Data!$J$2:$J$1534,MATCH($B19,Data!$A$2:$A$1534,0))</f>
        <v>AP-Mgr-03</v>
      </c>
      <c r="H19" s="8">
        <f>INDEX(Data!$R$2:$R$1534,MATCH($B19,Data!$A$2:$A$1534,0))</f>
        <v>5</v>
      </c>
      <c r="I19" s="8" t="str">
        <f>INDEX(Data!$S$2:$S$1534,MATCH($B19,Data!$A$2:$A$1534,0))</f>
        <v>High</v>
      </c>
      <c r="J19" s="8" t="str">
        <f>INDEX(Data!$T$2:$T$1534,MATCH($B19,Data!$A$2:$A$1534,0))</f>
        <v xml:space="preserve">Duplicate invoice; </v>
      </c>
    </row>
    <row r="20" spans="1:10" x14ac:dyDescent="0.35">
      <c r="A20" s="8">
        <v>16</v>
      </c>
      <c r="B20" s="8" t="s">
        <v>5059</v>
      </c>
      <c r="C20" s="8" t="str">
        <f>INDEX(Data!$C$2:$C$1534,MATCH($B20,Data!$A$2:$A$1534,0))</f>
        <v>Trident Office Supplies Pvt Ltd</v>
      </c>
      <c r="D20" s="8" t="str">
        <f>INDEX(Data!$D$2:$D$1534,MATCH($B20,Data!$A$2:$A$1534,0))</f>
        <v>INV-012-73373</v>
      </c>
      <c r="E20" s="21">
        <f>INDEX(Data!$F$2:$F$1534,MATCH($B20,Data!$A$2:$A$1534,0))</f>
        <v>46083</v>
      </c>
      <c r="F20" s="22">
        <f>INDEX(Data!$G$2:$G$1534,MATCH($B20,Data!$A$2:$A$1534,0))</f>
        <v>95113.01</v>
      </c>
      <c r="G20" s="8" t="str">
        <f>INDEX(Data!$J$2:$J$1534,MATCH($B20,Data!$A$2:$A$1534,0))</f>
        <v>AP-Mgr-03</v>
      </c>
      <c r="H20" s="8">
        <f>INDEX(Data!$R$2:$R$1534,MATCH($B20,Data!$A$2:$A$1534,0))</f>
        <v>5</v>
      </c>
      <c r="I20" s="8" t="str">
        <f>INDEX(Data!$S$2:$S$1534,MATCH($B20,Data!$A$2:$A$1534,0))</f>
        <v>High</v>
      </c>
      <c r="J20" s="8" t="str">
        <f>INDEX(Data!$T$2:$T$1534,MATCH($B20,Data!$A$2:$A$1534,0))</f>
        <v xml:space="preserve">Duplicate invoice; </v>
      </c>
    </row>
    <row r="21" spans="1:10" x14ac:dyDescent="0.35">
      <c r="A21" s="8">
        <v>17</v>
      </c>
      <c r="B21" s="8" t="s">
        <v>1673</v>
      </c>
      <c r="C21" s="8" t="str">
        <f>INDEX(Data!$C$2:$C$1534,MATCH($B21,Data!$A$2:$A$1534,0))</f>
        <v>Greenfield Hardware Pvt Ltd</v>
      </c>
      <c r="D21" s="8" t="str">
        <f>INDEX(Data!$D$2:$D$1534,MATCH($B21,Data!$A$2:$A$1534,0))</f>
        <v>INV-023-18965</v>
      </c>
      <c r="E21" s="21">
        <f>INDEX(Data!$F$2:$F$1534,MATCH($B21,Data!$A$2:$A$1534,0))</f>
        <v>45874</v>
      </c>
      <c r="F21" s="22">
        <f>INDEX(Data!$G$2:$G$1534,MATCH($B21,Data!$A$2:$A$1534,0))</f>
        <v>83495.75</v>
      </c>
      <c r="G21" s="8" t="str">
        <f>INDEX(Data!$J$2:$J$1534,MATCH($B21,Data!$A$2:$A$1534,0))</f>
        <v>AP-Mgr-03</v>
      </c>
      <c r="H21" s="8">
        <f>INDEX(Data!$R$2:$R$1534,MATCH($B21,Data!$A$2:$A$1534,0))</f>
        <v>5</v>
      </c>
      <c r="I21" s="8" t="str">
        <f>INDEX(Data!$S$2:$S$1534,MATCH($B21,Data!$A$2:$A$1534,0))</f>
        <v>High</v>
      </c>
      <c r="J21" s="8" t="str">
        <f>INDEX(Data!$T$2:$T$1534,MATCH($B21,Data!$A$2:$A$1534,0))</f>
        <v xml:space="preserve">Duplicate invoice; </v>
      </c>
    </row>
    <row r="22" spans="1:10" x14ac:dyDescent="0.35">
      <c r="A22" s="8">
        <v>18</v>
      </c>
      <c r="B22" s="8" t="s">
        <v>1810</v>
      </c>
      <c r="C22" s="8" t="str">
        <f>INDEX(Data!$C$2:$C$1534,MATCH($B22,Data!$A$2:$A$1534,0))</f>
        <v>Greenfield Hardware Pvt Ltd</v>
      </c>
      <c r="D22" s="8" t="str">
        <f>INDEX(Data!$D$2:$D$1534,MATCH($B22,Data!$A$2:$A$1534,0))</f>
        <v>INV-023-18965</v>
      </c>
      <c r="E22" s="21">
        <f>INDEX(Data!$F$2:$F$1534,MATCH($B22,Data!$A$2:$A$1534,0))</f>
        <v>45882</v>
      </c>
      <c r="F22" s="22">
        <f>INDEX(Data!$G$2:$G$1534,MATCH($B22,Data!$A$2:$A$1534,0))</f>
        <v>83495.75</v>
      </c>
      <c r="G22" s="8" t="str">
        <f>INDEX(Data!$J$2:$J$1534,MATCH($B22,Data!$A$2:$A$1534,0))</f>
        <v>AP-Mgr-03</v>
      </c>
      <c r="H22" s="8">
        <f>INDEX(Data!$R$2:$R$1534,MATCH($B22,Data!$A$2:$A$1534,0))</f>
        <v>5</v>
      </c>
      <c r="I22" s="8" t="str">
        <f>INDEX(Data!$S$2:$S$1534,MATCH($B22,Data!$A$2:$A$1534,0))</f>
        <v>High</v>
      </c>
      <c r="J22" s="8" t="str">
        <f>INDEX(Data!$T$2:$T$1534,MATCH($B22,Data!$A$2:$A$1534,0))</f>
        <v xml:space="preserve">Duplicate invoice; </v>
      </c>
    </row>
    <row r="23" spans="1:10" x14ac:dyDescent="0.35">
      <c r="A23" s="8">
        <v>19</v>
      </c>
      <c r="B23" s="8" t="s">
        <v>1548</v>
      </c>
      <c r="C23" s="8" t="str">
        <f>INDEX(Data!$C$2:$C$1534,MATCH($B23,Data!$A$2:$A$1534,0))</f>
        <v>Westgate Security Services Pvt Ltd</v>
      </c>
      <c r="D23" s="8" t="str">
        <f>INDEX(Data!$D$2:$D$1534,MATCH($B23,Data!$A$2:$A$1534,0))</f>
        <v>INV-014-63253</v>
      </c>
      <c r="E23" s="21">
        <f>INDEX(Data!$F$2:$F$1534,MATCH($B23,Data!$A$2:$A$1534,0))</f>
        <v>45866</v>
      </c>
      <c r="F23" s="22">
        <f>INDEX(Data!$G$2:$G$1534,MATCH($B23,Data!$A$2:$A$1534,0))</f>
        <v>78353.45</v>
      </c>
      <c r="G23" s="8" t="str">
        <f>INDEX(Data!$J$2:$J$1534,MATCH($B23,Data!$A$2:$A$1534,0))</f>
        <v>AP-Mgr-01</v>
      </c>
      <c r="H23" s="8">
        <f>INDEX(Data!$R$2:$R$1534,MATCH($B23,Data!$A$2:$A$1534,0))</f>
        <v>5</v>
      </c>
      <c r="I23" s="8" t="str">
        <f>INDEX(Data!$S$2:$S$1534,MATCH($B23,Data!$A$2:$A$1534,0))</f>
        <v>High</v>
      </c>
      <c r="J23" s="8" t="str">
        <f>INDEX(Data!$T$2:$T$1534,MATCH($B23,Data!$A$2:$A$1534,0))</f>
        <v xml:space="preserve">Duplicate invoice; </v>
      </c>
    </row>
    <row r="24" spans="1:10" x14ac:dyDescent="0.35">
      <c r="A24" s="8">
        <v>20</v>
      </c>
      <c r="B24" s="8" t="s">
        <v>1628</v>
      </c>
      <c r="C24" s="8" t="str">
        <f>INDEX(Data!$C$2:$C$1534,MATCH($B24,Data!$A$2:$A$1534,0))</f>
        <v>Westgate Security Services Pvt Ltd</v>
      </c>
      <c r="D24" s="8" t="str">
        <f>INDEX(Data!$D$2:$D$1534,MATCH($B24,Data!$A$2:$A$1534,0))</f>
        <v>INV-014-63253</v>
      </c>
      <c r="E24" s="21">
        <f>INDEX(Data!$F$2:$F$1534,MATCH($B24,Data!$A$2:$A$1534,0))</f>
        <v>45873</v>
      </c>
      <c r="F24" s="22">
        <f>INDEX(Data!$G$2:$G$1534,MATCH($B24,Data!$A$2:$A$1534,0))</f>
        <v>78353.45</v>
      </c>
      <c r="G24" s="8" t="str">
        <f>INDEX(Data!$J$2:$J$1534,MATCH($B24,Data!$A$2:$A$1534,0))</f>
        <v>AP-Mgr-01</v>
      </c>
      <c r="H24" s="8">
        <f>INDEX(Data!$R$2:$R$1534,MATCH($B24,Data!$A$2:$A$1534,0))</f>
        <v>5</v>
      </c>
      <c r="I24" s="8" t="str">
        <f>INDEX(Data!$S$2:$S$1534,MATCH($B24,Data!$A$2:$A$1534,0))</f>
        <v>High</v>
      </c>
      <c r="J24" s="8" t="str">
        <f>INDEX(Data!$T$2:$T$1534,MATCH($B24,Data!$A$2:$A$1534,0))</f>
        <v xml:space="preserve">Duplicate invoice; </v>
      </c>
    </row>
    <row r="25" spans="1:10" x14ac:dyDescent="0.35">
      <c r="A25" s="8">
        <v>21</v>
      </c>
      <c r="B25" s="8" t="s">
        <v>5662</v>
      </c>
      <c r="C25" s="8" t="str">
        <f>INDEX(Data!$C$2:$C$1534,MATCH($B25,Data!$A$2:$A$1534,0))</f>
        <v>Greenfield Stationery Pvt Ltd</v>
      </c>
      <c r="D25" s="8" t="str">
        <f>INDEX(Data!$D$2:$D$1534,MATCH($B25,Data!$A$2:$A$1534,0))</f>
        <v>INV-034-73131</v>
      </c>
      <c r="E25" s="21">
        <f>INDEX(Data!$F$2:$F$1534,MATCH($B25,Data!$A$2:$A$1534,0))</f>
        <v>46115</v>
      </c>
      <c r="F25" s="22">
        <f>INDEX(Data!$G$2:$G$1534,MATCH($B25,Data!$A$2:$A$1534,0))</f>
        <v>39934.879999999997</v>
      </c>
      <c r="G25" s="8" t="str">
        <f>INDEX(Data!$J$2:$J$1534,MATCH($B25,Data!$A$2:$A$1534,0))</f>
        <v>AP-Mgr-05</v>
      </c>
      <c r="H25" s="8">
        <f>INDEX(Data!$R$2:$R$1534,MATCH($B25,Data!$A$2:$A$1534,0))</f>
        <v>5</v>
      </c>
      <c r="I25" s="8" t="str">
        <f>INDEX(Data!$S$2:$S$1534,MATCH($B25,Data!$A$2:$A$1534,0))</f>
        <v>High</v>
      </c>
      <c r="J25" s="8" t="str">
        <f>INDEX(Data!$T$2:$T$1534,MATCH($B25,Data!$A$2:$A$1534,0))</f>
        <v xml:space="preserve">Duplicate invoice; </v>
      </c>
    </row>
    <row r="26" spans="1:10" x14ac:dyDescent="0.35">
      <c r="A26" s="8">
        <v>22</v>
      </c>
      <c r="B26" s="8" t="s">
        <v>5831</v>
      </c>
      <c r="C26" s="8" t="str">
        <f>INDEX(Data!$C$2:$C$1534,MATCH($B26,Data!$A$2:$A$1534,0))</f>
        <v>Greenfield Stationery Pvt Ltd</v>
      </c>
      <c r="D26" s="8" t="str">
        <f>INDEX(Data!$D$2:$D$1534,MATCH($B26,Data!$A$2:$A$1534,0))</f>
        <v>INV-034-73131</v>
      </c>
      <c r="E26" s="21">
        <f>INDEX(Data!$F$2:$F$1534,MATCH($B26,Data!$A$2:$A$1534,0))</f>
        <v>46125</v>
      </c>
      <c r="F26" s="22">
        <f>INDEX(Data!$G$2:$G$1534,MATCH($B26,Data!$A$2:$A$1534,0))</f>
        <v>39934.879999999997</v>
      </c>
      <c r="G26" s="8" t="str">
        <f>INDEX(Data!$J$2:$J$1534,MATCH($B26,Data!$A$2:$A$1534,0))</f>
        <v>AP-Mgr-05</v>
      </c>
      <c r="H26" s="8">
        <f>INDEX(Data!$R$2:$R$1534,MATCH($B26,Data!$A$2:$A$1534,0))</f>
        <v>5</v>
      </c>
      <c r="I26" s="8" t="str">
        <f>INDEX(Data!$S$2:$S$1534,MATCH($B26,Data!$A$2:$A$1534,0))</f>
        <v>High</v>
      </c>
      <c r="J26" s="8" t="str">
        <f>INDEX(Data!$T$2:$T$1534,MATCH($B26,Data!$A$2:$A$1534,0))</f>
        <v xml:space="preserve">Duplicate invoice; </v>
      </c>
    </row>
    <row r="27" spans="1:10" x14ac:dyDescent="0.35">
      <c r="A27" s="8">
        <v>23</v>
      </c>
      <c r="B27" s="8" t="s">
        <v>3212</v>
      </c>
      <c r="C27" s="8" t="str">
        <f>INDEX(Data!$C$2:$C$1534,MATCH($B27,Data!$A$2:$A$1534,0))</f>
        <v>Unity Maintenance Pvt Ltd</v>
      </c>
      <c r="D27" s="8" t="str">
        <f>INDEX(Data!$D$2:$D$1534,MATCH($B27,Data!$A$2:$A$1534,0))</f>
        <v>INV-040-92111</v>
      </c>
      <c r="E27" s="21">
        <f>INDEX(Data!$F$2:$F$1534,MATCH($B27,Data!$A$2:$A$1534,0))</f>
        <v>45971</v>
      </c>
      <c r="F27" s="22">
        <f>INDEX(Data!$G$2:$G$1534,MATCH($B27,Data!$A$2:$A$1534,0))</f>
        <v>33313.65</v>
      </c>
      <c r="G27" s="8" t="str">
        <f>INDEX(Data!$J$2:$J$1534,MATCH($B27,Data!$A$2:$A$1534,0))</f>
        <v>AP-Mgr-06</v>
      </c>
      <c r="H27" s="8">
        <f>INDEX(Data!$R$2:$R$1534,MATCH($B27,Data!$A$2:$A$1534,0))</f>
        <v>5</v>
      </c>
      <c r="I27" s="8" t="str">
        <f>INDEX(Data!$S$2:$S$1534,MATCH($B27,Data!$A$2:$A$1534,0))</f>
        <v>High</v>
      </c>
      <c r="J27" s="8" t="str">
        <f>INDEX(Data!$T$2:$T$1534,MATCH($B27,Data!$A$2:$A$1534,0))</f>
        <v xml:space="preserve">Duplicate invoice; </v>
      </c>
    </row>
    <row r="28" spans="1:10" x14ac:dyDescent="0.35">
      <c r="A28" s="8">
        <v>24</v>
      </c>
      <c r="B28" s="8" t="s">
        <v>3395</v>
      </c>
      <c r="C28" s="8" t="str">
        <f>INDEX(Data!$C$2:$C$1534,MATCH($B28,Data!$A$2:$A$1534,0))</f>
        <v>Unity Maintenance Pvt Ltd</v>
      </c>
      <c r="D28" s="8" t="str">
        <f>INDEX(Data!$D$2:$D$1534,MATCH($B28,Data!$A$2:$A$1534,0))</f>
        <v>INV-040-92111</v>
      </c>
      <c r="E28" s="21">
        <f>INDEX(Data!$F$2:$F$1534,MATCH($B28,Data!$A$2:$A$1534,0))</f>
        <v>45980</v>
      </c>
      <c r="F28" s="22">
        <f>INDEX(Data!$G$2:$G$1534,MATCH($B28,Data!$A$2:$A$1534,0))</f>
        <v>33313.65</v>
      </c>
      <c r="G28" s="8" t="str">
        <f>INDEX(Data!$J$2:$J$1534,MATCH($B28,Data!$A$2:$A$1534,0))</f>
        <v>AP-Mgr-06</v>
      </c>
      <c r="H28" s="8">
        <f>INDEX(Data!$R$2:$R$1534,MATCH($B28,Data!$A$2:$A$1534,0))</f>
        <v>5</v>
      </c>
      <c r="I28" s="8" t="str">
        <f>INDEX(Data!$S$2:$S$1534,MATCH($B28,Data!$A$2:$A$1534,0))</f>
        <v>High</v>
      </c>
      <c r="J28" s="8" t="str">
        <f>INDEX(Data!$T$2:$T$1534,MATCH($B28,Data!$A$2:$A$1534,0))</f>
        <v xml:space="preserve">Duplicate invoice; </v>
      </c>
    </row>
    <row r="29" spans="1:10" x14ac:dyDescent="0.35">
      <c r="A29" s="8">
        <v>25</v>
      </c>
      <c r="B29" s="8" t="s">
        <v>3196</v>
      </c>
      <c r="C29" s="8" t="str">
        <f>INDEX(Data!$C$2:$C$1534,MATCH($B29,Data!$A$2:$A$1534,0))</f>
        <v>Lumina Catering Pvt Ltd</v>
      </c>
      <c r="D29" s="8" t="str">
        <f>INDEX(Data!$D$2:$D$1534,MATCH($B29,Data!$A$2:$A$1534,0))</f>
        <v>INV-027-59236</v>
      </c>
      <c r="E29" s="21">
        <f>INDEX(Data!$F$2:$F$1534,MATCH($B29,Data!$A$2:$A$1534,0))</f>
        <v>45971</v>
      </c>
      <c r="F29" s="22">
        <f>INDEX(Data!$G$2:$G$1534,MATCH($B29,Data!$A$2:$A$1534,0))</f>
        <v>22162.12</v>
      </c>
      <c r="G29" s="8" t="str">
        <f>INDEX(Data!$J$2:$J$1534,MATCH($B29,Data!$A$2:$A$1534,0))</f>
        <v>AP-Mgr-01</v>
      </c>
      <c r="H29" s="8">
        <f>INDEX(Data!$R$2:$R$1534,MATCH($B29,Data!$A$2:$A$1534,0))</f>
        <v>5</v>
      </c>
      <c r="I29" s="8" t="str">
        <f>INDEX(Data!$S$2:$S$1534,MATCH($B29,Data!$A$2:$A$1534,0))</f>
        <v>High</v>
      </c>
      <c r="J29" s="8" t="str">
        <f>INDEX(Data!$T$2:$T$1534,MATCH($B29,Data!$A$2:$A$1534,0))</f>
        <v xml:space="preserve">Duplicate invoice; </v>
      </c>
    </row>
    <row r="30" spans="1:10" x14ac:dyDescent="0.35">
      <c r="A30" s="8">
        <v>26</v>
      </c>
      <c r="B30" s="8" t="s">
        <v>3352</v>
      </c>
      <c r="C30" s="8" t="str">
        <f>INDEX(Data!$C$2:$C$1534,MATCH($B30,Data!$A$2:$A$1534,0))</f>
        <v>Lumina Catering Pvt Ltd</v>
      </c>
      <c r="D30" s="8" t="str">
        <f>INDEX(Data!$D$2:$D$1534,MATCH($B30,Data!$A$2:$A$1534,0))</f>
        <v>INV-027-59236</v>
      </c>
      <c r="E30" s="21">
        <f>INDEX(Data!$F$2:$F$1534,MATCH($B30,Data!$A$2:$A$1534,0))</f>
        <v>45978</v>
      </c>
      <c r="F30" s="22">
        <f>INDEX(Data!$G$2:$G$1534,MATCH($B30,Data!$A$2:$A$1534,0))</f>
        <v>22162.12</v>
      </c>
      <c r="G30" s="8" t="str">
        <f>INDEX(Data!$J$2:$J$1534,MATCH($B30,Data!$A$2:$A$1534,0))</f>
        <v>AP-Mgr-01</v>
      </c>
      <c r="H30" s="8">
        <f>INDEX(Data!$R$2:$R$1534,MATCH($B30,Data!$A$2:$A$1534,0))</f>
        <v>5</v>
      </c>
      <c r="I30" s="8" t="str">
        <f>INDEX(Data!$S$2:$S$1534,MATCH($B30,Data!$A$2:$A$1534,0))</f>
        <v>High</v>
      </c>
      <c r="J30" s="8" t="str">
        <f>INDEX(Data!$T$2:$T$1534,MATCH($B30,Data!$A$2:$A$1534,0))</f>
        <v xml:space="preserve">Duplicate invoice; </v>
      </c>
    </row>
    <row r="31" spans="1:10" x14ac:dyDescent="0.35">
      <c r="A31" s="8">
        <v>27</v>
      </c>
      <c r="B31" s="8" t="s">
        <v>1750</v>
      </c>
      <c r="C31" s="8" t="str">
        <f>INDEX(Data!$C$2:$C$1534,MATCH($B31,Data!$A$2:$A$1534,0))</f>
        <v>Westgate Travel Desk Pvt Ltd</v>
      </c>
      <c r="D31" s="8" t="str">
        <f>INDEX(Data!$D$2:$D$1534,MATCH($B31,Data!$A$2:$A$1534,0))</f>
        <v>INV-015-11965</v>
      </c>
      <c r="E31" s="21">
        <f>INDEX(Data!$F$2:$F$1534,MATCH($B31,Data!$A$2:$A$1534,0))</f>
        <v>45880</v>
      </c>
      <c r="F31" s="22">
        <f>INDEX(Data!$G$2:$G$1534,MATCH($B31,Data!$A$2:$A$1534,0))</f>
        <v>11741.65</v>
      </c>
      <c r="G31" s="8" t="str">
        <f>INDEX(Data!$J$2:$J$1534,MATCH($B31,Data!$A$2:$A$1534,0))</f>
        <v>AP-Mgr-04</v>
      </c>
      <c r="H31" s="8">
        <f>INDEX(Data!$R$2:$R$1534,MATCH($B31,Data!$A$2:$A$1534,0))</f>
        <v>5</v>
      </c>
      <c r="I31" s="8" t="str">
        <f>INDEX(Data!$S$2:$S$1534,MATCH($B31,Data!$A$2:$A$1534,0))</f>
        <v>High</v>
      </c>
      <c r="J31" s="8" t="str">
        <f>INDEX(Data!$T$2:$T$1534,MATCH($B31,Data!$A$2:$A$1534,0))</f>
        <v xml:space="preserve">Duplicate invoice; </v>
      </c>
    </row>
    <row r="32" spans="1:10" x14ac:dyDescent="0.35">
      <c r="A32" s="8">
        <v>28</v>
      </c>
      <c r="B32" s="8" t="s">
        <v>1824</v>
      </c>
      <c r="C32" s="8" t="str">
        <f>INDEX(Data!$C$2:$C$1534,MATCH($B32,Data!$A$2:$A$1534,0))</f>
        <v>Westgate Travel Desk Pvt Ltd</v>
      </c>
      <c r="D32" s="8" t="str">
        <f>INDEX(Data!$D$2:$D$1534,MATCH($B32,Data!$A$2:$A$1534,0))</f>
        <v>INV-015-11965</v>
      </c>
      <c r="E32" s="21">
        <f>INDEX(Data!$F$2:$F$1534,MATCH($B32,Data!$A$2:$A$1534,0))</f>
        <v>45883</v>
      </c>
      <c r="F32" s="22">
        <f>INDEX(Data!$G$2:$G$1534,MATCH($B32,Data!$A$2:$A$1534,0))</f>
        <v>11741.65</v>
      </c>
      <c r="G32" s="8" t="str">
        <f>INDEX(Data!$J$2:$J$1534,MATCH($B32,Data!$A$2:$A$1534,0))</f>
        <v>AP-Mgr-04</v>
      </c>
      <c r="H32" s="8">
        <f>INDEX(Data!$R$2:$R$1534,MATCH($B32,Data!$A$2:$A$1534,0))</f>
        <v>5</v>
      </c>
      <c r="I32" s="8" t="str">
        <f>INDEX(Data!$S$2:$S$1534,MATCH($B32,Data!$A$2:$A$1534,0))</f>
        <v>High</v>
      </c>
      <c r="J32" s="8" t="str">
        <f>INDEX(Data!$T$2:$T$1534,MATCH($B32,Data!$A$2:$A$1534,0))</f>
        <v xml:space="preserve">Duplicate invoice; </v>
      </c>
    </row>
    <row r="33" spans="1:10" x14ac:dyDescent="0.35">
      <c r="A33" s="8">
        <v>29</v>
      </c>
      <c r="B33" s="8" t="s">
        <v>1947</v>
      </c>
      <c r="C33" s="8" t="str">
        <f>INDEX(Data!$C$2:$C$1534,MATCH($B33,Data!$A$2:$A$1534,0))</f>
        <v>Westgate Security Services Pvt Ltd</v>
      </c>
      <c r="D33" s="8" t="str">
        <f>INDEX(Data!$D$2:$D$1534,MATCH($B33,Data!$A$2:$A$1534,0))</f>
        <v>INV-014-76003</v>
      </c>
      <c r="E33" s="21">
        <f>INDEX(Data!$F$2:$F$1534,MATCH($B33,Data!$A$2:$A$1534,0))</f>
        <v>45894</v>
      </c>
      <c r="F33" s="22">
        <f>INDEX(Data!$G$2:$G$1534,MATCH($B33,Data!$A$2:$A$1534,0))</f>
        <v>11432.34</v>
      </c>
      <c r="G33" s="8" t="str">
        <f>INDEX(Data!$J$2:$J$1534,MATCH($B33,Data!$A$2:$A$1534,0))</f>
        <v>AP-Mgr-06</v>
      </c>
      <c r="H33" s="8">
        <f>INDEX(Data!$R$2:$R$1534,MATCH($B33,Data!$A$2:$A$1534,0))</f>
        <v>5</v>
      </c>
      <c r="I33" s="8" t="str">
        <f>INDEX(Data!$S$2:$S$1534,MATCH($B33,Data!$A$2:$A$1534,0))</f>
        <v>High</v>
      </c>
      <c r="J33" s="8" t="str">
        <f>INDEX(Data!$T$2:$T$1534,MATCH($B33,Data!$A$2:$A$1534,0))</f>
        <v xml:space="preserve">Duplicate invoice; </v>
      </c>
    </row>
    <row r="34" spans="1:10" x14ac:dyDescent="0.35">
      <c r="A34" s="8">
        <v>30</v>
      </c>
      <c r="B34" s="8" t="s">
        <v>2065</v>
      </c>
      <c r="C34" s="8" t="str">
        <f>INDEX(Data!$C$2:$C$1534,MATCH($B34,Data!$A$2:$A$1534,0))</f>
        <v>Westgate Security Services Pvt Ltd</v>
      </c>
      <c r="D34" s="8" t="str">
        <f>INDEX(Data!$D$2:$D$1534,MATCH($B34,Data!$A$2:$A$1534,0))</f>
        <v>INV-014-76003</v>
      </c>
      <c r="E34" s="21">
        <f>INDEX(Data!$F$2:$F$1534,MATCH($B34,Data!$A$2:$A$1534,0))</f>
        <v>45901</v>
      </c>
      <c r="F34" s="22">
        <f>INDEX(Data!$G$2:$G$1534,MATCH($B34,Data!$A$2:$A$1534,0))</f>
        <v>11432.34</v>
      </c>
      <c r="G34" s="8" t="str">
        <f>INDEX(Data!$J$2:$J$1534,MATCH($B34,Data!$A$2:$A$1534,0))</f>
        <v>AP-Mgr-06</v>
      </c>
      <c r="H34" s="8">
        <f>INDEX(Data!$R$2:$R$1534,MATCH($B34,Data!$A$2:$A$1534,0))</f>
        <v>5</v>
      </c>
      <c r="I34" s="8" t="str">
        <f>INDEX(Data!$S$2:$S$1534,MATCH($B34,Data!$A$2:$A$1534,0))</f>
        <v>High</v>
      </c>
      <c r="J34" s="8" t="str">
        <f>INDEX(Data!$T$2:$T$1534,MATCH($B34,Data!$A$2:$A$1534,0))</f>
        <v xml:space="preserve">Duplicate invoice; </v>
      </c>
    </row>
  </sheetData>
  <conditionalFormatting sqref="I5:I34">
    <cfRule type="cellIs" dxfId="0" priority="2" operator="equal">
      <formula>"High"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Findings</vt:lpstr>
      <vt:lpstr>Data</vt:lpstr>
      <vt:lpstr>Assumptions</vt:lpstr>
      <vt:lpstr>Vendor_Risk</vt:lpstr>
      <vt:lpstr>Approver_Analysis</vt:lpstr>
      <vt:lpstr>Benford</vt:lpstr>
      <vt:lpstr>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sakshi sharma</cp:lastModifiedBy>
  <cp:revision>1</cp:revision>
  <dcterms:created xsi:type="dcterms:W3CDTF">2026-10-04T09:42:50Z</dcterms:created>
  <dcterms:modified xsi:type="dcterms:W3CDTF">2026-10-06T11:56:51Z</dcterms:modified>
  <dc:language>en-US</dc:language>
</cp:coreProperties>
</file>